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Обложка" sheetId="1" state="visible" r:id="rId3"/>
    <sheet name="Сводка" sheetId="2" state="visible" r:id="rId4"/>
    <sheet name="Допущения" sheetId="3" state="visible" r:id="rId5"/>
    <sheet name="План" sheetId="4" state="visible" r:id="rId6"/>
    <sheet name="Эффект для банка" sheetId="5" state="visible" r:id="rId7"/>
    <sheet name="Рынок" sheetId="6" state="visible" r:id="rId8"/>
    <sheet name="Консервативный" sheetId="7" state="visible" r:id="rId9"/>
    <sheet name="Базовый" sheetId="8" state="visible" r:id="rId10"/>
    <sheet name="Оптимистичный" sheetId="9" state="visible" r:id="rId11"/>
    <sheet name="Чувствительность" sheetId="10" state="visible" r:id="rId12"/>
    <sheet name="Проверки" sheetId="11" state="visible" r:id="rId13"/>
    <sheet name="Источники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<sst xmlns="http://schemas.openxmlformats.org/spreadsheetml/2006/main" count="8962" uniqueCount="920">
  <si>
    <t xml:space="preserve">Мандат — финансовая модель</t>
  </si>
  <si>
    <t xml:space="preserve">Версия 1.0 от 27.10.2026. Трек ВТБ «Финтех без границ», «Академия Финтеха 2026». Деньги — млн ₽ без НДС; цены 2027 года, дальше индексация</t>
  </si>
  <si>
    <t xml:space="preserve">Главное</t>
  </si>
  <si>
    <t xml:space="preserve">Показатель</t>
  </si>
  <si>
    <t xml:space="preserve">Консервативный</t>
  </si>
  <si>
    <t xml:space="preserve">Базовый</t>
  </si>
  <si>
    <t xml:space="preserve">Оптимистичный</t>
  </si>
  <si>
    <t xml:space="preserve">Высвобождается ставок в ВТБ</t>
  </si>
  <si>
    <t xml:space="preserve">Предотвращённый ущерб клиентов ВТБ, млн ₽ в год</t>
  </si>
  <si>
    <t xml:space="preserve">Окупаемость для ВТБ (деньги), месяцев</t>
  </si>
  <si>
    <t xml:space="preserve">SAM: банки уровней 1 и 2, одна операция, млн ₽ в год</t>
  </si>
  <si>
    <t xml:space="preserve">Выручка 2031 года, млн ₽</t>
  </si>
  <si>
    <t xml:space="preserve">Потребность в финансировании, млн ₽</t>
  </si>
  <si>
    <t xml:space="preserve">Год выхода на операционную прибыль</t>
  </si>
  <si>
    <t xml:space="preserve">NPV с остаточной стоимостью, млн ₽</t>
  </si>
  <si>
    <t xml:space="preserve">Статус проверок</t>
  </si>
  <si>
    <t xml:space="preserve">Что внутри</t>
  </si>
  <si>
    <t xml:space="preserve">Сводка</t>
  </si>
  <si>
    <t xml:space="preserve">главные результаты трёх сценариев и графики</t>
  </si>
  <si>
    <t xml:space="preserve">Допущения</t>
  </si>
  <si>
    <t xml:space="preserve">все параметры по сценариям с типом, источником и способом проверки на пилоте</t>
  </si>
  <si>
    <t xml:space="preserve">План</t>
  </si>
  <si>
    <t xml:space="preserve">договоры с банками и команда по годам</t>
  </si>
  <si>
    <t xml:space="preserve">Эффект для банка</t>
  </si>
  <si>
    <t xml:space="preserve">ставки и ущерб как в презентации, деньги для ВТБ, окупаемость, «купить или сделать»</t>
  </si>
  <si>
    <t xml:space="preserve">Рынок</t>
  </si>
  <si>
    <t xml:space="preserve">TAM, SAM, SOM снизу вверх и сверху вниз</t>
  </si>
  <si>
    <t xml:space="preserve">Консервативный, Базовый, Оптимистичный</t>
  </si>
  <si>
    <t xml:space="preserve">полный расчёт сценария: выручка, затраты, отчёт, деньги, NPV</t>
  </si>
  <si>
    <t xml:space="preserve">Чувствительность</t>
  </si>
  <si>
    <t xml:space="preserve">NPV базового сценария при ±20 % по каждому допущению</t>
  </si>
  <si>
    <t xml:space="preserve">Проверки</t>
  </si>
  <si>
    <t xml:space="preserve">целостность модели и рамки допущений</t>
  </si>
  <si>
    <t xml:space="preserve">Источники</t>
  </si>
  <si>
    <t xml:space="preserve">откуда взяты факты</t>
  </si>
  <si>
    <t xml:space="preserve">Как пользоваться</t>
  </si>
  <si>
    <t xml:space="preserve">• Меняйте только синие ячейки на листах «Допущения» и «План»: каждый сценарий — свой столбец. Всё остальное — формулы.</t>
  </si>
  <si>
    <t xml:space="preserve">• Жёлтая заливка — допущения, которые банк заменит своими данными на пилоте (клиенты, события, минуты, оклады, цена).</t>
  </si>
  <si>
    <t xml:space="preserve">• Зелёный — ссылка на другой лист, чёрный — формула на этом листе.</t>
  </si>
  <si>
    <t xml:space="preserve">• После правки посмотрите лист «Проверки»: итог должен быть «ОК».</t>
  </si>
  <si>
    <t xml:space="preserve">• Пересобрать с нуля: python submission/analytics/build_model.py (нужен LibreOffice для пересчёта).</t>
  </si>
  <si>
    <t xml:space="preserve">Легенда</t>
  </si>
  <si>
    <t xml:space="preserve">12,3</t>
  </si>
  <si>
    <t xml:space="preserve">введено руками (допущение)</t>
  </si>
  <si>
    <t xml:space="preserve">ключевое допущение</t>
  </si>
  <si>
    <t xml:space="preserve">ссылка на другой лист</t>
  </si>
  <si>
    <t xml:space="preserve">формула</t>
  </si>
  <si>
    <t xml:space="preserve">Сводка по сценариям</t>
  </si>
  <si>
    <t xml:space="preserve">Все числа — ссылки на листы сценариев; млн ₽ без НДС</t>
  </si>
  <si>
    <t xml:space="preserve">№</t>
  </si>
  <si>
    <t xml:space="preserve">Единица</t>
  </si>
  <si>
    <t xml:space="preserve">Эффект для ВТБ</t>
  </si>
  <si>
    <t xml:space="preserve">Высвобождается ставок</t>
  </si>
  <si>
    <t xml:space="preserve">ставок</t>
  </si>
  <si>
    <t xml:space="preserve">Предотвращённый ущерб клиентов</t>
  </si>
  <si>
    <t xml:space="preserve">млн ₽ в год</t>
  </si>
  <si>
    <t xml:space="preserve">Прямой эффект банка: ёмкость</t>
  </si>
  <si>
    <t xml:space="preserve">Прямой эффект банка: деньги</t>
  </si>
  <si>
    <t xml:space="preserve">Подписка для ВТБ (цены 2027)</t>
  </si>
  <si>
    <t xml:space="preserve">Окупаемость для ВТБ: деньги</t>
  </si>
  <si>
    <t xml:space="preserve">месяцев</t>
  </si>
  <si>
    <t xml:space="preserve">Отдача за 3 года на вложенный рубль: деньги</t>
  </si>
  <si>
    <t xml:space="preserve">раз</t>
  </si>
  <si>
    <t xml:space="preserve">TAM: все банки России</t>
  </si>
  <si>
    <t xml:space="preserve">SAM: банки уровней 1 и 2, одна операция</t>
  </si>
  <si>
    <t xml:space="preserve">SAM при полном охвате операций</t>
  </si>
  <si>
    <t xml:space="preserve">SOM: подписка на конец 2031 (цены 2027)</t>
  </si>
  <si>
    <t xml:space="preserve">SOM в доле SAM при полном охвате</t>
  </si>
  <si>
    <t xml:space="preserve">доля</t>
  </si>
  <si>
    <t xml:space="preserve">Проект</t>
  </si>
  <si>
    <t xml:space="preserve">Выручка 2027–2031</t>
  </si>
  <si>
    <t xml:space="preserve">млн ₽</t>
  </si>
  <si>
    <t xml:space="preserve">Выручка 2031</t>
  </si>
  <si>
    <t xml:space="preserve">ARR на конец 2031</t>
  </si>
  <si>
    <t xml:space="preserve">Операционная прибыль 2031</t>
  </si>
  <si>
    <t xml:space="preserve">Банков с договором к концу 2031</t>
  </si>
  <si>
    <t xml:space="preserve">банков</t>
  </si>
  <si>
    <t xml:space="preserve">Команда к концу 2031</t>
  </si>
  <si>
    <t xml:space="preserve">Потребность в финансировании с запасом</t>
  </si>
  <si>
    <t xml:space="preserve">год</t>
  </si>
  <si>
    <t xml:space="preserve">Год окупаемости вложений</t>
  </si>
  <si>
    <t xml:space="preserve">NPV без остаточной стоимости</t>
  </si>
  <si>
    <t xml:space="preserve">NPV с остаточной стоимостью</t>
  </si>
  <si>
    <t xml:space="preserve">IRR с остаточной стоимостью</t>
  </si>
  <si>
    <t xml:space="preserve">Показатель по годам</t>
  </si>
  <si>
    <t xml:space="preserve">Сценарий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</si>
  <si>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</si>
  <si>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</si>
  <si>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</si>
  <si>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</si>
  <si>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</si>
  <si>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Выручка</t>
  </si>
  <si>
    <t xml:space="preserve">Операционная прибыль</t>
  </si>
  <si>
    <t xml:space="preserve">Накопленный денежный поток</t>
  </si>
  <si>
    <t xml:space="preserve">Банков с договором</t>
  </si>
  <si>
    <t xml:space="preserve">Команда, ставок</t>
  </si>
  <si>
    <t xml:space="preserve">Синий — введено руками, жёлтая заливка — ключевые допущения, которые банк заменит своими данными</t>
  </si>
  <si>
    <t xml:space="preserve">Год начала модели (исходные остатки)</t>
  </si>
  <si>
    <t xml:space="preserve">Параметр</t>
  </si>
  <si>
    <t xml:space="preserve">Тип</t>
  </si>
  <si>
    <t xml:space="preserve">Источник или обоснование</t>
  </si>
  <si>
    <t xml:space="preserve">Как проверить на пилоте</t>
  </si>
  <si>
    <t xml:space="preserve">П. Эффект для ВТБ: параметры презентации (effect_scenarios.json)</t>
  </si>
  <si>
    <t xml:space="preserve">П1</t>
  </si>
  <si>
    <t xml:space="preserve">Клиенты ВТБ — предприятия и предприниматели</t>
  </si>
  <si>
    <t xml:space="preserve">млн</t>
  </si>
  <si>
    <t xml:space="preserve">вторичный</t>
  </si>
  <si>
    <t xml:space="preserve">Пресс-релиз ВТБ к МСФО за I полугодие 2026 в пересказе altapress.ru и kp.ru (M-09, S05)</t>
  </si>
  <si>
    <t xml:space="preserve">внутренняя цифра банка</t>
  </si>
  <si>
    <t xml:space="preserve">П2</t>
  </si>
  <si>
    <t xml:space="preserve">Доля клиентов со сменой или добавлением подписанта в год</t>
  </si>
  <si>
    <t xml:space="preserve">допущение</t>
  </si>
  <si>
    <t xml:space="preserve">Допущение команды (C-15); публичных данных нет</t>
  </si>
  <si>
    <t xml:space="preserve">число событий за год в журнале банка</t>
  </si>
  <si>
    <t xml:space="preserve">П3</t>
  </si>
  <si>
    <t xml:space="preserve">Минут на кейс вручную, вместе с разбором</t>
  </si>
  <si>
    <t xml:space="preserve">минут</t>
  </si>
  <si>
    <t xml:space="preserve">Допущение команды (C-15); замер — в пилоте</t>
  </si>
  <si>
    <t xml:space="preserve">хронометраж в пилоте</t>
  </si>
  <si>
    <t xml:space="preserve">П4</t>
  </si>
  <si>
    <t xml:space="preserve">Рабочих часов на ставку в год</t>
  </si>
  <si>
    <t xml:space="preserve">часов</t>
  </si>
  <si>
    <t xml:space="preserve">Около 1 970 часов по производственному календарю минус отпуск</t>
  </si>
  <si>
    <t xml:space="preserve">норма банка</t>
  </si>
  <si>
    <t xml:space="preserve">П5</t>
  </si>
  <si>
    <t xml:space="preserve">Операций без согласия у юрлиц за квартал</t>
  </si>
  <si>
    <t xml:space="preserve">операций</t>
  </si>
  <si>
    <t xml:space="preserve">факт</t>
  </si>
  <si>
    <t xml:space="preserve">Банк России, I кв. 2026 (M-07, S03)</t>
  </si>
  <si>
    <t xml:space="preserve">—</t>
  </si>
  <si>
    <t xml:space="preserve">П6</t>
  </si>
  <si>
    <t xml:space="preserve">Объём таких операций за квартал</t>
  </si>
  <si>
    <t xml:space="preserve">П7</t>
  </si>
  <si>
    <t xml:space="preserve">Доля ВТБ в таких инцидентах</t>
  </si>
  <si>
    <t xml:space="preserve">Допущение команды (C-16)</t>
  </si>
  <si>
    <t xml:space="preserve">данные антифрода банка</t>
  </si>
  <si>
    <t xml:space="preserve">П8</t>
  </si>
  <si>
    <t xml:space="preserve">Доля инцидентов, связанных с полномочиями</t>
  </si>
  <si>
    <t xml:space="preserve">разметка инцидентов банка</t>
  </si>
  <si>
    <t xml:space="preserve">Э. Эффект для ВТБ: стоимость времени и доля ущерба</t>
  </si>
  <si>
    <t xml:space="preserve">Э1</t>
  </si>
  <si>
    <t xml:space="preserve">Оклад сотрудника, проверяющего документы</t>
  </si>
  <si>
    <t xml:space="preserve">тыс. ₽ в месяц</t>
  </si>
  <si>
    <t xml:space="preserve">Вакансии операционистов по работе с юрлицами — от 60–100 тыс. ₽ до вычета налогов (hh.ru, октябрь 2026, S14); средняя по финансовой отрасли — 314 тыс. ₽ (Росстат, март 2026, S13) — верхний ориентир</t>
  </si>
  <si>
    <t xml:space="preserve">фонд оплаты труда подразделения по данным банка</t>
  </si>
  <si>
    <t xml:space="preserve">Э2</t>
  </si>
  <si>
    <t xml:space="preserve">Страховые взносы банка</t>
  </si>
  <si>
    <t xml:space="preserve">Общий тариф 30 % в пределах базы и взнос на травматизм от 0,2 % (НК РФ, гл. 34; 125-ФЗ)</t>
  </si>
  <si>
    <t xml:space="preserve">тариф банка на травматизм</t>
  </si>
  <si>
    <t xml:space="preserve">Э3</t>
  </si>
  <si>
    <t xml:space="preserve">Накладные на рабочее место (помещение, ИТ, управление)</t>
  </si>
  <si>
    <t xml:space="preserve">доля к ФОТ с взносами</t>
  </si>
  <si>
    <t xml:space="preserve">Оценка команды для бэк-офиса крупного банка</t>
  </si>
  <si>
    <t xml:space="preserve">методика внутреннего учёта затрат банка</t>
  </si>
  <si>
    <t xml:space="preserve">Э4</t>
  </si>
  <si>
    <t xml:space="preserve">Доля высвобожденного времени, которая становится экономией</t>
  </si>
  <si>
    <t xml:space="preserve">Высвобожденное время становится деньгами, только если банк перераспределяет людей или не нанимает новых; остальное — ёмкость под рост потока</t>
  </si>
  <si>
    <t xml:space="preserve">план банка по численности подразделения</t>
  </si>
  <si>
    <t xml:space="preserve">Э5</t>
  </si>
  <si>
    <t xml:space="preserve">Доля предотвращённого ущерба клиентов, которую несёт банк</t>
  </si>
  <si>
    <t xml:space="preserve">Ориентир — доля возмещённого юрлицам по счетам в I кв. 2026: 15,9 % (Банк России, M-07, S03)</t>
  </si>
  <si>
    <t xml:space="preserve">данные банка о возмещениях и претензиях клиентов</t>
  </si>
  <si>
    <t xml:space="preserve">Э6</t>
  </si>
  <si>
    <t xml:space="preserve">Эффект в первый год работы (раскачка)</t>
  </si>
  <si>
    <t xml:space="preserve">Первый год — одна операция и постепенный перевод потока</t>
  </si>
  <si>
    <t xml:space="preserve">план тиражирования после пилота</t>
  </si>
  <si>
    <t xml:space="preserve">Б. Затраты ВТБ на внедрение и сравнение с собственной разработкой</t>
  </si>
  <si>
    <t xml:space="preserve">Б1</t>
  </si>
  <si>
    <t xml:space="preserve">Полная стоимость ИТ-специалиста банка</t>
  </si>
  <si>
    <t xml:space="preserve">Оклад около 250 тыс. ₽ × 12 × 1,302 взносов × 1,15 накладных; вилки вакансий разработчиков 180–400 тыс. ₽ (S14)</t>
  </si>
  <si>
    <t xml:space="preserve">ставка внутреннего ИТ банка</t>
  </si>
  <si>
    <t xml:space="preserve">Б2</t>
  </si>
  <si>
    <t xml:space="preserve">Интеграция силами банка (ДБО, источники, ИБ)</t>
  </si>
  <si>
    <t xml:space="preserve">человеко-лет</t>
  </si>
  <si>
    <t xml:space="preserve">Порты к источникам и OpenAPI готовы; банк подключает ДБО, реестр МЧД, ЕГРЮЛ и СКЗИ</t>
  </si>
  <si>
    <t xml:space="preserve">оценка ИТ-архитектора банка после пилота</t>
  </si>
  <si>
    <t xml:space="preserve">Б3</t>
  </si>
  <si>
    <t xml:space="preserve">Инфраструктура в контуре банка, разово</t>
  </si>
  <si>
    <t xml:space="preserve">Два узла и резерв; ядро не требует GPU, модель для устава необязательна</t>
  </si>
  <si>
    <t xml:space="preserve">требования ИБ и эксплуатации банка</t>
  </si>
  <si>
    <t xml:space="preserve">Б4</t>
  </si>
  <si>
    <t xml:space="preserve">Оценка ИБ силами банка, разово</t>
  </si>
  <si>
    <t xml:space="preserve">Внутренняя проверка документов ИБ, модели угроз и результатов анализа уязвимостей</t>
  </si>
  <si>
    <t xml:space="preserve">регламент ИБ банка</t>
  </si>
  <si>
    <t xml:space="preserve">Б5</t>
  </si>
  <si>
    <t xml:space="preserve">Сопровождение силами банка</t>
  </si>
  <si>
    <t xml:space="preserve">человеко-лет в год</t>
  </si>
  <si>
    <t xml:space="preserve">Администрирование, обновления, разбор обращений; правила сопровождает поставщик</t>
  </si>
  <si>
    <t xml:space="preserve">регламент эксплуатации</t>
  </si>
  <si>
    <t xml:space="preserve">Б6</t>
  </si>
  <si>
    <t xml:space="preserve">НДС на услуги внедрения (банк не принимает к вычету)</t>
  </si>
  <si>
    <t xml:space="preserve">Ставка НДС 22 % с 01.01.2026; лицензия на ПО из реестра российского ПО освобождена (пп. 26 п. 2 ст. 149 НК РФ) — по обзорам (M-24, S12)</t>
  </si>
  <si>
    <t xml:space="preserve">налоговая политика банка</t>
  </si>
  <si>
    <t xml:space="preserve">Б7</t>
  </si>
  <si>
    <t xml:space="preserve">Собственная разработка банка: создание</t>
  </si>
  <si>
    <t xml:space="preserve">Ядро правил, адаптеры, журнал, удостоверения, корпус тестов и юридическая разметка правил</t>
  </si>
  <si>
    <t xml:space="preserve">оценка ИТ банка</t>
  </si>
  <si>
    <t xml:space="preserve">Б8</t>
  </si>
  <si>
    <t xml:space="preserve">Собственная разработка банка: сопровождение правил и кода</t>
  </si>
  <si>
    <t xml:space="preserve">человек</t>
  </si>
  <si>
    <t xml:space="preserve">Разработчик, юрист, аналитик, инженер качества</t>
  </si>
  <si>
    <t xml:space="preserve">Б9</t>
  </si>
  <si>
    <t xml:space="preserve">Горизонт сравнения «купить или сделать»</t>
  </si>
  <si>
    <t xml:space="preserve">лет</t>
  </si>
  <si>
    <t xml:space="preserve">Срок, на котором банк сравнивает варианты</t>
  </si>
  <si>
    <t xml:space="preserve">Р. Рынок</t>
  </si>
  <si>
    <t xml:space="preserve">Р1</t>
  </si>
  <si>
    <t xml:space="preserve">Действующих банков в России</t>
  </si>
  <si>
    <t xml:space="preserve">301 банк на 01.07.2026 без НКО (brobank.ru по данным Банка России, M-22, S10)</t>
  </si>
  <si>
    <t xml:space="preserve">таблица Банка России «Количественные характеристики банковского сектора»</t>
  </si>
  <si>
    <t xml:space="preserve">Р2</t>
  </si>
  <si>
    <t xml:space="preserve">Уровень 1: системно значимые банки</t>
  </si>
  <si>
    <t xml:space="preserve">Перечень СЗКО на 2026 год — 12 банков, около 80 % активов сектора (Moscow Times 07.10.2026, vbr.ru, M-21, S09)</t>
  </si>
  <si>
    <t xml:space="preserve">перечень на сайте Банка России</t>
  </si>
  <si>
    <t xml:space="preserve">Р3</t>
  </si>
  <si>
    <t xml:space="preserve">Уровень 2: крупные и средние банки с корпоративным ДБО</t>
  </si>
  <si>
    <t xml:space="preserve">Банки с 13-го по 60-е место по активам; дальше — банки с малой базой бизнеса</t>
  </si>
  <si>
    <t xml:space="preserve">рэнкинг по активам и интервью с банками</t>
  </si>
  <si>
    <t xml:space="preserve">Р4</t>
  </si>
  <si>
    <t xml:space="preserve">Доля ВТБ в отношениях «банк — клиент-бизнес»</t>
  </si>
  <si>
    <t xml:space="preserve">ВТБ называет клиентом «каждый третий реально действующий бизнес» (M-28, S15); у бизнеса бывает несколько банков, поэтому доля в отношениях ниже</t>
  </si>
  <si>
    <t xml:space="preserve">данные Банка России о счетах юрлиц и ИП</t>
  </si>
  <si>
    <t xml:space="preserve">Р5</t>
  </si>
  <si>
    <t xml:space="preserve">Доля уровня 1 в отношениях с бизнесом</t>
  </si>
  <si>
    <t xml:space="preserve">Ориентир — доля СЗКО в активах сектора около 80 % (M-21)</t>
  </si>
  <si>
    <t xml:space="preserve">статистика Банка России по счетам</t>
  </si>
  <si>
    <t xml:space="preserve">Р6</t>
  </si>
  <si>
    <t xml:space="preserve">Доля уровня 2 в отношениях с бизнесом</t>
  </si>
  <si>
    <t xml:space="preserve">Остаток после уровня 1; на уровень 3 приходится 5 %</t>
  </si>
  <si>
    <t xml:space="preserve">Р7</t>
  </si>
  <si>
    <t xml:space="preserve">Цена для банка уровня 3 через партнёра (всё включено)</t>
  </si>
  <si>
    <t xml:space="preserve">гипотеза</t>
  </si>
  <si>
    <t xml:space="preserve">Небольшим банкам — через поставщиков ДБО; в SAM и SOM не входит</t>
  </si>
  <si>
    <t xml:space="preserve">переговоры с поставщиками ДБО</t>
  </si>
  <si>
    <t xml:space="preserve">Р8</t>
  </si>
  <si>
    <t xml:space="preserve">Доля ценности задачи, которую забирает поставщик</t>
  </si>
  <si>
    <t xml:space="preserve">Обычная для корпоративного ПО доля 10–20 % измеренного эффекта клиента</t>
  </si>
  <si>
    <t xml:space="preserve">переговоры о цене после пилота</t>
  </si>
  <si>
    <t xml:space="preserve">Ц. Цена и продажи</t>
  </si>
  <si>
    <t xml:space="preserve">Ц1</t>
  </si>
  <si>
    <t xml:space="preserve">Подписка банка уровня 1: постоянная часть</t>
  </si>
  <si>
    <t xml:space="preserve">Сопровождение пакета правил юристом, обновления при смене норм и формата МЧД, поддержка; ниже затрат банка на сопровождение своими силами</t>
  </si>
  <si>
    <t xml:space="preserve">Ц2</t>
  </si>
  <si>
    <t xml:space="preserve">Подписка: плата за активного клиента-бизнес</t>
  </si>
  <si>
    <t xml:space="preserve">₽ в год</t>
  </si>
  <si>
    <t xml:space="preserve">Для ВТБ в базовом сценарии подписка — около 9 % прямого эффекта (лист «Эффект для банка»)</t>
  </si>
  <si>
    <t xml:space="preserve">измеренный эффект пилота</t>
  </si>
  <si>
    <t xml:space="preserve">Ц3</t>
  </si>
  <si>
    <t xml:space="preserve">Подписка банка уровня 2: постоянная часть</t>
  </si>
  <si>
    <t xml:space="preserve">Те же правила и обновления; меньше интеграций и поддержки</t>
  </si>
  <si>
    <t xml:space="preserve">интервью с банками уровня 2</t>
  </si>
  <si>
    <t xml:space="preserve">Ц4</t>
  </si>
  <si>
    <t xml:space="preserve">Внедрение в банке уровня 1, разово</t>
  </si>
  <si>
    <t xml:space="preserve">Адаптеры к источникам банка, интеграция с ДБО, документы ИБ, обучение; около 3 инженеров на 3–4 месяца</t>
  </si>
  <si>
    <t xml:space="preserve">фактические трудозатраты внедрения в ВТБ</t>
  </si>
  <si>
    <t xml:space="preserve">Ц5</t>
  </si>
  <si>
    <t xml:space="preserve">Внедрение в банке уровня 2, разово</t>
  </si>
  <si>
    <t xml:space="preserve">Типовые адаптеры, меньше интеграций</t>
  </si>
  <si>
    <t xml:space="preserve">фактические трудозатраты</t>
  </si>
  <si>
    <t xml:space="preserve">Ц6</t>
  </si>
  <si>
    <t xml:space="preserve">Индексация цен</t>
  </si>
  <si>
    <t xml:space="preserve">доля в год</t>
  </si>
  <si>
    <t xml:space="preserve">Цель Банка России по инфляции — 4 %</t>
  </si>
  <si>
    <t xml:space="preserve">условия договора</t>
  </si>
  <si>
    <t xml:space="preserve">Ц7</t>
  </si>
  <si>
    <t xml:space="preserve">Рост подписки банка за счёт новых операций</t>
  </si>
  <si>
    <t xml:space="preserve">Пилот — одна операция; дальше открытие счёта, кредиты, гарантии, смена пользователей ДБО</t>
  </si>
  <si>
    <t xml:space="preserve">план тиражирования в ВТБ</t>
  </si>
  <si>
    <t xml:space="preserve">Ц8</t>
  </si>
  <si>
    <t xml:space="preserve">Год договора с ВТБ (подписка — со следующего года)</t>
  </si>
  <si>
    <t xml:space="preserve">Теневой пилот — I полугодие 2027 года, затем закупка и внедрение</t>
  </si>
  <si>
    <t xml:space="preserve">решение по итогам пилота</t>
  </si>
  <si>
    <t xml:space="preserve">К. Команда</t>
  </si>
  <si>
    <t xml:space="preserve">К1</t>
  </si>
  <si>
    <t xml:space="preserve">Рост окладов</t>
  </si>
  <si>
    <t xml:space="preserve">Ориентир — рост зарплат в ИТ в 2025–2026 годах</t>
  </si>
  <si>
    <t xml:space="preserve">К2</t>
  </si>
  <si>
    <t xml:space="preserve">Взносы ИТ-компании в пределах базы</t>
  </si>
  <si>
    <t xml:space="preserve">Льготный тариф аккредитованной ИТ-компании с 2025 года — 15 % (M-24, S12)</t>
  </si>
  <si>
    <t xml:space="preserve">НК РФ, ст. 427</t>
  </si>
  <si>
    <t xml:space="preserve">К3</t>
  </si>
  <si>
    <t xml:space="preserve">Взносы ИТ-компании сверх базы</t>
  </si>
  <si>
    <t xml:space="preserve">7,6 % сверх единой предельной базы (M-24, S12)</t>
  </si>
  <si>
    <t xml:space="preserve">К4</t>
  </si>
  <si>
    <t xml:space="preserve">Взнос на травматизм</t>
  </si>
  <si>
    <t xml:space="preserve">Минимальный тариф по 125-ФЗ</t>
  </si>
  <si>
    <t xml:space="preserve">К5</t>
  </si>
  <si>
    <t xml:space="preserve">Единая предельная база взносов в 2026 году</t>
  </si>
  <si>
    <t xml:space="preserve">2 979 000 ₽ на 2026 год (M-24, S12)</t>
  </si>
  <si>
    <t xml:space="preserve">постановление Правительства о базе на год</t>
  </si>
  <si>
    <t xml:space="preserve">К6</t>
  </si>
  <si>
    <t xml:space="preserve">Рост предельной базы</t>
  </si>
  <si>
    <t xml:space="preserve">База индексируется вслед за средней зарплатой</t>
  </si>
  <si>
    <t xml:space="preserve">З. Прочие затраты проекта</t>
  </si>
  <si>
    <t xml:space="preserve">З1</t>
  </si>
  <si>
    <t xml:space="preserve">Анализ уязвимостей по ОУД4 в лаборатории — первый</t>
  </si>
  <si>
    <t xml:space="preserve">Банк России требует для ПО переводов сертификацию ФСТЭК или анализ уязвимостей по ОУД4 (M-31, S25); публичных цен нет — запросим предложения у 2–3 лицензиатов</t>
  </si>
  <si>
    <t xml:space="preserve">коммерческие предложения лабораторий</t>
  </si>
  <si>
    <t xml:space="preserve">З2</t>
  </si>
  <si>
    <t xml:space="preserve">Повторная оценка релизов</t>
  </si>
  <si>
    <t xml:space="preserve">Оценка изменений в новых версиях</t>
  </si>
  <si>
    <t xml:space="preserve">З3</t>
  </si>
  <si>
    <t xml:space="preserve">Внешняя юридическая экспертиза правил</t>
  </si>
  <si>
    <t xml:space="preserve">Вторая подпись под правилами при изменении норм</t>
  </si>
  <si>
    <t xml:space="preserve">З4</t>
  </si>
  <si>
    <t xml:space="preserve">Инфраструктура и инструменты на сотрудника</t>
  </si>
  <si>
    <t xml:space="preserve">Тестовые стенды, CI, лицензии СКЗИ для разработки, данные для тестов (тарифы API данных — от 96 тыс. ₽ в год, M-32)</t>
  </si>
  <si>
    <t xml:space="preserve">З5</t>
  </si>
  <si>
    <t xml:space="preserve">Продажи и маркетинг: постоянная часть</t>
  </si>
  <si>
    <t xml:space="preserve">Отраслевые конференции, демо-стенды, материалы</t>
  </si>
  <si>
    <t xml:space="preserve">З6</t>
  </si>
  <si>
    <t xml:space="preserve">Продажи: на новый договор</t>
  </si>
  <si>
    <t xml:space="preserve">Командировки, пилот, юридическое сопровождение договора</t>
  </si>
  <si>
    <t xml:space="preserve">З7</t>
  </si>
  <si>
    <t xml:space="preserve">Административные: постоянная часть</t>
  </si>
  <si>
    <t xml:space="preserve">Бухгалтерия, юрист компании, офис или коворкинг, страхование</t>
  </si>
  <si>
    <t xml:space="preserve">З8</t>
  </si>
  <si>
    <t xml:space="preserve">Административные: на сотрудника</t>
  </si>
  <si>
    <t xml:space="preserve">Рабочее место, связь, обучение</t>
  </si>
  <si>
    <t xml:space="preserve">З9</t>
  </si>
  <si>
    <t xml:space="preserve">Оборудование на нового сотрудника</t>
  </si>
  <si>
    <t xml:space="preserve">Ноутбук и лицензии; относится на расходы года</t>
  </si>
  <si>
    <t xml:space="preserve">З10</t>
  </si>
  <si>
    <t xml:space="preserve">Регистрация, аккредитация ИТ, реестр российского ПО (2027)</t>
  </si>
  <si>
    <t xml:space="preserve">Госпошлины, юридическое сопровождение, подготовка документов</t>
  </si>
  <si>
    <t xml:space="preserve">З11</t>
  </si>
  <si>
    <t xml:space="preserve">Рост прочих затрат</t>
  </si>
  <si>
    <t xml:space="preserve">Инфляция затрат</t>
  </si>
  <si>
    <t xml:space="preserve">З12</t>
  </si>
  <si>
    <t xml:space="preserve">Резерв на непредвиденное</t>
  </si>
  <si>
    <t xml:space="preserve">доля затрат</t>
  </si>
  <si>
    <t xml:space="preserve">Обычный резерв ранней стадии</t>
  </si>
  <si>
    <t xml:space="preserve">Н. Налоги и деньги</t>
  </si>
  <si>
    <t xml:space="preserve">Н1</t>
  </si>
  <si>
    <t xml:space="preserve">Налог на прибыль аккредитованной ИТ-компании</t>
  </si>
  <si>
    <t xml:space="preserve">5 % в 2025–2030 годах (M-24, S12); в 2031 году оставлен тот же — допущение</t>
  </si>
  <si>
    <t xml:space="preserve">НК РФ, ст. 284</t>
  </si>
  <si>
    <t xml:space="preserve">Н2</t>
  </si>
  <si>
    <t xml:space="preserve">Перенос убытка: не больше доли прибыли года</t>
  </si>
  <si>
    <t xml:space="preserve">Ограничение переноса убытков 50 % налоговой базы (НК РФ, ст. 283)</t>
  </si>
  <si>
    <t xml:space="preserve">Н3</t>
  </si>
  <si>
    <t xml:space="preserve">Срок оплаты банками (дебиторская задолженность)</t>
  </si>
  <si>
    <t xml:space="preserve">дней выручки</t>
  </si>
  <si>
    <t xml:space="preserve">Закупка и приёмка в банке</t>
  </si>
  <si>
    <t xml:space="preserve">Н4</t>
  </si>
  <si>
    <t xml:space="preserve">Ставка дисконтирования</t>
  </si>
  <si>
    <t xml:space="preserve">Ключевая ставка 14 % (23.10.2026, M-23) плюс премия за риск ранней стадии</t>
  </si>
  <si>
    <t xml:space="preserve">Н5</t>
  </si>
  <si>
    <t xml:space="preserve">Рост денежного потока после 2031 года</t>
  </si>
  <si>
    <t xml:space="preserve">На уровне цели по инфляции</t>
  </si>
  <si>
    <t xml:space="preserve">Н6</t>
  </si>
  <si>
    <t xml:space="preserve">Запас к потребности в финансировании</t>
  </si>
  <si>
    <t xml:space="preserve">Подушка на сдвиг сроков закупок</t>
  </si>
  <si>
    <t xml:space="preserve">План продаж и команды</t>
  </si>
  <si>
    <t xml:space="preserve">Новые договоры и численность в ставках на конец года; 2026 — исходные значения</t>
  </si>
  <si>
    <t xml:space="preserve">Оклад 2027</t>
  </si>
  <si>
    <t xml:space="preserve">2026</t>
  </si>
  <si>
    <t xml:space="preserve">Итого</t>
  </si>
  <si>
    <t xml:space="preserve">КД1</t>
  </si>
  <si>
    <t xml:space="preserve">Новые банки уровня 1 (кроме ВТБ)</t>
  </si>
  <si>
    <t xml:space="preserve">КД2</t>
  </si>
  <si>
    <t xml:space="preserve">Новые банки уровня 2</t>
  </si>
  <si>
    <t xml:space="preserve">КЧ1</t>
  </si>
  <si>
    <t xml:space="preserve">Основатели: продукт и продажи, архитектура правил</t>
  </si>
  <si>
    <t xml:space="preserve">КЧ2</t>
  </si>
  <si>
    <t xml:space="preserve">Разработчики</t>
  </si>
  <si>
    <t xml:space="preserve">КЧ3</t>
  </si>
  <si>
    <t xml:space="preserve">Юрист-аналитик правил</t>
  </si>
  <si>
    <t xml:space="preserve">КЧ4</t>
  </si>
  <si>
    <t xml:space="preserve">Инженеры внедрения и поддержки</t>
  </si>
  <si>
    <t xml:space="preserve">КЧ5</t>
  </si>
  <si>
    <t xml:space="preserve">Инженер качества и ИБ</t>
  </si>
  <si>
    <t xml:space="preserve">КЧ6</t>
  </si>
  <si>
    <t xml:space="preserve">Менеджер по работе с банками</t>
  </si>
  <si>
    <t xml:space="preserve">БД1</t>
  </si>
  <si>
    <t xml:space="preserve">БД2</t>
  </si>
  <si>
    <t xml:space="preserve">БЧ1</t>
  </si>
  <si>
    <t xml:space="preserve">БЧ2</t>
  </si>
  <si>
    <t xml:space="preserve">БЧ3</t>
  </si>
  <si>
    <t xml:space="preserve">БЧ4</t>
  </si>
  <si>
    <t xml:space="preserve">БЧ5</t>
  </si>
  <si>
    <t xml:space="preserve">БЧ6</t>
  </si>
  <si>
    <t xml:space="preserve">ОД1</t>
  </si>
  <si>
    <t xml:space="preserve">ОД2</t>
  </si>
  <si>
    <t xml:space="preserve">ОЧ1</t>
  </si>
  <si>
    <t xml:space="preserve">ОЧ2</t>
  </si>
  <si>
    <t xml:space="preserve">ОЧ3</t>
  </si>
  <si>
    <t xml:space="preserve">ОЧ4</t>
  </si>
  <si>
    <t xml:space="preserve">ОЧ5</t>
  </si>
  <si>
    <t xml:space="preserve">ОЧ6</t>
  </si>
  <si>
    <t xml:space="preserve">Оклады 2027 года, тыс. ₽ в месяц до вычета налогов. Ориентиры: вакансии Python-разработчиков 180–300 тыс. ₽ (middle) и 300–400 тыс. ₽ (senior) на career.habr.com (S14); основатели — ниже рынка до выхода на прибыль.</t>
  </si>
  <si>
    <t xml:space="preserve">Эффект и окупаемость для ВТБ</t>
  </si>
  <si>
    <t xml:space="preserve">Ставки и ущерб повторяют расчёт презентации (C-15, C-16); деньги — млн ₽ в год без НДС, цены 2027 года</t>
  </si>
  <si>
    <t xml:space="preserve">Как считается</t>
  </si>
  <si>
    <t xml:space="preserve">Параметры (ссылки на «Допущения»)</t>
  </si>
  <si>
    <t xml:space="preserve">Допущения, строка П1</t>
  </si>
  <si>
    <t xml:space="preserve">Допущения, строка П2</t>
  </si>
  <si>
    <t xml:space="preserve">Допущения, строка П3</t>
  </si>
  <si>
    <t xml:space="preserve">Допущения, строка П4</t>
  </si>
  <si>
    <t xml:space="preserve">Допущения, строка П5</t>
  </si>
  <si>
    <t xml:space="preserve">Допущения, строка П6</t>
  </si>
  <si>
    <t xml:space="preserve">Допущения, строка П7</t>
  </si>
  <si>
    <t xml:space="preserve">Допущения, строка П8</t>
  </si>
  <si>
    <t xml:space="preserve">Допущения, строка Э1</t>
  </si>
  <si>
    <t xml:space="preserve">Допущения, строка Э2</t>
  </si>
  <si>
    <t xml:space="preserve">Допущения, строка Э3</t>
  </si>
  <si>
    <t xml:space="preserve">Допущения, строка Э4</t>
  </si>
  <si>
    <t xml:space="preserve">Допущения, строка Э5</t>
  </si>
  <si>
    <t xml:space="preserve">Допущения, строка Э6</t>
  </si>
  <si>
    <t xml:space="preserve">Допущения, строка Ц1</t>
  </si>
  <si>
    <t xml:space="preserve">Допущения, строка Ц2</t>
  </si>
  <si>
    <t xml:space="preserve">Допущения, строка Ц4</t>
  </si>
  <si>
    <t xml:space="preserve">Допущения, строка Б6</t>
  </si>
  <si>
    <t xml:space="preserve">Допущения, строка Б1</t>
  </si>
  <si>
    <t xml:space="preserve">Допущения, строка Б2</t>
  </si>
  <si>
    <t xml:space="preserve">Допущения, строка Б3</t>
  </si>
  <si>
    <t xml:space="preserve">Допущения, строка Б4</t>
  </si>
  <si>
    <t xml:space="preserve">Допущения, строка Б5</t>
  </si>
  <si>
    <t xml:space="preserve">Допущения, строка Б7</t>
  </si>
  <si>
    <t xml:space="preserve">Допущения, строка Б8</t>
  </si>
  <si>
    <t xml:space="preserve">Допущения, строка Б9</t>
  </si>
  <si>
    <t xml:space="preserve">1. Высвобождение времени</t>
  </si>
  <si>
    <t xml:space="preserve">Кейсов смены или добавления подписанта в год</t>
  </si>
  <si>
    <t xml:space="preserve">тыс.</t>
  </si>
  <si>
    <t xml:space="preserve">клиенты × доля с событием</t>
  </si>
  <si>
    <t xml:space="preserve">Часов ручной проверки в год</t>
  </si>
  <si>
    <t xml:space="preserve">тыс. часов</t>
  </si>
  <si>
    <t xml:space="preserve">кейсы × минуты / 60</t>
  </si>
  <si>
    <t xml:space="preserve">часы / часы на ставку</t>
  </si>
  <si>
    <t xml:space="preserve">То же, округлено (как в презентации, C-15)</t>
  </si>
  <si>
    <t xml:space="preserve">сверяется на листе «Проверки»</t>
  </si>
  <si>
    <t xml:space="preserve">Полная стоимость ставки</t>
  </si>
  <si>
    <t xml:space="preserve">оклад × 12 × (1 + взносы) × (1 + накладные)</t>
  </si>
  <si>
    <t xml:space="preserve">Стоимость высвобожденного времени (ёмкость)</t>
  </si>
  <si>
    <t xml:space="preserve">ставки × стоимость ставки</t>
  </si>
  <si>
    <t xml:space="preserve">Денежная экономия на времени</t>
  </si>
  <si>
    <t xml:space="preserve">ёмкость × доля, которая становится экономией</t>
  </si>
  <si>
    <t xml:space="preserve">2. Предотвращённый ущерб</t>
  </si>
  <si>
    <t xml:space="preserve">Средняя операция без согласия у юрлица</t>
  </si>
  <si>
    <t xml:space="preserve">объём за квартал / число операций</t>
  </si>
  <si>
    <t xml:space="preserve">Таких операций в год по всем банкам</t>
  </si>
  <si>
    <t xml:space="preserve">квартал × 4</t>
  </si>
  <si>
    <t xml:space="preserve">Предотвращённый ущерб клиентов ВТБ</t>
  </si>
  <si>
    <t xml:space="preserve">операции × доля ВТБ × доля с полномочиями × средняя операция</t>
  </si>
  <si>
    <t xml:space="preserve">То же, округлено (как в презентации, C-16)</t>
  </si>
  <si>
    <t xml:space="preserve">Из него несёт банк</t>
  </si>
  <si>
    <t xml:space="preserve">ущерб × доля банка</t>
  </si>
  <si>
    <t xml:space="preserve">3. Эффект в год</t>
  </si>
  <si>
    <t xml:space="preserve">время целиком + ущерб, который несёт банк</t>
  </si>
  <si>
    <t xml:space="preserve">денежная экономия + ущерб банка</t>
  </si>
  <si>
    <t xml:space="preserve">Эффект с ущербом клиентов</t>
  </si>
  <si>
    <t xml:space="preserve">время + весь предотвращённый ущерб</t>
  </si>
  <si>
    <t xml:space="preserve">4. Затраты банка</t>
  </si>
  <si>
    <t xml:space="preserve">Подписка «Мандата» для ВТБ</t>
  </si>
  <si>
    <t xml:space="preserve">постоянная часть + клиенты × плата за клиента; лицензия из реестра ПО — без НДС</t>
  </si>
  <si>
    <t xml:space="preserve">Внедрение с НДС</t>
  </si>
  <si>
    <t xml:space="preserve">услуга облагается НДС, банк его не вычитает</t>
  </si>
  <si>
    <t xml:space="preserve">Интеграция силами банка</t>
  </si>
  <si>
    <t xml:space="preserve">человеко-годы × стоимость</t>
  </si>
  <si>
    <t xml:space="preserve">Разовые затраты банка</t>
  </si>
  <si>
    <t xml:space="preserve">внедрение + интеграция + инфраструктура + оценка ИБ</t>
  </si>
  <si>
    <t xml:space="preserve">Ежегодные затраты банка</t>
  </si>
  <si>
    <t xml:space="preserve">подписка + сопровождение силами банка</t>
  </si>
  <si>
    <t xml:space="preserve">5. Окупаемость для банка: деньги</t>
  </si>
  <si>
    <t xml:space="preserve">Чистый эффект первого года</t>
  </si>
  <si>
    <t xml:space="preserve">эффект × раскачка − ежегодные</t>
  </si>
  <si>
    <t xml:space="preserve">Чистый эффект со второго года</t>
  </si>
  <si>
    <t xml:space="preserve">эффект − ежегодные</t>
  </si>
  <si>
    <t xml:space="preserve">Отдача за 3 года на вложенный рубль</t>
  </si>
  <si>
    <t xml:space="preserve">(чистый эффект 3 лет − разовые) / (разовые + ежегодные × 3)</t>
  </si>
  <si>
    <t xml:space="preserve">Срок окупаемости разовых затрат</t>
  </si>
  <si>
    <t xml:space="preserve">месяцы до возврата разовых затрат с учётом раскачки</t>
  </si>
  <si>
    <t xml:space="preserve">5. Окупаемость для банка: ёмкость</t>
  </si>
  <si>
    <t xml:space="preserve">6. Цена и «купить или сделать»</t>
  </si>
  <si>
    <t xml:space="preserve">Подписка в доле прямого эффекта (ёмкость)</t>
  </si>
  <si>
    <t xml:space="preserve">условие цены: не больше 15 %</t>
  </si>
  <si>
    <t xml:space="preserve">Подписка в доле прямого эффекта (деньги)</t>
  </si>
  <si>
    <t xml:space="preserve">справочно</t>
  </si>
  <si>
    <t xml:space="preserve">Купить: затраты в год за горизонт</t>
  </si>
  <si>
    <t xml:space="preserve">ежегодные + разовые / горизонт</t>
  </si>
  <si>
    <t xml:space="preserve">Сделать самим: затраты в год за горизонт</t>
  </si>
  <si>
    <t xml:space="preserve">создание / горизонт + команда сопровождения + инфраструктура / горизонт</t>
  </si>
  <si>
    <t xml:space="preserve">Купить в доле от «сделать самим»</t>
  </si>
  <si>
    <t xml:space="preserve">условие цены: меньше 100 %</t>
  </si>
  <si>
    <t xml:space="preserve">Объём рынка: банки России</t>
  </si>
  <si>
    <t xml:space="preserve">Снизу вверх — банки по уровням × цена подписки; сверху вниз — ценность задачи × доля поставщика. Млн ₽ в год без НДС, цены 2027 года</t>
  </si>
  <si>
    <t xml:space="preserve">Параметры (ссылки на «Допущения» и «Эффект для банка»)</t>
  </si>
  <si>
    <t xml:space="preserve">Допущения, строка Р1</t>
  </si>
  <si>
    <t xml:space="preserve">Допущения, строка Р2</t>
  </si>
  <si>
    <t xml:space="preserve">Допущения, строка Р3</t>
  </si>
  <si>
    <t xml:space="preserve">Допущения, строка Р4</t>
  </si>
  <si>
    <t xml:space="preserve">Допущения, строка Р5</t>
  </si>
  <si>
    <t xml:space="preserve">Допущения, строка Р6</t>
  </si>
  <si>
    <t xml:space="preserve">Допущения, строка Р7</t>
  </si>
  <si>
    <t xml:space="preserve">Допущения, строка Р8</t>
  </si>
  <si>
    <t xml:space="preserve">Допущения, строка Ц3</t>
  </si>
  <si>
    <t xml:space="preserve">Допущения, строка Ц7</t>
  </si>
  <si>
    <t xml:space="preserve">Стоимость высвобожденного времени ВТБ</t>
  </si>
  <si>
    <t xml:space="preserve">лист «Эффект для банка»</t>
  </si>
  <si>
    <t xml:space="preserve">Средняя операция без согласия</t>
  </si>
  <si>
    <t xml:space="preserve">1. Банки и клиенты-бизнесы</t>
  </si>
  <si>
    <t xml:space="preserve">Уровень 3: остальные банки</t>
  </si>
  <si>
    <t xml:space="preserve">всего − уровень 1 − уровень 2</t>
  </si>
  <si>
    <t xml:space="preserve">Отношений «банк — клиент-бизнес» в России</t>
  </si>
  <si>
    <t xml:space="preserve">клиенты ВТБ / доля ВТБ</t>
  </si>
  <si>
    <t xml:space="preserve">Из них в банках уровня 1</t>
  </si>
  <si>
    <t xml:space="preserve">всего × доля уровня 1</t>
  </si>
  <si>
    <t xml:space="preserve">В банках уровня 2</t>
  </si>
  <si>
    <t xml:space="preserve">всего × доля уровня 2</t>
  </si>
  <si>
    <t xml:space="preserve">В банках уровня 3</t>
  </si>
  <si>
    <t xml:space="preserve">остаток</t>
  </si>
  <si>
    <t xml:space="preserve">Клиентов-бизнесов у банка уровня 1, кроме ВТБ, в среднем</t>
  </si>
  <si>
    <t xml:space="preserve">(уровень 1 − ВТБ) / (банков уровня 1 − 1); база для подписки других банков</t>
  </si>
  <si>
    <t xml:space="preserve">Клиентов-бизнесов у банка уровня 2 в среднем</t>
  </si>
  <si>
    <t xml:space="preserve">уровень 2 / банков уровня 2</t>
  </si>
  <si>
    <t xml:space="preserve">2. Снизу вверх: все банки по прайсу</t>
  </si>
  <si>
    <t xml:space="preserve">Уровень 1</t>
  </si>
  <si>
    <t xml:space="preserve">банки × постоянная часть + клиенты × плата за клиента</t>
  </si>
  <si>
    <t xml:space="preserve">Уровень 2</t>
  </si>
  <si>
    <t xml:space="preserve">то же</t>
  </si>
  <si>
    <t xml:space="preserve">Уровень 3 (через партнёров)</t>
  </si>
  <si>
    <t xml:space="preserve">банки × цена через партнёра</t>
  </si>
  <si>
    <t xml:space="preserve">сумма уровней</t>
  </si>
  <si>
    <t xml:space="preserve">SAM: банки уровней 1 и 2 (установка в контуре)</t>
  </si>
  <si>
    <t xml:space="preserve">уровни, которые обслуживаем сами</t>
  </si>
  <si>
    <t xml:space="preserve">Подписка при полном охвате операций, к одной операции</t>
  </si>
  <si>
    <t xml:space="preserve">банк добавляет операции четыре года: (1 + рост подписки) ^ 4</t>
  </si>
  <si>
    <t xml:space="preserve">TAM при полном охвате операций</t>
  </si>
  <si>
    <t xml:space="preserve">TAM × множитель</t>
  </si>
  <si>
    <t xml:space="preserve">SAM × множитель</t>
  </si>
  <si>
    <t xml:space="preserve">3. SOM: годовая подписка на конец 2031 года по плану продаж</t>
  </si>
  <si>
    <t xml:space="preserve">Подписка на конец 2031 года (ARR), номинал</t>
  </si>
  <si>
    <t xml:space="preserve">лист сценария, строка «Годовая подписка на конец года»</t>
  </si>
  <si>
    <t xml:space="preserve">Индекс цен 2031 к 2027</t>
  </si>
  <si>
    <t xml:space="preserve">лист сценария</t>
  </si>
  <si>
    <t xml:space="preserve">SOM в ценах 2027 года</t>
  </si>
  <si>
    <t xml:space="preserve">номинал / индекс</t>
  </si>
  <si>
    <t xml:space="preserve">SOM включает рост подписки за счёт новых операций, поэтому сравнивается с SAM при полном охвате</t>
  </si>
  <si>
    <t xml:space="preserve">4. Сверху вниз: ценность задачи для всех банков</t>
  </si>
  <si>
    <t xml:space="preserve">Стоимость ручной проверки во всех банках</t>
  </si>
  <si>
    <t xml:space="preserve">ёмкость ВТБ / доля ВТБ в отношениях</t>
  </si>
  <si>
    <t xml:space="preserve">Ущерб клиентов из-за полномочий во всех банках</t>
  </si>
  <si>
    <t xml:space="preserve">операции в год × доля с полномочиями × средняя операция</t>
  </si>
  <si>
    <t xml:space="preserve">Ценность для банков: время + ущерб, который несут банки</t>
  </si>
  <si>
    <t xml:space="preserve">Ценность с ущербом клиентов</t>
  </si>
  <si>
    <t xml:space="preserve">Выручка поставщика сверху вниз</t>
  </si>
  <si>
    <t xml:space="preserve">ценность для банков × доля поставщика</t>
  </si>
  <si>
    <t xml:space="preserve">TAM по прайсу в доле ценности для банков</t>
  </si>
  <si>
    <t xml:space="preserve">выше доли поставщика: постоянная часть подписки оплачивает сопровождение правил, а не только время</t>
  </si>
  <si>
    <t xml:space="preserve">Расчёт: консервативный сценарий</t>
  </si>
  <si>
    <t xml:space="preserve">Входы — зелёные ссылки на «Допущения», «План» и «Рынок»; в строке одна формула для всех лет; млн ₽ без НДС</t>
  </si>
  <si>
    <t xml:space="preserve">Константа</t>
  </si>
  <si>
    <t xml:space="preserve">Итого 2027–2031</t>
  </si>
  <si>
    <t xml:space="preserve">Входные данные (ссылки на «Допущения», «План», «Рынок»)</t>
  </si>
  <si>
    <t xml:space="preserve">Год договора с ВТБ</t>
  </si>
  <si>
    <t xml:space="preserve">Клиенты-бизнесы ВТБ</t>
  </si>
  <si>
    <t xml:space="preserve">Подписка уровня 1: постоянная часть</t>
  </si>
  <si>
    <t xml:space="preserve">Плата за активного клиента-бизнес</t>
  </si>
  <si>
    <t xml:space="preserve">Подписка уровня 2: постоянная часть</t>
  </si>
  <si>
    <t xml:space="preserve">Внедрение, уровень 1</t>
  </si>
  <si>
    <t xml:space="preserve">Внедрение, уровень 2</t>
  </si>
  <si>
    <t xml:space="preserve">Рост подписки за счёт новых операций</t>
  </si>
  <si>
    <t xml:space="preserve">Взносы в пределах базы</t>
  </si>
  <si>
    <t xml:space="preserve">Взносы сверх базы</t>
  </si>
  <si>
    <t xml:space="preserve">Предельная база взносов 2026</t>
  </si>
  <si>
    <t xml:space="preserve">Рост базы</t>
  </si>
  <si>
    <t xml:space="preserve">Анализ уязвимостей по ОУД4 — первый</t>
  </si>
  <si>
    <t xml:space="preserve">Инфраструктура на сотрудника</t>
  </si>
  <si>
    <t xml:space="preserve">Продажи: постоянная часть</t>
  </si>
  <si>
    <t xml:space="preserve">Продажи: на договор</t>
  </si>
  <si>
    <t xml:space="preserve">Регистрация, аккредитация, реестр ПО</t>
  </si>
  <si>
    <t xml:space="preserve">Резерв</t>
  </si>
  <si>
    <t xml:space="preserve">Налог на прибыль</t>
  </si>
  <si>
    <t xml:space="preserve">Перенос убытка: доля прибыли</t>
  </si>
  <si>
    <t xml:space="preserve">Срок оплаты банками</t>
  </si>
  <si>
    <t xml:space="preserve">дней</t>
  </si>
  <si>
    <t xml:space="preserve">Рост после 2031 года</t>
  </si>
  <si>
    <t xml:space="preserve">Запас к финансированию</t>
  </si>
  <si>
    <t xml:space="preserve">Клиентов у банка уровня 1, кроме ВТБ</t>
  </si>
  <si>
    <t xml:space="preserve">лист «Рынок»</t>
  </si>
  <si>
    <t xml:space="preserve">Клиентов у банка уровня 2</t>
  </si>
  <si>
    <t xml:space="preserve">Оклад: Основатели: продукт и продажи, архитектура правил</t>
  </si>
  <si>
    <t xml:space="preserve">лист «План»</t>
  </si>
  <si>
    <t xml:space="preserve">Оклад: Разработчики</t>
  </si>
  <si>
    <t xml:space="preserve">Оклад: Юрист-аналитик правил</t>
  </si>
  <si>
    <t xml:space="preserve">Оклад: Инженеры внедрения и поддержки</t>
  </si>
  <si>
    <t xml:space="preserve">Оклад: Инженер качества и ИБ</t>
  </si>
  <si>
    <t xml:space="preserve">Оклад: Менеджер по работе с банками</t>
  </si>
  <si>
    <t xml:space="preserve">Численность: Основатели: продукт и продажи, архитектура правил</t>
  </si>
  <si>
    <t xml:space="preserve">Численность: Разработчики</t>
  </si>
  <si>
    <t xml:space="preserve">Численность: Юрист-аналитик правил</t>
  </si>
  <si>
    <t xml:space="preserve">Численность: Инженеры внедрения и поддержки</t>
  </si>
  <si>
    <t xml:space="preserve">Численность: Инженер качества и ИБ</t>
  </si>
  <si>
    <t xml:space="preserve">Численность: Менеджер по работе с банками</t>
  </si>
  <si>
    <t xml:space="preserve">1. Время</t>
  </si>
  <si>
    <t xml:space="preserve">Год</t>
  </si>
  <si>
    <t xml:space="preserve">предыдущий + 1</t>
  </si>
  <si>
    <t xml:space="preserve">Индекс цен к 2027 году</t>
  </si>
  <si>
    <t xml:space="preserve">(1 + индексация) ^ (год − 2027)</t>
  </si>
  <si>
    <t xml:space="preserve">Индекс прочих затрат к 2027 году</t>
  </si>
  <si>
    <t xml:space="preserve">то же для затрат</t>
  </si>
  <si>
    <t xml:space="preserve">Индекс окладов к 2027 году</t>
  </si>
  <si>
    <t xml:space="preserve">то же для окладов</t>
  </si>
  <si>
    <t xml:space="preserve">Предельная база взносов</t>
  </si>
  <si>
    <t xml:space="preserve">база 2026 × (1 + рост) ^ (год − 2026)</t>
  </si>
  <si>
    <t xml:space="preserve">2. Договоры</t>
  </si>
  <si>
    <t xml:space="preserve">Договор с ВТБ (1 — в этом году)</t>
  </si>
  <si>
    <t xml:space="preserve">год договора с ВТБ</t>
  </si>
  <si>
    <t xml:space="preserve">Новые банки уровня 1, с ВТБ</t>
  </si>
  <si>
    <t xml:space="preserve">ВТБ + другие</t>
  </si>
  <si>
    <t xml:space="preserve">Банки уровня 1 с договором, на конец года</t>
  </si>
  <si>
    <t xml:space="preserve">накопленным итогом</t>
  </si>
  <si>
    <t xml:space="preserve">Банки уровня 2 с договором, на конец года</t>
  </si>
  <si>
    <t xml:space="preserve">Банков с договором, на конец года</t>
  </si>
  <si>
    <t xml:space="preserve">уровень 1 + уровень 2</t>
  </si>
  <si>
    <t xml:space="preserve">Новых договоров за год</t>
  </si>
  <si>
    <t xml:space="preserve">3. Выручка, млн ₽ без НДС</t>
  </si>
  <si>
    <t xml:space="preserve">Подписка ВТБ</t>
  </si>
  <si>
    <t xml:space="preserve">со следующего года после договора; растёт с новыми операциями; индексируется</t>
  </si>
  <si>
    <t xml:space="preserve">Подписка других банков уровня 1</t>
  </si>
  <si>
    <t xml:space="preserve">по годам договоров: подписка × (1 + рост) ^ (лет после первого года) × индекс</t>
  </si>
  <si>
    <t xml:space="preserve">Подписка банков уровня 2</t>
  </si>
  <si>
    <t xml:space="preserve">то же для уровня 2</t>
  </si>
  <si>
    <t xml:space="preserve">Внедрение</t>
  </si>
  <si>
    <t xml:space="preserve">новые договоры × плата за внедрение × индекс</t>
  </si>
  <si>
    <t xml:space="preserve">Подписка всего</t>
  </si>
  <si>
    <t xml:space="preserve">подписка + внедрение</t>
  </si>
  <si>
    <t xml:space="preserve">Годовая подписка на конец года (ARR)</t>
  </si>
  <si>
    <t xml:space="preserve">подписка всех банков с договором в ценах года</t>
  </si>
  <si>
    <t xml:space="preserve">4. Затраты, млн ₽</t>
  </si>
  <si>
    <t xml:space="preserve">Численность команды</t>
  </si>
  <si>
    <t xml:space="preserve">сумма по ролям</t>
  </si>
  <si>
    <t xml:space="preserve">Новые сотрудники</t>
  </si>
  <si>
    <t xml:space="preserve">прирост численности</t>
  </si>
  <si>
    <t xml:space="preserve">Годовой оклад на ставку: Основатели: продукт и продажи, архитектура правил</t>
  </si>
  <si>
    <t xml:space="preserve">оклад × 12 × индекс</t>
  </si>
  <si>
    <t xml:space="preserve">Годовой оклад на ставку: Разработчики</t>
  </si>
  <si>
    <t xml:space="preserve">Годовой оклад на ставку: Юрист-аналитик правил</t>
  </si>
  <si>
    <t xml:space="preserve">Годовой оклад на ставку: Инженеры внедрения и поддержки</t>
  </si>
  <si>
    <t xml:space="preserve">Годовой оклад на ставку: Инженер качества и ИБ</t>
  </si>
  <si>
    <t xml:space="preserve">Годовой оклад на ставку: Менеджер по работе с банками</t>
  </si>
  <si>
    <t xml:space="preserve">Фонд оплаты труда: Основатели: продукт и продажи, архитектура правил</t>
  </si>
  <si>
    <t xml:space="preserve">ставки × годовой оклад</t>
  </si>
  <si>
    <t xml:space="preserve">Фонд оплаты труда: Разработчики</t>
  </si>
  <si>
    <t xml:space="preserve">Фонд оплаты труда: Юрист-аналитик правил</t>
  </si>
  <si>
    <t xml:space="preserve">Фонд оплаты труда: Инженеры внедрения и поддержки</t>
  </si>
  <si>
    <t xml:space="preserve">Фонд оплаты труда: Инженер качества и ИБ</t>
  </si>
  <si>
    <t xml:space="preserve">Фонд оплаты труда: Менеджер по работе с банками</t>
  </si>
  <si>
    <t xml:space="preserve">Фонд оплаты труда</t>
  </si>
  <si>
    <t xml:space="preserve">Страховые взносы</t>
  </si>
  <si>
    <t xml:space="preserve">по каждой роли: в пределах базы × льготный тариф + сверх базы × 7,6 % + травматизм</t>
  </si>
  <si>
    <t xml:space="preserve">Первый договор (1 — в этом году)</t>
  </si>
  <si>
    <t xml:space="preserve">Оценка ИБ (анализ уязвимостей)</t>
  </si>
  <si>
    <t xml:space="preserve">первая — в год первого договора, дальше — ежегодно</t>
  </si>
  <si>
    <t xml:space="preserve">Инфраструктура и инструменты</t>
  </si>
  <si>
    <t xml:space="preserve">на сотрудника</t>
  </si>
  <si>
    <t xml:space="preserve">Продажи и маркетинг</t>
  </si>
  <si>
    <t xml:space="preserve">постоянная часть + на договор</t>
  </si>
  <si>
    <t xml:space="preserve">Административные</t>
  </si>
  <si>
    <t xml:space="preserve">постоянная часть + на сотрудника</t>
  </si>
  <si>
    <t xml:space="preserve">Оборудование</t>
  </si>
  <si>
    <t xml:space="preserve">на нового сотрудника</t>
  </si>
  <si>
    <t xml:space="preserve">только 2027 год</t>
  </si>
  <si>
    <t xml:space="preserve">Затраты до резерва</t>
  </si>
  <si>
    <t xml:space="preserve">Затраты всего</t>
  </si>
  <si>
    <t xml:space="preserve">5. Отчёт о прибылях, млн ₽</t>
  </si>
  <si>
    <t xml:space="preserve">Операционная прибыль (EBITDA)</t>
  </si>
  <si>
    <t xml:space="preserve">выручка − затраты; амортизации нет: оборудование списывается в год покупки</t>
  </si>
  <si>
    <t xml:space="preserve">Операционная рентабельность</t>
  </si>
  <si>
    <t xml:space="preserve">Перенесённый убыток на начало года</t>
  </si>
  <si>
    <t xml:space="preserve">Использовано убытка</t>
  </si>
  <si>
    <t xml:space="preserve">не больше доли прибыли года</t>
  </si>
  <si>
    <t xml:space="preserve">Налоговая база</t>
  </si>
  <si>
    <t xml:space="preserve">Перенесённый убыток на конец года</t>
  </si>
  <si>
    <t xml:space="preserve">Чистая прибыль</t>
  </si>
  <si>
    <t xml:space="preserve">6. Деньги, млн ₽</t>
  </si>
  <si>
    <t xml:space="preserve">Дебиторская задолженность на конец года</t>
  </si>
  <si>
    <t xml:space="preserve">выручка × дни / 365</t>
  </si>
  <si>
    <t xml:space="preserve">Прирост дебиторской задолженности</t>
  </si>
  <si>
    <t xml:space="preserve">Свободный денежный поток</t>
  </si>
  <si>
    <t xml:space="preserve">чистая прибыль − прирост дебиторки; капвложений нет</t>
  </si>
  <si>
    <t xml:space="preserve">до внешнего финансирования</t>
  </si>
  <si>
    <t xml:space="preserve">Коэффициент дисконтирования</t>
  </si>
  <si>
    <t xml:space="preserve">конец года, к концу 2026</t>
  </si>
  <si>
    <t xml:space="preserve">Дисконтированный поток</t>
  </si>
  <si>
    <t xml:space="preserve">Остаточная стоимость (только 2031)</t>
  </si>
  <si>
    <t xml:space="preserve">поток 2031 × (1 + рост) / (ставка − рост); отрицательный поток не продлевается</t>
  </si>
  <si>
    <t xml:space="preserve">Дисконтированная остаточная стоимость</t>
  </si>
  <si>
    <t xml:space="preserve">Поток с остаточной стоимостью</t>
  </si>
  <si>
    <t xml:space="preserve">для IRR</t>
  </si>
  <si>
    <t xml:space="preserve">Операционная прибыль впервые (год)</t>
  </si>
  <si>
    <t xml:space="preserve">служебная строка</t>
  </si>
  <si>
    <t xml:space="preserve">Накопленный поток впервые положителен (год)</t>
  </si>
  <si>
    <t xml:space="preserve">7. Итоги сценария</t>
  </si>
  <si>
    <t xml:space="preserve">Выручка 2031 года</t>
  </si>
  <si>
    <t xml:space="preserve">Годовая подписка на конец 2031 года (ARR)</t>
  </si>
  <si>
    <t xml:space="preserve">Операционная прибыль 2031 года</t>
  </si>
  <si>
    <t xml:space="preserve">Банков с договором на конец 2031 года</t>
  </si>
  <si>
    <t xml:space="preserve">Команда на конец 2031 года</t>
  </si>
  <si>
    <t xml:space="preserve">Наибольший накопленный дефицит</t>
  </si>
  <si>
    <t xml:space="preserve">Потребность во внешнем финансировании с запасом</t>
  </si>
  <si>
    <t xml:space="preserve">Накопленный поток на конец 2031 года</t>
  </si>
  <si>
    <t xml:space="preserve">NPV 2027–2031 без остаточной стоимости</t>
  </si>
  <si>
    <t xml:space="preserve">Год, когда накопленный поток становится положительным</t>
  </si>
  <si>
    <t xml:space="preserve">Расчёт: базовый сценарий</t>
  </si>
  <si>
    <t xml:space="preserve">Расчёт: оптимистичный сценарий</t>
  </si>
  <si>
    <t xml:space="preserve">Чувствительность NPV базового сценария</t>
  </si>
  <si>
    <t xml:space="preserve">Каждое допущение меняется на ±20 %, остальные — как в базовом сценарии. Блоки расчёта ниже — та же структура, что на листе «Базовый»</t>
  </si>
  <si>
    <t xml:space="preserve">Допущение</t>
  </si>
  <si>
    <t xml:space="preserve">Изменение</t>
  </si>
  <si>
    <t xml:space="preserve">NPV при −20 %</t>
  </si>
  <si>
    <t xml:space="preserve">NPV при +20 %</t>
  </si>
  <si>
    <t xml:space="preserve">Базовый NPV</t>
  </si>
  <si>
    <t xml:space="preserve">Размах</t>
  </si>
  <si>
    <t xml:space="preserve">Цена подписки</t>
  </si>
  <si>
    <t xml:space="preserve">±20 %</t>
  </si>
  <si>
    <t xml:space="preserve">Число новых банков</t>
  </si>
  <si>
    <t xml:space="preserve">Плата за внедрение</t>
  </si>
  <si>
    <t xml:space="preserve">Оклады команды</t>
  </si>
  <si>
    <t xml:space="preserve">Прочие затраты</t>
  </si>
  <si>
    <t xml:space="preserve">Договор с ВТБ на год позже</t>
  </si>
  <si>
    <t xml:space="preserve">+1 год</t>
  </si>
  <si>
    <t xml:space="preserve">Строки с блоками расчёта свёрнуты: раскройте группу слева, чтобы увидеть формулы.</t>
  </si>
  <si>
    <t xml:space="preserve">Контроль: базовый сценарий без изменений</t>
  </si>
  <si>
    <t xml:space="preserve">Цена подписки: −20 %</t>
  </si>
  <si>
    <t xml:space="preserve">Цена подписки: +20 %</t>
  </si>
  <si>
    <t xml:space="preserve">Число новых банков: −20 %</t>
  </si>
  <si>
    <t xml:space="preserve">Число новых банков: +20 %</t>
  </si>
  <si>
    <t xml:space="preserve">Рост подписки за счёт новых операций: −20 %</t>
  </si>
  <si>
    <t xml:space="preserve">Рост подписки за счёт новых операций: +20 %</t>
  </si>
  <si>
    <t xml:space="preserve">Плата за внедрение: −20 %</t>
  </si>
  <si>
    <t xml:space="preserve">Плата за внедрение: +20 %</t>
  </si>
  <si>
    <t xml:space="preserve">Оклады команды: −20 %</t>
  </si>
  <si>
    <t xml:space="preserve">Оклады команды: +20 %</t>
  </si>
  <si>
    <t xml:space="preserve">Численность команды: −20 %</t>
  </si>
  <si>
    <t xml:space="preserve">Численность команды: +20 %</t>
  </si>
  <si>
    <t xml:space="preserve">Прочие затраты: −20 %</t>
  </si>
  <si>
    <t xml:space="preserve">Прочие затраты: +20 %</t>
  </si>
  <si>
    <t xml:space="preserve">Срок оплаты банками: −20 %</t>
  </si>
  <si>
    <t xml:space="preserve">Срок оплаты банками: +20 %</t>
  </si>
  <si>
    <t xml:space="preserve">Ставка дисконтирования: −20 %</t>
  </si>
  <si>
    <t xml:space="preserve">Ставка дисконтирования: +20 %</t>
  </si>
  <si>
    <t xml:space="preserve">Целостность — должна быть «ОК» всегда; допущения — предупреждение, если цена или доля рынка выходят за рамки</t>
  </si>
  <si>
    <t xml:space="preserve">Проверка</t>
  </si>
  <si>
    <t xml:space="preserve">Ожидается</t>
  </si>
  <si>
    <t xml:space="preserve">Факт</t>
  </si>
  <si>
    <t xml:space="preserve">Статус</t>
  </si>
  <si>
    <t xml:space="preserve">Пояснение</t>
  </si>
  <si>
    <t xml:space="preserve">Целостность</t>
  </si>
  <si>
    <t xml:space="preserve">Ставки совпадают с презентацией (C-15)</t>
  </si>
  <si>
    <t xml:space="preserve">эталон — реестр утверждений</t>
  </si>
  <si>
    <t xml:space="preserve">Ущерб совпадает с презентацией (C-16)</t>
  </si>
  <si>
    <t xml:space="preserve">Выручка = подписка + внедрение</t>
  </si>
  <si>
    <t xml:space="preserve">итоги 2027–2031</t>
  </si>
  <si>
    <t xml:space="preserve">Подписка = ВТБ + уровень 1 + уровень 2</t>
  </si>
  <si>
    <t xml:space="preserve">Накопленный поток = сумма потоков</t>
  </si>
  <si>
    <t xml:space="preserve">Чистая прибыль = EBITDA − налог</t>
  </si>
  <si>
    <t xml:space="preserve">Численность и договоры не отрицательные</t>
  </si>
  <si>
    <t xml:space="preserve">Банков с договором не больше, чем в SAM</t>
  </si>
  <si>
    <t xml:space="preserve">Доли уровней в сумме 100 %</t>
  </si>
  <si>
    <t xml:space="preserve">Банков уровня 3 не меньше нуля</t>
  </si>
  <si>
    <t xml:space="preserve">Блок чувствительности без изменений = лист «Базовый»</t>
  </si>
  <si>
    <t xml:space="preserve">блоки чувствительности считаются той же формулой</t>
  </si>
  <si>
    <t xml:space="preserve">Допущения о цене и рынке</t>
  </si>
  <si>
    <t xml:space="preserve">Подписка не больше 15 % прямого эффекта банка (ёмкость)</t>
  </si>
  <si>
    <t xml:space="preserve">клиент оставляет себе не меньше 85 % эффекта</t>
  </si>
  <si>
    <t xml:space="preserve">Купить дешевле, чем сделать самим</t>
  </si>
  <si>
    <t xml:space="preserve">затраты в год за горизонт сравнения</t>
  </si>
  <si>
    <t xml:space="preserve">SOM не больше 40 % SAM при полном охвате</t>
  </si>
  <si>
    <t xml:space="preserve">доля сегмента за 5 лет</t>
  </si>
  <si>
    <t xml:space="preserve">Ошибок целостности</t>
  </si>
  <si>
    <t xml:space="preserve">Предупреждений о допущениях</t>
  </si>
  <si>
    <t xml:space="preserve">Итог</t>
  </si>
  <si>
    <t xml:space="preserve">Строки M-xx и C-xx — в CLAIMS_REGISTRY.md репозитория; там же граница каждого утверждения</t>
  </si>
  <si>
    <t xml:space="preserve">Код</t>
  </si>
  <si>
    <t xml:space="preserve">Что подтверждает</t>
  </si>
  <si>
    <t xml:space="preserve">Источник</t>
  </si>
  <si>
    <t xml:space="preserve">Дата</t>
  </si>
  <si>
    <t xml:space="preserve">Ссылка</t>
  </si>
  <si>
    <t xml:space="preserve">S01</t>
  </si>
  <si>
    <t xml:space="preserve">Числа о продукте: правила, автотесты, корпус, задержка</t>
  </si>
  <si>
    <t xml:space="preserve">evidence.json, сборка 27.10.2026; команды — в CLAIMS_REGISTRY.md (C-01…C-17)</t>
  </si>
  <si>
    <t xml:space="preserve">27.10.2026</t>
  </si>
  <si>
    <t xml:space="preserve">репозиторий</t>
  </si>
  <si>
    <t xml:space="preserve">https://github.com/KonkovDV/Mandat/blob/main/evidence.json</t>
  </si>
  <si>
    <t xml:space="preserve">S02</t>
  </si>
  <si>
    <t xml:space="preserve">Сценарии эффекта для ВТБ (ставки, ущерб)</t>
  </si>
  <si>
    <t xml:space="preserve">src/mandat/data/effect_scenarios.json; python scripts/effect_model.py --scenarios (C-15, C-16)</t>
  </si>
  <si>
    <t xml:space="preserve">https://github.com/KonkovDV/Mandat/blob/main/docs/ECONOMICS.md</t>
  </si>
  <si>
    <t xml:space="preserve">S03</t>
  </si>
  <si>
    <t xml:space="preserve">Операции без согласия у юрлиц, I кв. 2026: 818 операций, 573 млн ₽, возмещено 15,9 % по счетам</t>
  </si>
  <si>
    <t xml:space="preserve">Банк России, обзор отчётности об инцидентах ИБ при переводе денежных средств (M-07)</t>
  </si>
  <si>
    <t xml:space="preserve">14.05.2026</t>
  </si>
  <si>
    <t xml:space="preserve">первичный</t>
  </si>
  <si>
    <t xml:space="preserve">https://cbr.ru</t>
  </si>
  <si>
    <t xml:space="preserve">S04</t>
  </si>
  <si>
    <t xml:space="preserve">II кв. 2026: у юрлиц похищено свыше 830 млн ₽, доля юрлиц в потерях 11,3 %</t>
  </si>
  <si>
    <t xml:space="preserve">Банк России, обзор за II кв. 2026, в пересказе Интерфакса и Smart-Lab (M-15)</t>
  </si>
  <si>
    <t xml:space="preserve">04.08.2026</t>
  </si>
  <si>
    <t xml:space="preserve">S05</t>
  </si>
  <si>
    <t xml:space="preserve">ВТБ обслуживает около 1,8 млн предприятий и предпринимателей</t>
  </si>
  <si>
    <t xml:space="preserve">Пресс-релиз ВТБ к МСФО за I полугодие 2026 в пересказе altapress.ru и kp.ru (M-09)</t>
  </si>
  <si>
    <t xml:space="preserve">07.2026</t>
  </si>
  <si>
    <t xml:space="preserve">https://altapress.ru</t>
  </si>
  <si>
    <t xml:space="preserve">S06</t>
  </si>
  <si>
    <t xml:space="preserve">В реестре ФНС более 5 млн МЧД</t>
  </si>
  <si>
    <t xml:space="preserve">ФНС, nalog.gov.ru (M-08)</t>
  </si>
  <si>
    <t xml:space="preserve">27.07.2026</t>
  </si>
  <si>
    <t xml:space="preserve">https://www.nalog.gov.ru</t>
  </si>
  <si>
    <t xml:space="preserve">S07</t>
  </si>
  <si>
    <t xml:space="preserve">Около 1,6 млн МЧД в реестре ФНС</t>
  </si>
  <si>
    <t xml:space="preserve">emchd.ru (M-10)</t>
  </si>
  <si>
    <t xml:space="preserve">28.10.2024</t>
  </si>
  <si>
    <t xml:space="preserve">https://emchd.ru</t>
  </si>
  <si>
    <t xml:space="preserve">S08</t>
  </si>
  <si>
    <t xml:space="preserve">Реестр МСП на 10.07.2026: 6 612 445 субъектов, из них 2 022 689 юрлиц и 4 589 756 ИП</t>
  </si>
  <si>
    <t xml:space="preserve">ФНС, ежегодное обновление реестра, в пересказе «ОПОРЫ РОССИИ» и v2b.ru (M-20)</t>
  </si>
  <si>
    <t xml:space="preserve">13.07.2026</t>
  </si>
  <si>
    <t xml:space="preserve">https://www.v2b.ru/2026/07/13/reestr-msp-obnovilsya-kolichestvo-predprinimateley-dostiglo-6-6-mln/</t>
  </si>
  <si>
    <t xml:space="preserve">S09</t>
  </si>
  <si>
    <t xml:space="preserve">Перечень системно значимых банков: 12 банков, около 80 % активов</t>
  </si>
  <si>
    <t xml:space="preserve">The Moscow Times, vbr.ru (M-21)</t>
  </si>
  <si>
    <t xml:space="preserve">07.10.2026</t>
  </si>
  <si>
    <t xml:space="preserve">https://www.vbr.ru/novosti/banki/2026/10/08/bank-rossii-ytverdil-perecen-sistemno-znacimih-bankov/</t>
  </si>
  <si>
    <t xml:space="preserve">S10</t>
  </si>
  <si>
    <t xml:space="preserve">301 банк на 01.07.2026</t>
  </si>
  <si>
    <t xml:space="preserve">brobank.ru по данным Банка России (M-22)</t>
  </si>
  <si>
    <t xml:space="preserve">https://brobank.ru/skolko-bankov-na-segodnya/</t>
  </si>
  <si>
    <t xml:space="preserve">S11</t>
  </si>
  <si>
    <t xml:space="preserve">Ключевая ставка 14 %</t>
  </si>
  <si>
    <t xml:space="preserve">Решение Банка России 23.10.2026 в пересказе СМИ (M-23)</t>
  </si>
  <si>
    <t xml:space="preserve">23.10.2026</t>
  </si>
  <si>
    <t xml:space="preserve">https://bankiros.ru</t>
  </si>
  <si>
    <t xml:space="preserve">S12</t>
  </si>
  <si>
    <t xml:space="preserve">ИТ-льготы и НДС в 2026 году: налог на прибыль 5 %, взносы 15 % и 7,6 %, база 2 979 000 ₽, НДС 22 %, освобождение лицензий на ПО из реестра</t>
  </si>
  <si>
    <t xml:space="preserve">Обзоры РБК Компании, nalog-nalog.ru, buh.ru (M-24); НК РФ не сверяли</t>
  </si>
  <si>
    <t xml:space="preserve">https://companies.rbc.ru/news/FcdBWXkf2B/kak-rabotayut-it-lgotyi-v-2026-nalog-5-vznosyi-15-vyichet-150/</t>
  </si>
  <si>
    <t xml:space="preserve">S13</t>
  </si>
  <si>
    <t xml:space="preserve">Средняя зарплата в финансовой и страховой деятельности — 314 137 ₽ (март 2026)</t>
  </si>
  <si>
    <t xml:space="preserve">Росстат в пересказе «Мэйл Финансы» (M-27)</t>
  </si>
  <si>
    <t xml:space="preserve">https://finance.mail.ru/article/v-rosstate-nazvali-otrasli-gde-bolshe-vsego-za-god-vyrosla-srednyaya-zarplata-69212496/</t>
  </si>
  <si>
    <t xml:space="preserve">S14</t>
  </si>
  <si>
    <t xml:space="preserve">Вилки вакансий: операционисты по работе с юрлицами 60–100 тыс. ₽; Python-разработчики 180–400 тыс. ₽</t>
  </si>
  <si>
    <t xml:space="preserve">hh.ru, career.habr.com — объявления, не статистика (M-33)</t>
  </si>
  <si>
    <t xml:space="preserve">10.2026</t>
  </si>
  <si>
    <t xml:space="preserve">https://career.habr.com</t>
  </si>
  <si>
    <t xml:space="preserve">S15</t>
  </si>
  <si>
    <t xml:space="preserve">ВТБ: клиент — «каждый третий реально действующий бизнес»</t>
  </si>
  <si>
    <t xml:space="preserve">lenta.ru по сообщению ВТБ (M-28)</t>
  </si>
  <si>
    <t xml:space="preserve">28.02.2024</t>
  </si>
  <si>
    <t xml:space="preserve">https://lenta.ru/news/2024/02/28/klientsk/</t>
  </si>
  <si>
    <t xml:space="preserve">S16</t>
  </si>
  <si>
    <t xml:space="preserve">Мировой рынок проверки компаний: 6,13 млрд долл. (2025) → 15,18 млрд (2031); KYC и KYB: 9,2 млрд долл. (2024) → 22 млрд (2029)</t>
  </si>
  <si>
    <t xml:space="preserve">Mordor Intelligence; Juniper Research — страницы отчётов (M-25)</t>
  </si>
  <si>
    <t xml:space="preserve">2025–2026</t>
  </si>
  <si>
    <t xml:space="preserve">https://www.mordorintelligence.com/industry-reports/business-identity-verification-market</t>
  </si>
  <si>
    <t xml:space="preserve">S17</t>
  </si>
  <si>
    <t xml:space="preserve">Рынок систем ЭДО в России — 95 млрд ₽ (2024)</t>
  </si>
  <si>
    <t xml:space="preserve">BusinesStat в пересказе (M-26)</t>
  </si>
  <si>
    <t xml:space="preserve">2025</t>
  </si>
  <si>
    <t xml:space="preserve">https://marketing.rbc.ru</t>
  </si>
  <si>
    <t xml:space="preserve">S18</t>
  </si>
  <si>
    <t xml:space="preserve">130 страховых организаций (01.04.2026); 833 МФО (весна 2026)</t>
  </si>
  <si>
    <t xml:space="preserve">Банк России в выдаче поиска; 1000bankov.ru (M-29)</t>
  </si>
  <si>
    <t xml:space="preserve">https://www.cbr.ru/insurance/</t>
  </si>
  <si>
    <t xml:space="preserve">S19</t>
  </si>
  <si>
    <t xml:space="preserve">Стоимость KYC-проверки и потеря клиентов из-за медленного подключения</t>
  </si>
  <si>
    <t xml:space="preserve">Fenergo, пресс-релизы 11.10.2022 и 07.10.2025 (M-11) — данные поставщика ПО</t>
  </si>
  <si>
    <t xml:space="preserve">07.10.2025</t>
  </si>
  <si>
    <t xml:space="preserve">https://www.fenergo.com</t>
  </si>
  <si>
    <t xml:space="preserve">S20</t>
  </si>
  <si>
    <t xml:space="preserve">FATF R10; Регламент ЕС 2024/1624 и RTS AMLA; Директива ЕС 2025/25</t>
  </si>
  <si>
    <t xml:space="preserve">Тексты FATF и EUR-Lex; финальный проект RTS AMLA 30.09.2026 (M-12, M-13, M-14, M-18)</t>
  </si>
  <si>
    <t xml:space="preserve">2024–2026</t>
  </si>
  <si>
    <t xml:space="preserve">https://eur-lex.europa.eu</t>
  </si>
  <si>
    <t xml:space="preserve">S21</t>
  </si>
  <si>
    <t xml:space="preserve">Нормы о МЧД: 63-ФЗ в ред. 476-ФЗ, ст. 188 ГК РФ, Приказ Минцифры № 1001, 315-ФЗ, 210-ФЗ</t>
  </si>
  <si>
    <t xml:space="preserve">docs/REGULATORY.md, строки M-01…M-04, M-16 реестра утверждений</t>
  </si>
  <si>
    <t xml:space="preserve">https://github.com/KonkovDV/Mandat/blob/main/docs/REGULATORY.md</t>
  </si>
  <si>
    <t xml:space="preserve">S22</t>
  </si>
  <si>
    <t xml:space="preserve">Случай «ЭОС»: неизвестный компании гендиректор в ЕГРЮЛ 09.10.2026</t>
  </si>
  <si>
    <t xml:space="preserve">Forbes; ABN по данным РБК (M-17) — по версии компании</t>
  </si>
  <si>
    <t xml:space="preserve">22.10.2026</t>
  </si>
  <si>
    <t xml:space="preserve">https://www.forbes.ru</t>
  </si>
  <si>
    <t xml:space="preserve">S23</t>
  </si>
  <si>
    <t xml:space="preserve">ВТБ продаёт клиентам МСБ комплект: 10 МЧД и КЭП для представителя</t>
  </si>
  <si>
    <t xml:space="preserve">CNews, bankinform.ru; vtb.ru/malyj-biznes/ukep/mchd (M-19)</t>
  </si>
  <si>
    <t xml:space="preserve">12.02.2026</t>
  </si>
  <si>
    <t xml:space="preserve">https://www.vtb.ru/malyj-biznes/ukep/mchd/</t>
  </si>
  <si>
    <t xml:space="preserve">S24</t>
  </si>
  <si>
    <t xml:space="preserve">Гранты Фонда содействия инновациям: «Студенческий стартап» 1 млн ₽, «Старт-1» до 5 млн ₽</t>
  </si>
  <si>
    <t xml:space="preserve">Обзоры (M-30); условия сверить на fasie.ru</t>
  </si>
  <si>
    <t xml:space="preserve">https://fasie.ru</t>
  </si>
  <si>
    <t xml:space="preserve">S25</t>
  </si>
  <si>
    <t xml:space="preserve">Сертификация ФСТЭК или анализ уязвимостей по ОУД4 для прикладного ПО переводов</t>
  </si>
  <si>
    <t xml:space="preserve">Положения Банка России 683-П и 719-П в обзорах securitylab.ru (M-31)</t>
  </si>
  <si>
    <t xml:space="preserve">2020–2024</t>
  </si>
  <si>
    <t xml:space="preserve">https://www.securitylab.ru/blog/personal/Business_without_danger/346387.php</t>
  </si>
  <si>
    <t xml:space="preserve">S26</t>
  </si>
  <si>
    <t xml:space="preserve">Тарифы API данных о компаниях — от 96 000 ₽ в год</t>
  </si>
  <si>
    <t xml:space="preserve">Контур.Фокус API на агрегаторе toolfox.ru (M-32)</t>
  </si>
  <si>
    <t xml:space="preserve">https://toolfox.ru/services/s/kontur-focus-api</t>
  </si>
  <si>
    <t xml:space="preserve">S27</t>
  </si>
  <si>
    <t xml:space="preserve">Этапы и призовой фонд соревнования</t>
  </si>
  <si>
    <t xml:space="preserve">fintechacademy.ru, сверено 13.10.2026 (submission/README.md)</t>
  </si>
  <si>
    <t xml:space="preserve">13.10.2026</t>
  </si>
  <si>
    <t xml:space="preserve">https://fintechacademy.ru</t>
  </si>
  <si>
    <t xml:space="preserve">S28</t>
  </si>
  <si>
    <t xml:space="preserve">Акселератор ВТБ: пилоты с подразделениями банка совместно с ФРИИ</t>
  </si>
  <si>
    <t xml:space="preserve">Обзоры habr.com и quasa.io (M-34)</t>
  </si>
  <si>
    <t xml:space="preserve">https://quasa.io/ru/media/akseleratory-mkb-vtb-i-tinkoff-kak-podat-zayavku-v-iyule-2026-goda</t>
  </si>
  <si>
    <t xml:space="preserve">S29</t>
  </si>
  <si>
    <t xml:space="preserve">Уровни готовности технологий (TRL)</t>
  </si>
  <si>
    <t xml:space="preserve">ГОСТ Р 58048-2017 «Трансфер технологий. Методические указания по оценке уровня зрелости технологий»</t>
  </si>
  <si>
    <t xml:space="preserve">2017</t>
  </si>
  <si>
    <t xml:space="preserve">https://docs.cntd.ru</t>
  </si>
  <si>
    <t xml:space="preserve">S30</t>
  </si>
  <si>
    <t xml:space="preserve">Конкуренты и ниша: проверено и не проверено</t>
  </si>
  <si>
    <t xml:space="preserve">docs/COMPETITORS.md, проверено 13.10.2026</t>
  </si>
  <si>
    <t xml:space="preserve">https://github.com/KonkovDV/Mandat/blob/main/docs/COMPETITORS.md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</si>
</sst>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–"/>
    <numFmt numFmtId="166" formatCode="0.0;\(0.0\);\–"/>
    <numFmt numFmtId="167" formatCode="#,##0.0;\(#,##0.0\);\–"/>
    <numFmt numFmtId="168" formatCode="0"/>
    <numFmt numFmtId="169" formatCode="0.0\×;\(0.0&quot;×)&quot;;\–"/>
    <numFmt numFmtId="170" formatCode="0.0%;\(0.0%\);\–"/>
    <numFmt numFmtId="171" formatCode="0%;\(0%\);\–"/>
    <numFmt numFmtId="172" formatCode="#,##0.000;\(#,##0.000\);\–"/>
    <numFmt numFmtId="173" formatCode="#,##0.00;\(#,##0.00\);\–"/>
    <numFmt numFmtId="174" formatCode="0.00\×"/>
    <numFmt numFmtId="175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2973"/>
      <name val="Arial"/>
      <family val="0"/>
      <charset val="1"/>
    </font>
    <font>
      <sz val="10"/>
      <color rgb="FF5E6D8C"/>
      <name val="Arial"/>
      <family val="0"/>
      <charset val="1"/>
    </font>
    <font>
      <b val="true"/>
      <sz val="12"/>
      <color rgb="FF0A29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B1F4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B1F4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A2973"/>
      <name val="Arial"/>
      <family val="0"/>
      <charset val="1"/>
    </font>
    <font>
      <i val="true"/>
      <sz val="9"/>
      <color rgb="FF5E6D8C"/>
      <name val="Arial"/>
      <family val="0"/>
      <charset val="1"/>
    </font>
    <font>
      <b val="true"/>
      <sz val="10"/>
      <color rgb="FF0A29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5E6D8C"/>
      <name val="Arial"/>
      <family val="0"/>
      <charset val="1"/>
    </font>
    <font>
      <sz val="9"/>
      <color rgb="FF004CB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973"/>
        <bgColor rgb="FF0B1F44"/>
      </patternFill>
    </fill>
    <fill>
      <patternFill patternType="solid">
        <fgColor rgb="FFFFFF00"/>
        <bgColor rgb="FFFFFF00"/>
      </patternFill>
    </fill>
    <fill>
      <patternFill patternType="solid">
        <fgColor rgb="FFF3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4EB"/>
        </patternFill>
      </fill>
    </dxf>
    <dxf>
      <fill>
        <patternFill>
          <bgColor rgb="FFFDE6E7"/>
        </patternFill>
      </fill>
    </dxf>
    <dxf>
      <fill>
        <patternFill>
          <bgColor rgb="FFFFF1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BE4B48"/>
      <rgbColor rgb="FFFFF1D4"/>
      <rgbColor rgb="FFE2F4EB"/>
      <rgbColor rgb="FF660066"/>
      <rgbColor rgb="FFFF8080"/>
      <rgbColor rgb="FF004CB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B"/>
      <rgbColor rgb="FFDCE4F0"/>
      <rgbColor rgb="FFFDE6E7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E6D8C"/>
      <rgbColor rgb="FF9BBB59"/>
      <rgbColor rgb="FF0A2973"/>
      <rgbColor rgb="FF1A9F68"/>
      <rgbColor rgb="FF003300"/>
      <rgbColor rgb="FF333300"/>
      <rgbColor rgb="FF993300"/>
      <rgbColor rgb="FFC0504D"/>
      <rgbColor rgb="FF333399"/>
      <rgbColor rgb="FF0B1F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сценариям, млн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"Консервативный"</c:f>
              <c:strCache>
                <c:ptCount val="1"/>
                <c:pt idx="0">
                  <c:v>Консервативный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Сводка!$D$34:$H$34</c:f>
              <c:numCache>
                <c:formatCode>#,##0.0;\(#,##0.0\);\–</c:formatCode>
                <c:ptCount val="5"/>
                <c:pt idx="0">
                  <c:v>0</c:v>
                </c:pt>
                <c:pt idx="1">
                  <c:v>6.24</c:v>
                </c:pt>
                <c:pt idx="2">
                  <c:v>8.76096</c:v>
                </c:pt>
                <c:pt idx="3">
                  <c:v>10.299536</c:v>
                </c:pt>
                <c:pt idx="4">
                  <c:v>11.947180544</c:v>
                </c:pt>
              </c:numCache>
            </c:numRef>
          </c:val>
        </c:ser>
        <c:ser>
          <c:idx val="1"/>
          <c:order val="1"/>
          <c:tx>
            <c:strRef>
              <c:f>"Базовый"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Сводка!$D$35:$H$35</c:f>
              <c:numCache>
                <c:formatCode>#,##0.0;\(#,##0.0\);\–</c:formatCode>
                <c:ptCount val="5"/>
                <c:pt idx="0">
                  <c:v>8</c:v>
                </c:pt>
                <c:pt idx="1">
                  <c:v>17.85</c:v>
                </c:pt>
                <c:pt idx="2">
                  <c:v>34.0569140625</c:v>
                </c:pt>
                <c:pt idx="3">
                  <c:v>43.3646489435369</c:v>
                </c:pt>
                <c:pt idx="4">
                  <c:v>67.7769522321333</c:v>
                </c:pt>
              </c:numCache>
            </c:numRef>
          </c:val>
        </c:ser>
        <c:ser>
          <c:idx val="2"/>
          <c:order val="2"/>
          <c:tx>
            <c:strRef>
              <c:f>"Оптимистичный"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Сводка!$D$36:$H$36</c:f>
              <c:numCache>
                <c:formatCode>#,##0.0;\(#,##0.0\);\–</c:formatCode>
                <c:ptCount val="5"/>
                <c:pt idx="0">
                  <c:v>10</c:v>
                </c:pt>
                <c:pt idx="1">
                  <c:v>27.136</c:v>
                </c:pt>
                <c:pt idx="2">
                  <c:v>53.5325175</c:v>
                </c:pt>
                <c:pt idx="3">
                  <c:v>90.1678625852273</c:v>
                </c:pt>
                <c:pt idx="4">
                  <c:v>141.848387408517</c:v>
                </c:pt>
              </c:numCache>
            </c:numRef>
          </c:val>
        </c:ser>
        <c:gapWidth val="150"/>
        <c:overlap val="0"/>
        <c:axId val="98902115"/>
        <c:axId val="54924143"/>
      </c:barChart>
      <c:catAx>
        <c:axId val="98902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24143"/>
        <c:crosses val="autoZero"/>
        <c:auto val="1"/>
        <c:lblAlgn val="ctr"/>
        <c:lblOffset val="100"/>
        <c:noMultiLvlLbl val="0"/>
      </c:catAx>
      <c:valAx>
        <c:axId val="54924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02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Накопленный денежный поток, млн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"Консервативный"</c:f>
              <c:strCache>
                <c:ptCount val="1"/>
                <c:pt idx="0">
                  <c:v>Консервативный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Сводка!$D$40:$H$40</c:f>
              <c:numCache>
                <c:formatCode>#,##0.0;\(#,##0.0\);\–</c:formatCode>
                <c:ptCount val="5"/>
                <c:pt idx="0">
                  <c:v>-11.048796</c:v>
                </c:pt>
                <c:pt idx="1">
                  <c:v>-27.0045687651551</c:v>
                </c:pt>
                <c:pt idx="2">
                  <c:v>-40.1870455321856</c:v>
                </c:pt>
                <c:pt idx="3">
                  <c:v>-52.7225475682528</c:v>
                </c:pt>
                <c:pt idx="4">
                  <c:v>-65.1030952827553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"Базовый"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Сводка!$D$41:$H$41</c:f>
              <c:numCache>
                <c:formatCode>#,##0.0;\(#,##0.0\);\–</c:formatCode>
                <c:ptCount val="5"/>
                <c:pt idx="0">
                  <c:v>-16.048812587726</c:v>
                </c:pt>
                <c:pt idx="1">
                  <c:v>-25.5873297068537</c:v>
                </c:pt>
                <c:pt idx="2">
                  <c:v>-27.7768958709497</c:v>
                </c:pt>
                <c:pt idx="3">
                  <c:v>-26.1258476322715</c:v>
                </c:pt>
                <c:pt idx="4">
                  <c:v>-12.5675066137707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"Оптимистичный"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Сводка!$D$33:$H$33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Сводка!$D$42:$H$42</c:f>
              <c:numCache>
                <c:formatCode>#,##0.0;\(#,##0.0\);\–</c:formatCode>
                <c:ptCount val="5"/>
                <c:pt idx="0">
                  <c:v>-15.1500454644384</c:v>
                </c:pt>
                <c:pt idx="1">
                  <c:v>-27.8116633684471</c:v>
                </c:pt>
                <c:pt idx="2">
                  <c:v>-32.8251542142126</c:v>
                </c:pt>
                <c:pt idx="3">
                  <c:v>-16.4730514872527</c:v>
                </c:pt>
                <c:pt idx="4">
                  <c:v>26.0568919799417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682832"/>
        <c:axId val="91442544"/>
      </c:lineChart>
      <c:catAx>
        <c:axId val="366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42544"/>
        <c:crosses val="autoZero"/>
        <c:auto val="1"/>
        <c:lblAlgn val="ctr"/>
        <c:lblOffset val="100"/>
        <c:noMultiLvlLbl val="0"/>
      </c:catAx>
      <c:valAx>
        <c:axId val="91442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82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16</xdr:row>
      <xdr:rowOff>2880</xdr:rowOff>
    </xdr:to>
    <xdr:graphicFrame>
      <xdr:nvGraphicFramePr>
        <xdr:cNvPr id="0" name="Chart 1"/>
        <xdr:cNvGraphicFramePr/>
      </xdr:nvGraphicFramePr>
      <xdr:xfrm>
        <a:off x="101973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18</xdr:col>
      <xdr:colOff>255960</xdr:colOff>
      <xdr:row>32</xdr:row>
      <xdr:rowOff>193320</xdr:rowOff>
    </xdr:to>
    <xdr:graphicFrame>
      <xdr:nvGraphicFramePr>
        <xdr:cNvPr id="1" name="Chart 2"/>
        <xdr:cNvGraphicFramePr/>
      </xdr:nvGraphicFramePr>
      <xdr:xfrm>
        <a:off x="10197360" y="380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github.com/KonkovDV/Mandat/blob/main/evidence.json" TargetMode="External"/><Relationship Id="rId2" Type="http://schemas.openxmlformats.org/officeDocument/2006/relationships/hyperlink" Target="https://github.com/KonkovDV/Mandat/blob/main/docs/ECONOMICS.md" TargetMode="External"/><Relationship Id="rId3" Type="http://schemas.openxmlformats.org/officeDocument/2006/relationships/hyperlink" Target="https://cbr.ru/" TargetMode="External"/><Relationship Id="rId4" Type="http://schemas.openxmlformats.org/officeDocument/2006/relationships/hyperlink" Target="https://cbr.ru/" TargetMode="External"/><Relationship Id="rId5" Type="http://schemas.openxmlformats.org/officeDocument/2006/relationships/hyperlink" Target="https://altapress.ru/" TargetMode="External"/><Relationship Id="rId6" Type="http://schemas.openxmlformats.org/officeDocument/2006/relationships/hyperlink" Target="https://www.nalog.gov.ru/" TargetMode="External"/><Relationship Id="rId7" Type="http://schemas.openxmlformats.org/officeDocument/2006/relationships/hyperlink" Target="https://emchd.ru/" TargetMode="External"/><Relationship Id="rId8" Type="http://schemas.openxmlformats.org/officeDocument/2006/relationships/hyperlink" Target="https://www.v2b.ru/2026/07/13/reestr-msp-obnovilsya-kolichestvo-predprinimateley-dostiglo-6-6-mln/" TargetMode="External"/><Relationship Id="rId9" Type="http://schemas.openxmlformats.org/officeDocument/2006/relationships/hyperlink" Target="https://www.vbr.ru/novosti/banki/2026/10/08/bank-rossii-ytverdil-perecen-sistemno-znacimih-bankov/" TargetMode="External"/><Relationship Id="rId10" Type="http://schemas.openxmlformats.org/officeDocument/2006/relationships/hyperlink" Target="https://brobank.ru/skolko-bankov-na-segodnya/" TargetMode="External"/><Relationship Id="rId11" Type="http://schemas.openxmlformats.org/officeDocument/2006/relationships/hyperlink" Target="https://bankiros.ru/" TargetMode="External"/><Relationship Id="rId12" Type="http://schemas.openxmlformats.org/officeDocument/2006/relationships/hyperlink" Target="https://companies.rbc.ru/news/FcdBWXkf2B/kak-rabotayut-it-lgotyi-v-2026-nalog-5-vznosyi-15-vyichet-150/" TargetMode="External"/><Relationship Id="rId13" Type="http://schemas.openxmlformats.org/officeDocument/2006/relationships/hyperlink" Target="https://finance.mail.ru/article/v-rosstate-nazvali-otrasli-gde-bolshe-vsego-za-god-vyrosla-srednyaya-zarplata-69212496/" TargetMode="External"/><Relationship Id="rId14" Type="http://schemas.openxmlformats.org/officeDocument/2006/relationships/hyperlink" Target="https://career.habr.com/" TargetMode="External"/><Relationship Id="rId15" Type="http://schemas.openxmlformats.org/officeDocument/2006/relationships/hyperlink" Target="https://lenta.ru/news/2024/02/28/klientsk/" TargetMode="External"/><Relationship Id="rId16" Type="http://schemas.openxmlformats.org/officeDocument/2006/relationships/hyperlink" Target="https://www.mordorintelligence.com/industry-reports/business-identity-verification-market" TargetMode="External"/><Relationship Id="rId17" Type="http://schemas.openxmlformats.org/officeDocument/2006/relationships/hyperlink" Target="https://marketing.rbc.ru/" TargetMode="External"/><Relationship Id="rId18" Type="http://schemas.openxmlformats.org/officeDocument/2006/relationships/hyperlink" Target="https://www.cbr.ru/insurance/" TargetMode="External"/><Relationship Id="rId19" Type="http://schemas.openxmlformats.org/officeDocument/2006/relationships/hyperlink" Target="https://www.fenergo.com/" TargetMode="External"/><Relationship Id="rId20" Type="http://schemas.openxmlformats.org/officeDocument/2006/relationships/hyperlink" Target="https://eur-lex.europa.eu/" TargetMode="External"/><Relationship Id="rId21" Type="http://schemas.openxmlformats.org/officeDocument/2006/relationships/hyperlink" Target="https://github.com/KonkovDV/Mandat/blob/main/docs/REGULATORY.md" TargetMode="External"/><Relationship Id="rId22" Type="http://schemas.openxmlformats.org/officeDocument/2006/relationships/hyperlink" Target="https://www.forbes.ru/" TargetMode="External"/><Relationship Id="rId23" Type="http://schemas.openxmlformats.org/officeDocument/2006/relationships/hyperlink" Target="https://www.vtb.ru/malyj-biznes/ukep/mchd/" TargetMode="External"/><Relationship Id="rId24" Type="http://schemas.openxmlformats.org/officeDocument/2006/relationships/hyperlink" Target="https://fasie.ru/" TargetMode="External"/><Relationship Id="rId25" Type="http://schemas.openxmlformats.org/officeDocument/2006/relationships/hyperlink" Target="https://www.securitylab.ru/blog/personal/Business_without_danger/346387.php" TargetMode="External"/><Relationship Id="rId26" Type="http://schemas.openxmlformats.org/officeDocument/2006/relationships/hyperlink" Target="https://toolfox.ru/services/s/kontur-focus-api" TargetMode="External"/><Relationship Id="rId27" Type="http://schemas.openxmlformats.org/officeDocument/2006/relationships/hyperlink" Target="https://fintechacademy.ru/" TargetMode="External"/><Relationship Id="rId28" Type="http://schemas.openxmlformats.org/officeDocument/2006/relationships/hyperlink" Target="https://quasa.io/ru/media/akseleratory-mkb-vtb-i-tinkoff-kak-podat-zayavku-v-iyule-2026-goda" TargetMode="External"/><Relationship Id="rId29" Type="http://schemas.openxmlformats.org/officeDocument/2006/relationships/hyperlink" Target="https://docs.cntd.ru/" TargetMode="External"/><Relationship Id="rId30" Type="http://schemas.openxmlformats.org/officeDocument/2006/relationships/hyperlink" Target="https://github.com/KonkovDV/Mandat/blob/main/docs/COMPETITORS.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973"/>
    <pageSetUpPr fitToPage="tru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5" min="3" style="0" width="2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false" outlineLevel="0" collapsed="false">
      <c r="B7" s="6" t="s">
        <v>7</v>
      </c>
      <c r="C7" s="7" t="n">
        <f aca="false">Сводка!D6</f>
        <v>33</v>
      </c>
      <c r="D7" s="7" t="n">
        <f aca="false">Сводка!E6</f>
        <v>75</v>
      </c>
      <c r="E7" s="7" t="n">
        <f aca="false">Сводка!F6</f>
        <v>167</v>
      </c>
    </row>
    <row r="8" customFormat="false" ht="15" hidden="false" customHeight="false" outlineLevel="0" collapsed="false">
      <c r="B8" s="6" t="s">
        <v>8</v>
      </c>
      <c r="C8" s="7" t="n">
        <f aca="false">Сводка!D7</f>
        <v>34</v>
      </c>
      <c r="D8" s="7" t="n">
        <f aca="false">Сводка!E7</f>
        <v>115</v>
      </c>
      <c r="E8" s="7" t="n">
        <f aca="false">Сводка!F7</f>
        <v>229</v>
      </c>
    </row>
    <row r="9" customFormat="false" ht="15" hidden="false" customHeight="false" outlineLevel="0" collapsed="false">
      <c r="B9" s="6" t="s">
        <v>9</v>
      </c>
      <c r="C9" s="8" t="n">
        <f aca="false">Сводка!D11</f>
        <v>33.0740217093861</v>
      </c>
      <c r="D9" s="8" t="n">
        <f aca="false">Сводка!E11</f>
        <v>8.00998614790665</v>
      </c>
      <c r="E9" s="8" t="n">
        <f aca="false">Сводка!F11</f>
        <v>1.50727036292706</v>
      </c>
    </row>
    <row r="10" customFormat="false" ht="15" hidden="false" customHeight="false" outlineLevel="0" collapsed="false">
      <c r="B10" s="6" t="s">
        <v>10</v>
      </c>
      <c r="C10" s="9" t="n">
        <f aca="false">Сводка!D15</f>
        <v>101.1</v>
      </c>
      <c r="D10" s="9" t="n">
        <f aca="false">Сводка!E15</f>
        <v>186.75</v>
      </c>
      <c r="E10" s="9" t="n">
        <f aca="false">Сводка!F15</f>
        <v>251.85</v>
      </c>
    </row>
    <row r="11" customFormat="false" ht="15" hidden="false" customHeight="false" outlineLevel="0" collapsed="false">
      <c r="B11" s="6" t="s">
        <v>11</v>
      </c>
      <c r="C11" s="9" t="n">
        <f aca="false">Сводка!D21</f>
        <v>11.947180544</v>
      </c>
      <c r="D11" s="9" t="n">
        <f aca="false">Сводка!E21</f>
        <v>67.7769522321333</v>
      </c>
      <c r="E11" s="9" t="n">
        <f aca="false">Сводка!F21</f>
        <v>141.848387408517</v>
      </c>
    </row>
    <row r="12" customFormat="false" ht="15" hidden="false" customHeight="false" outlineLevel="0" collapsed="false">
      <c r="B12" s="6" t="s">
        <v>12</v>
      </c>
      <c r="C12" s="9" t="n">
        <f aca="false">Сводка!D26</f>
        <v>78.1237143393063</v>
      </c>
      <c r="D12" s="9" t="n">
        <f aca="false">Сводка!E26</f>
        <v>33.3322750451396</v>
      </c>
      <c r="E12" s="9" t="n">
        <f aca="false">Сводка!F26</f>
        <v>39.3901850570551</v>
      </c>
    </row>
    <row r="13" customFormat="false" ht="15" hidden="false" customHeight="false" outlineLevel="0" collapsed="false">
      <c r="B13" s="6" t="s">
        <v>13</v>
      </c>
      <c r="C13" s="10" t="str">
        <f aca="false">Сводка!D27</f>
        <v>после 2031</v>
      </c>
      <c r="D13" s="10" t="n">
        <f aca="false">Сводка!E27</f>
        <v>2029</v>
      </c>
      <c r="E13" s="10" t="n">
        <f aca="false">Сводка!F27</f>
        <v>2030</v>
      </c>
    </row>
    <row r="14" customFormat="false" ht="15" hidden="false" customHeight="false" outlineLevel="0" collapsed="false">
      <c r="B14" s="6" t="s">
        <v>14</v>
      </c>
      <c r="C14" s="9" t="n">
        <f aca="false">Сводка!D30</f>
        <v>-31.6640456777577</v>
      </c>
      <c r="D14" s="9" t="n">
        <f aca="false">Сводка!E30</f>
        <v>-0.149594728978126</v>
      </c>
      <c r="E14" s="9" t="n">
        <f aca="false">Сводка!F30</f>
        <v>41.5701432468661</v>
      </c>
    </row>
    <row r="16" customFormat="false" ht="15" hidden="false" customHeight="false" outlineLevel="0" collapsed="false">
      <c r="B16" s="3" t="s">
        <v>15</v>
      </c>
      <c r="C16" s="3" t="str">
        <f aca="false">Проверки!$F$50</f>
        <v>ОК</v>
      </c>
      <c r="D16" s="2" t="str">
        <f aca="false">"Ошибок: "&amp;Проверки!$E$48&amp;", предупреждений: "&amp;Проверки!$E$49</f>
        <v>Ошибок: 0, предупреждений: 0</v>
      </c>
    </row>
    <row r="18" customFormat="false" ht="15" hidden="false" customHeight="false" outlineLevel="0" collapsed="false">
      <c r="B18" s="3" t="s">
        <v>16</v>
      </c>
    </row>
    <row r="19" customFormat="false" ht="15" hidden="false" customHeight="false" outlineLevel="0" collapsed="false">
      <c r="B19" s="11" t="s">
        <v>17</v>
      </c>
      <c r="C19" s="12" t="s">
        <v>18</v>
      </c>
    </row>
    <row r="20" customFormat="false" ht="15" hidden="false" customHeight="false" outlineLevel="0" collapsed="false">
      <c r="B20" s="11" t="s">
        <v>19</v>
      </c>
      <c r="C20" s="12" t="s">
        <v>20</v>
      </c>
    </row>
    <row r="21" customFormat="false" ht="15" hidden="false" customHeight="false" outlineLevel="0" collapsed="false">
      <c r="B21" s="11" t="s">
        <v>21</v>
      </c>
      <c r="C21" s="12" t="s">
        <v>22</v>
      </c>
    </row>
    <row r="22" customFormat="false" ht="15" hidden="false" customHeight="false" outlineLevel="0" collapsed="false">
      <c r="B22" s="11" t="s">
        <v>23</v>
      </c>
      <c r="C22" s="12" t="s">
        <v>24</v>
      </c>
    </row>
    <row r="23" customFormat="false" ht="15" hidden="false" customHeight="false" outlineLevel="0" collapsed="false">
      <c r="B23" s="11" t="s">
        <v>25</v>
      </c>
      <c r="C23" s="12" t="s">
        <v>26</v>
      </c>
    </row>
    <row r="24" customFormat="false" ht="15" hidden="false" customHeight="false" outlineLevel="0" collapsed="false">
      <c r="B24" s="11" t="s">
        <v>27</v>
      </c>
      <c r="C24" s="12" t="s">
        <v>28</v>
      </c>
    </row>
    <row r="25" customFormat="false" ht="15" hidden="false" customHeight="false" outlineLevel="0" collapsed="false">
      <c r="B25" s="11" t="s">
        <v>29</v>
      </c>
      <c r="C25" s="12" t="s">
        <v>30</v>
      </c>
    </row>
    <row r="26" customFormat="false" ht="15" hidden="false" customHeight="false" outlineLevel="0" collapsed="false">
      <c r="B26" s="11" t="s">
        <v>31</v>
      </c>
      <c r="C26" s="12" t="s">
        <v>32</v>
      </c>
    </row>
    <row r="27" customFormat="false" ht="15" hidden="false" customHeight="false" outlineLevel="0" collapsed="false">
      <c r="B27" s="11" t="s">
        <v>33</v>
      </c>
      <c r="C27" s="12" t="s">
        <v>34</v>
      </c>
    </row>
    <row r="29" customFormat="false" ht="15" hidden="false" customHeight="false" outlineLevel="0" collapsed="false">
      <c r="B29" s="3" t="s">
        <v>35</v>
      </c>
    </row>
    <row r="30" customFormat="false" ht="15" hidden="false" customHeight="false" outlineLevel="0" collapsed="false">
      <c r="B30" s="12" t="s">
        <v>36</v>
      </c>
    </row>
    <row r="31" customFormat="false" ht="15" hidden="false" customHeight="false" outlineLevel="0" collapsed="false">
      <c r="B31" s="12" t="s">
        <v>37</v>
      </c>
    </row>
    <row r="32" customFormat="false" ht="15" hidden="false" customHeight="false" outlineLevel="0" collapsed="false">
      <c r="B32" s="12" t="s">
        <v>38</v>
      </c>
    </row>
    <row r="33" customFormat="false" ht="15" hidden="false" customHeight="false" outlineLevel="0" collapsed="false">
      <c r="B33" s="12" t="s">
        <v>39</v>
      </c>
    </row>
    <row r="34" customFormat="false" ht="15" hidden="false" customHeight="false" outlineLevel="0" collapsed="false">
      <c r="B34" s="12" t="s">
        <v>40</v>
      </c>
    </row>
    <row r="36" customFormat="false" ht="15" hidden="false" customHeight="false" outlineLevel="0" collapsed="false">
      <c r="B36" s="3" t="s">
        <v>41</v>
      </c>
    </row>
    <row r="37" customFormat="false" ht="15" hidden="false" customHeight="false" outlineLevel="0" collapsed="false">
      <c r="C37" s="13" t="s">
        <v>42</v>
      </c>
      <c r="D37" s="12" t="s">
        <v>43</v>
      </c>
    </row>
    <row r="38" customFormat="false" ht="15" hidden="false" customHeight="false" outlineLevel="0" collapsed="false">
      <c r="C38" s="14" t="s">
        <v>42</v>
      </c>
      <c r="D38" s="12" t="s">
        <v>44</v>
      </c>
    </row>
    <row r="39" customFormat="false" ht="15" hidden="false" customHeight="false" outlineLevel="0" collapsed="false">
      <c r="C39" s="15" t="s">
        <v>42</v>
      </c>
      <c r="D39" s="12" t="s">
        <v>45</v>
      </c>
    </row>
    <row r="40" customFormat="false" ht="15" hidden="false" customHeight="false" outlineLevel="0" collapsed="false">
      <c r="C40" s="16" t="s">
        <v>42</v>
      </c>
      <c r="D40" s="12" t="s">
        <v>46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973"/>
    <pageSetUpPr fitToPage="tru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7" t="s">
        <v>47</v>
      </c>
    </row>
    <row r="2" customFormat="false" ht="15" hidden="false" customHeight="false" outlineLevel="0" collapsed="false">
      <c r="A2" s="18" t="s">
        <v>48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4</v>
      </c>
      <c r="E4" s="5" t="s">
        <v>5</v>
      </c>
      <c r="F4" s="5" t="s">
        <v>6</v>
      </c>
    </row>
    <row r="5" customFormat="false" ht="15" hidden="false" customHeight="false" outlineLevel="0" collapsed="false">
      <c r="A5" s="19" t="s">
        <v>51</v>
      </c>
      <c r="B5" s="19"/>
      <c r="C5" s="19"/>
      <c r="D5" s="19"/>
      <c r="E5" s="19"/>
      <c r="F5" s="19"/>
    </row>
    <row r="6" customFormat="false" ht="15" hidden="false" customHeight="false" outlineLevel="0" collapsed="false">
      <c r="A6" s="20" t="n">
        <v>1</v>
      </c>
      <c r="B6" s="6" t="s">
        <v>52</v>
      </c>
      <c r="C6" s="20" t="s">
        <v>53</v>
      </c>
      <c r="D6" s="7" t="n">
        <f aca="false">'Эффект для банка'!$D$36</f>
        <v>33</v>
      </c>
      <c r="E6" s="7" t="n">
        <f aca="false">'Эффект для банка'!$E$36</f>
        <v>75</v>
      </c>
      <c r="F6" s="7" t="n">
        <f aca="false">'Эффект для банка'!$F$36</f>
        <v>167</v>
      </c>
    </row>
    <row r="7" customFormat="false" ht="15" hidden="false" customHeight="false" outlineLevel="0" collapsed="false">
      <c r="A7" s="20" t="n">
        <v>2</v>
      </c>
      <c r="B7" s="6" t="s">
        <v>54</v>
      </c>
      <c r="C7" s="20" t="s">
        <v>55</v>
      </c>
      <c r="D7" s="7" t="n">
        <f aca="false">'Эффект для банка'!$D$44</f>
        <v>34</v>
      </c>
      <c r="E7" s="7" t="n">
        <f aca="false">'Эффект для банка'!$E$44</f>
        <v>115</v>
      </c>
      <c r="F7" s="7" t="n">
        <f aca="false">'Эффект для банка'!$F$44</f>
        <v>229</v>
      </c>
    </row>
    <row r="8" customFormat="false" ht="15" hidden="false" customHeight="false" outlineLevel="0" collapsed="false">
      <c r="A8" s="20" t="n">
        <v>3</v>
      </c>
      <c r="B8" s="6" t="s">
        <v>56</v>
      </c>
      <c r="C8" s="20" t="s">
        <v>55</v>
      </c>
      <c r="D8" s="9" t="n">
        <f aca="false">'Эффект для банка'!$D$47</f>
        <v>56.5596</v>
      </c>
      <c r="E8" s="9" t="n">
        <f aca="false">'Эффект для банка'!$E$47</f>
        <v>164.6964</v>
      </c>
      <c r="F8" s="9" t="n">
        <f aca="false">'Эффект для банка'!$F$47</f>
        <v>463.524</v>
      </c>
    </row>
    <row r="9" customFormat="false" ht="15" hidden="false" customHeight="false" outlineLevel="0" collapsed="false">
      <c r="A9" s="20" t="n">
        <v>4</v>
      </c>
      <c r="B9" s="6" t="s">
        <v>57</v>
      </c>
      <c r="C9" s="20" t="s">
        <v>55</v>
      </c>
      <c r="D9" s="9" t="n">
        <f aca="false">'Эффект для банка'!$D$48</f>
        <v>19.37448</v>
      </c>
      <c r="E9" s="9" t="n">
        <f aca="false">'Эффект для банка'!$E$48</f>
        <v>91.4589</v>
      </c>
      <c r="F9" s="9" t="n">
        <f aca="false">'Эффект для банка'!$F$48</f>
        <v>341.6568</v>
      </c>
    </row>
    <row r="10" customFormat="false" ht="15" hidden="false" customHeight="false" outlineLevel="0" collapsed="false">
      <c r="A10" s="20" t="n">
        <v>5</v>
      </c>
      <c r="B10" s="6" t="s">
        <v>58</v>
      </c>
      <c r="C10" s="20" t="s">
        <v>55</v>
      </c>
      <c r="D10" s="9" t="n">
        <f aca="false">'Эффект для банка'!$D$51</f>
        <v>6.6</v>
      </c>
      <c r="E10" s="9" t="n">
        <f aca="false">'Эффект для банка'!$E$51</f>
        <v>15</v>
      </c>
      <c r="F10" s="9" t="n">
        <f aca="false">'Эффект для банка'!$F$51</f>
        <v>20.6</v>
      </c>
    </row>
    <row r="11" customFormat="false" ht="15" hidden="false" customHeight="false" outlineLevel="0" collapsed="false">
      <c r="A11" s="20" t="n">
        <v>6</v>
      </c>
      <c r="B11" s="6" t="s">
        <v>59</v>
      </c>
      <c r="C11" s="20" t="s">
        <v>60</v>
      </c>
      <c r="D11" s="8" t="n">
        <f aca="false">'Эффект для банка'!$D$60</f>
        <v>33.0740217093861</v>
      </c>
      <c r="E11" s="8" t="n">
        <f aca="false">'Эффект для банка'!$E$60</f>
        <v>8.00998614790665</v>
      </c>
      <c r="F11" s="8" t="n">
        <f aca="false">'Эффект для банка'!$F$60</f>
        <v>1.50727036292706</v>
      </c>
    </row>
    <row r="12" customFormat="false" ht="15" hidden="false" customHeight="false" outlineLevel="0" collapsed="false">
      <c r="A12" s="20" t="n">
        <v>7</v>
      </c>
      <c r="B12" s="6" t="s">
        <v>61</v>
      </c>
      <c r="C12" s="20" t="s">
        <v>62</v>
      </c>
      <c r="D12" s="21" t="n">
        <f aca="false">'Эффект для банка'!$D$59</f>
        <v>0.0559450621321124</v>
      </c>
      <c r="E12" s="21" t="n">
        <f aca="false">'Эффект для банка'!$E$59</f>
        <v>2.23130652911249</v>
      </c>
      <c r="F12" s="21" t="n">
        <f aca="false">'Эффект для банка'!$F$59</f>
        <v>9.1022117090479</v>
      </c>
    </row>
    <row r="13" customFormat="false" ht="15" hidden="false" customHeight="false" outlineLevel="0" collapsed="false">
      <c r="A13" s="19" t="s">
        <v>25</v>
      </c>
      <c r="B13" s="19"/>
      <c r="C13" s="19"/>
      <c r="D13" s="19"/>
      <c r="E13" s="19"/>
      <c r="F13" s="19"/>
    </row>
    <row r="14" customFormat="false" ht="15" hidden="false" customHeight="false" outlineLevel="0" collapsed="false">
      <c r="A14" s="20" t="n">
        <v>8</v>
      </c>
      <c r="B14" s="6" t="s">
        <v>63</v>
      </c>
      <c r="C14" s="20" t="s">
        <v>55</v>
      </c>
      <c r="D14" s="9" t="n">
        <f aca="false">Рынок!$D$36</f>
        <v>173.4</v>
      </c>
      <c r="E14" s="9" t="n">
        <f aca="false">Рынок!$E$36</f>
        <v>307.25</v>
      </c>
      <c r="F14" s="9" t="n">
        <f aca="false">Рынок!$F$36</f>
        <v>420.55</v>
      </c>
    </row>
    <row r="15" customFormat="false" ht="15" hidden="false" customHeight="false" outlineLevel="0" collapsed="false">
      <c r="A15" s="20" t="n">
        <v>9</v>
      </c>
      <c r="B15" s="6" t="s">
        <v>64</v>
      </c>
      <c r="C15" s="20" t="s">
        <v>55</v>
      </c>
      <c r="D15" s="9" t="n">
        <f aca="false">Рынок!$D$37</f>
        <v>101.1</v>
      </c>
      <c r="E15" s="9" t="n">
        <f aca="false">Рынок!$E$37</f>
        <v>186.75</v>
      </c>
      <c r="F15" s="9" t="n">
        <f aca="false">Рынок!$F$37</f>
        <v>251.85</v>
      </c>
    </row>
    <row r="16" customFormat="false" ht="15" hidden="false" customHeight="false" outlineLevel="0" collapsed="false">
      <c r="A16" s="20" t="n">
        <v>10</v>
      </c>
      <c r="B16" s="6" t="s">
        <v>65</v>
      </c>
      <c r="C16" s="20" t="s">
        <v>55</v>
      </c>
      <c r="D16" s="9" t="n">
        <f aca="false">Рынок!$D$40</f>
        <v>101.1</v>
      </c>
      <c r="E16" s="9" t="n">
        <f aca="false">Рынок!$E$40</f>
        <v>326.6269171875</v>
      </c>
      <c r="F16" s="9" t="n">
        <f aca="false">Рынок!$F$40</f>
        <v>614.8681640625</v>
      </c>
    </row>
    <row r="17" customFormat="false" ht="15" hidden="false" customHeight="false" outlineLevel="0" collapsed="false">
      <c r="A17" s="20" t="n">
        <v>11</v>
      </c>
      <c r="B17" s="6" t="s">
        <v>66</v>
      </c>
      <c r="C17" s="20" t="s">
        <v>55</v>
      </c>
      <c r="D17" s="9" t="n">
        <f aca="false">Рынок!$D$44</f>
        <v>9.76875</v>
      </c>
      <c r="E17" s="9" t="n">
        <f aca="false">Рынок!$E$44</f>
        <v>61.4007267400568</v>
      </c>
      <c r="F17" s="9" t="n">
        <f aca="false">Рынок!$F$44</f>
        <v>134.742249644886</v>
      </c>
    </row>
    <row r="18" customFormat="false" ht="15" hidden="false" customHeight="false" outlineLevel="0" collapsed="false">
      <c r="A18" s="20" t="n">
        <v>12</v>
      </c>
      <c r="B18" s="6" t="s">
        <v>67</v>
      </c>
      <c r="C18" s="20" t="s">
        <v>68</v>
      </c>
      <c r="D18" s="22" t="n">
        <f aca="false">Рынок!$D$45</f>
        <v>0.0966246290801187</v>
      </c>
      <c r="E18" s="22" t="n">
        <f aca="false">Рынок!$E$45</f>
        <v>0.187984282706283</v>
      </c>
      <c r="F18" s="22" t="n">
        <f aca="false">Рынок!$F$45</f>
        <v>0.219140065334705</v>
      </c>
    </row>
    <row r="19" customFormat="false" ht="15" hidden="false" customHeight="false" outlineLevel="0" collapsed="false">
      <c r="A19" s="19" t="s">
        <v>69</v>
      </c>
      <c r="B19" s="19"/>
      <c r="C19" s="19"/>
      <c r="D19" s="19"/>
      <c r="E19" s="19"/>
      <c r="F19" s="19"/>
    </row>
    <row r="20" customFormat="false" ht="15" hidden="false" customHeight="false" outlineLevel="0" collapsed="false">
      <c r="A20" s="20" t="n">
        <v>13</v>
      </c>
      <c r="B20" s="6" t="s">
        <v>70</v>
      </c>
      <c r="C20" s="20" t="s">
        <v>71</v>
      </c>
      <c r="D20" s="9" t="n">
        <f aca="false">Консервативный!$D$126</f>
        <v>37.247676544</v>
      </c>
      <c r="E20" s="9" t="n">
        <f aca="false">Базовый!$D$126</f>
        <v>171.04851523817</v>
      </c>
      <c r="F20" s="9" t="n">
        <f aca="false">Оптимистичный!$D$126</f>
        <v>322.684767493744</v>
      </c>
    </row>
    <row r="21" customFormat="false" ht="15" hidden="false" customHeight="false" outlineLevel="0" collapsed="false">
      <c r="A21" s="20" t="n">
        <v>14</v>
      </c>
      <c r="B21" s="6" t="s">
        <v>72</v>
      </c>
      <c r="C21" s="20" t="s">
        <v>71</v>
      </c>
      <c r="D21" s="9" t="n">
        <f aca="false">Консервативный!$D$127</f>
        <v>11.947180544</v>
      </c>
      <c r="E21" s="9" t="n">
        <f aca="false">Базовый!$D$127</f>
        <v>67.7769522321333</v>
      </c>
      <c r="F21" s="9" t="n">
        <f aca="false">Оптимистичный!$D$127</f>
        <v>141.848387408517</v>
      </c>
    </row>
    <row r="22" customFormat="false" ht="15" hidden="false" customHeight="false" outlineLevel="0" collapsed="false">
      <c r="A22" s="20" t="n">
        <v>15</v>
      </c>
      <c r="B22" s="6" t="s">
        <v>73</v>
      </c>
      <c r="C22" s="20" t="s">
        <v>71</v>
      </c>
      <c r="D22" s="9" t="n">
        <f aca="false">Консервативный!$D$128</f>
        <v>11.428055808</v>
      </c>
      <c r="E22" s="9" t="n">
        <f aca="false">Базовый!$D$128</f>
        <v>74.6329671070812</v>
      </c>
      <c r="F22" s="9" t="n">
        <f aca="false">Оптимистичный!$D$128</f>
        <v>170.108985715237</v>
      </c>
    </row>
    <row r="23" customFormat="false" ht="15" hidden="false" customHeight="false" outlineLevel="0" collapsed="false">
      <c r="A23" s="20" t="n">
        <v>16</v>
      </c>
      <c r="B23" s="6" t="s">
        <v>74</v>
      </c>
      <c r="C23" s="20" t="s">
        <v>71</v>
      </c>
      <c r="D23" s="9" t="n">
        <f aca="false">Консервативный!$D$129</f>
        <v>-11.838856357571</v>
      </c>
      <c r="E23" s="9" t="n">
        <f aca="false">Базовый!$D$129</f>
        <v>20.0798082689889</v>
      </c>
      <c r="F23" s="9" t="n">
        <f aca="false">Оптимистичный!$D$129</f>
        <v>53.0503253713418</v>
      </c>
    </row>
    <row r="24" customFormat="false" ht="15" hidden="false" customHeight="false" outlineLevel="0" collapsed="false">
      <c r="A24" s="20" t="n">
        <v>17</v>
      </c>
      <c r="B24" s="6" t="s">
        <v>75</v>
      </c>
      <c r="C24" s="20" t="s">
        <v>76</v>
      </c>
      <c r="D24" s="7" t="n">
        <f aca="false">Консервативный!$D$130</f>
        <v>4</v>
      </c>
      <c r="E24" s="7" t="n">
        <f aca="false">Базовый!$D$130</f>
        <v>11</v>
      </c>
      <c r="F24" s="7" t="n">
        <f aca="false">Оптимистичный!$D$130</f>
        <v>18</v>
      </c>
    </row>
    <row r="25" customFormat="false" ht="15" hidden="false" customHeight="false" outlineLevel="0" collapsed="false">
      <c r="A25" s="20" t="n">
        <v>18</v>
      </c>
      <c r="B25" s="6" t="s">
        <v>77</v>
      </c>
      <c r="C25" s="20" t="s">
        <v>53</v>
      </c>
      <c r="D25" s="9" t="n">
        <f aca="false">Консервативный!$D$131</f>
        <v>4</v>
      </c>
      <c r="E25" s="9" t="n">
        <f aca="false">Базовый!$D$131</f>
        <v>8</v>
      </c>
      <c r="F25" s="9" t="n">
        <f aca="false">Оптимистичный!$D$131</f>
        <v>15</v>
      </c>
    </row>
    <row r="26" customFormat="false" ht="15" hidden="false" customHeight="false" outlineLevel="0" collapsed="false">
      <c r="A26" s="20" t="n">
        <v>19</v>
      </c>
      <c r="B26" s="6" t="s">
        <v>78</v>
      </c>
      <c r="C26" s="20" t="s">
        <v>71</v>
      </c>
      <c r="D26" s="9" t="n">
        <f aca="false">Консервативный!$D$133</f>
        <v>78.1237143393063</v>
      </c>
      <c r="E26" s="9" t="n">
        <f aca="false">Базовый!$D$133</f>
        <v>33.3322750451396</v>
      </c>
      <c r="F26" s="9" t="n">
        <f aca="false">Оптимистичный!$D$133</f>
        <v>39.3901850570551</v>
      </c>
    </row>
    <row r="27" customFormat="false" ht="15" hidden="false" customHeight="false" outlineLevel="0" collapsed="false">
      <c r="A27" s="20" t="n">
        <v>20</v>
      </c>
      <c r="B27" s="6" t="s">
        <v>13</v>
      </c>
      <c r="C27" s="20" t="s">
        <v>79</v>
      </c>
      <c r="D27" s="10" t="str">
        <f aca="false">Консервативный!$D$138</f>
        <v>после 2031</v>
      </c>
      <c r="E27" s="10" t="n">
        <f aca="false">Базовый!$D$138</f>
        <v>2029</v>
      </c>
      <c r="F27" s="10" t="n">
        <f aca="false">Оптимистичный!$D$138</f>
        <v>2030</v>
      </c>
    </row>
    <row r="28" customFormat="false" ht="15" hidden="false" customHeight="false" outlineLevel="0" collapsed="false">
      <c r="A28" s="20" t="n">
        <v>21</v>
      </c>
      <c r="B28" s="6" t="s">
        <v>80</v>
      </c>
      <c r="C28" s="20" t="s">
        <v>79</v>
      </c>
      <c r="D28" s="10" t="str">
        <f aca="false">Консервативный!$D$139</f>
        <v>после 2031</v>
      </c>
      <c r="E28" s="10" t="str">
        <f aca="false">Базовый!$D$139</f>
        <v>после 2031</v>
      </c>
      <c r="F28" s="10" t="n">
        <f aca="false">Оптимистичный!$D$139</f>
        <v>2031</v>
      </c>
    </row>
    <row r="29" customFormat="false" ht="15" hidden="false" customHeight="false" outlineLevel="0" collapsed="false">
      <c r="A29" s="20" t="n">
        <v>22</v>
      </c>
      <c r="B29" s="6" t="s">
        <v>81</v>
      </c>
      <c r="C29" s="20" t="s">
        <v>71</v>
      </c>
      <c r="D29" s="9" t="n">
        <f aca="false">Консервативный!$D$135</f>
        <v>-31.6640456777577</v>
      </c>
      <c r="E29" s="9" t="n">
        <f aca="false">Базовый!$D$135</f>
        <v>-14.756216473531</v>
      </c>
      <c r="F29" s="9" t="n">
        <f aca="false">Оптимистичный!$D$135</f>
        <v>-4.24805797663597</v>
      </c>
    </row>
    <row r="30" customFormat="false" ht="15" hidden="false" customHeight="false" outlineLevel="0" collapsed="false">
      <c r="A30" s="20" t="n">
        <v>23</v>
      </c>
      <c r="B30" s="6" t="s">
        <v>82</v>
      </c>
      <c r="C30" s="20" t="s">
        <v>71</v>
      </c>
      <c r="D30" s="9" t="n">
        <f aca="false">Консервативный!$D$136</f>
        <v>-31.6640456777577</v>
      </c>
      <c r="E30" s="9" t="n">
        <f aca="false">Базовый!$D$136</f>
        <v>-0.149594728978126</v>
      </c>
      <c r="F30" s="9" t="n">
        <f aca="false">Оптимистичный!$D$136</f>
        <v>41.5701432468661</v>
      </c>
    </row>
    <row r="31" customFormat="false" ht="15" hidden="false" customHeight="false" outlineLevel="0" collapsed="false">
      <c r="A31" s="20" t="n">
        <v>24</v>
      </c>
      <c r="B31" s="6" t="s">
        <v>83</v>
      </c>
      <c r="C31" s="20" t="s">
        <v>68</v>
      </c>
      <c r="D31" s="22" t="str">
        <f aca="false">Консервативный!$D$137</f>
        <v>н/д</v>
      </c>
      <c r="E31" s="22" t="n">
        <f aca="false">Базовый!$D$137</f>
        <v>0.297119976508342</v>
      </c>
      <c r="F31" s="22" t="n">
        <f aca="false">Оптимистичный!$D$137</f>
        <v>0.785103934932262</v>
      </c>
    </row>
    <row r="33" customFormat="false" ht="30" hidden="false" customHeight="true" outlineLevel="0" collapsed="false">
      <c r="A33" s="4" t="s">
        <v>49</v>
      </c>
      <c r="B33" s="4" t="s">
        <v>84</v>
      </c>
      <c r="C33" s="5" t="s">
        <v>85</v>
      </c>
      <c r="D33" s="5" t="s">
        <v>86</v>
      </c>
      <c r="E33" s="5" t="s">
        <v>87</v>
      </c>
      <c r="F33" s="5" t="s">
        <v>88</v>
      </c>
      <c r="G33" s="5" t="s">
        <v>89</v>
      </c>
      <c r="H33" s="5" t="s">
        <v>90</v>
      </c>
    </row>
    <row r="34" customFormat="false" ht="15" hidden="false" customHeight="false" outlineLevel="0" collapsed="false">
      <c r="A34" s="23"/>
      <c r="B34" s="6" t="s">
        <v>91</v>
      </c>
      <c r="C34" s="20" t="s">
        <v>4</v>
      </c>
      <c r="D34" s="9" t="n">
        <f aca="false">Консервативный!F74</f>
        <v>0</v>
      </c>
      <c r="E34" s="9" t="n">
        <f aca="false">Консервативный!G74</f>
        <v>6.24</v>
      </c>
      <c r="F34" s="9" t="n">
        <f aca="false">Консервативный!H74</f>
        <v>8.76096</v>
      </c>
      <c r="G34" s="9" t="n">
        <f aca="false">Консервативный!I74</f>
        <v>10.299536</v>
      </c>
      <c r="H34" s="9" t="n">
        <f aca="false">Консервативный!J74</f>
        <v>11.947180544</v>
      </c>
    </row>
    <row r="35" customFormat="false" ht="15" hidden="false" customHeight="false" outlineLevel="0" collapsed="false">
      <c r="A35" s="23"/>
      <c r="B35" s="6" t="s">
        <v>91</v>
      </c>
      <c r="C35" s="20" t="s">
        <v>5</v>
      </c>
      <c r="D35" s="9" t="n">
        <f aca="false">Базовый!F74</f>
        <v>8</v>
      </c>
      <c r="E35" s="9" t="n">
        <f aca="false">Базовый!G74</f>
        <v>17.85</v>
      </c>
      <c r="F35" s="9" t="n">
        <f aca="false">Базовый!H74</f>
        <v>34.0569140625</v>
      </c>
      <c r="G35" s="9" t="n">
        <f aca="false">Базовый!I74</f>
        <v>43.3646489435369</v>
      </c>
      <c r="H35" s="9" t="n">
        <f aca="false">Базовый!J74</f>
        <v>67.7769522321333</v>
      </c>
    </row>
    <row r="36" customFormat="false" ht="15" hidden="false" customHeight="false" outlineLevel="0" collapsed="false">
      <c r="A36" s="23"/>
      <c r="B36" s="6" t="s">
        <v>91</v>
      </c>
      <c r="C36" s="20" t="s">
        <v>6</v>
      </c>
      <c r="D36" s="9" t="n">
        <f aca="false">Оптимистичный!F74</f>
        <v>10</v>
      </c>
      <c r="E36" s="9" t="n">
        <f aca="false">Оптимистичный!G74</f>
        <v>27.136</v>
      </c>
      <c r="F36" s="9" t="n">
        <f aca="false">Оптимистичный!H74</f>
        <v>53.5325175</v>
      </c>
      <c r="G36" s="9" t="n">
        <f aca="false">Оптимистичный!I74</f>
        <v>90.1678625852273</v>
      </c>
      <c r="H36" s="9" t="n">
        <f aca="false">Оптимистичный!J74</f>
        <v>141.848387408517</v>
      </c>
    </row>
    <row r="37" customFormat="false" ht="15" hidden="false" customHeight="false" outlineLevel="0" collapsed="false">
      <c r="A37" s="23"/>
      <c r="B37" s="6" t="s">
        <v>92</v>
      </c>
      <c r="C37" s="20" t="s">
        <v>4</v>
      </c>
      <c r="D37" s="9" t="n">
        <f aca="false">Консервативный!F105</f>
        <v>-11.048796</v>
      </c>
      <c r="E37" s="9" t="n">
        <f aca="false">Консервативный!G105</f>
        <v>-13.90426591584</v>
      </c>
      <c r="F37" s="9" t="n">
        <f aca="false">Консервативный!H105</f>
        <v>-12.3536679999072</v>
      </c>
      <c r="G37" s="9" t="n">
        <f aca="false">Консервативный!I105</f>
        <v>-12.0296688305878</v>
      </c>
      <c r="H37" s="9" t="n">
        <f aca="false">Консервативный!J105</f>
        <v>-11.838856357571</v>
      </c>
    </row>
    <row r="38" customFormat="false" ht="15" hidden="false" customHeight="false" outlineLevel="0" collapsed="false">
      <c r="A38" s="23"/>
      <c r="B38" s="6" t="s">
        <v>92</v>
      </c>
      <c r="C38" s="20" t="s">
        <v>5</v>
      </c>
      <c r="D38" s="9" t="n">
        <f aca="false">Базовый!F105</f>
        <v>-14.076209848</v>
      </c>
      <c r="E38" s="9" t="n">
        <f aca="false">Базовый!G105</f>
        <v>-7.10974999584</v>
      </c>
      <c r="F38" s="9" t="n">
        <f aca="false">Базовый!H105</f>
        <v>1.8529838165928</v>
      </c>
      <c r="G38" s="9" t="n">
        <f aca="false">Базовый!I105</f>
        <v>4.04728836364139</v>
      </c>
      <c r="H38" s="9" t="n">
        <f aca="false">Базовый!J105</f>
        <v>20.0798082689889</v>
      </c>
    </row>
    <row r="39" customFormat="false" ht="15" hidden="false" customHeight="false" outlineLevel="0" collapsed="false">
      <c r="A39" s="23"/>
      <c r="B39" s="6" t="s">
        <v>92</v>
      </c>
      <c r="C39" s="20" t="s">
        <v>6</v>
      </c>
      <c r="D39" s="9" t="n">
        <f aca="false">Оптимистичный!F105</f>
        <v>-13.506209848</v>
      </c>
      <c r="E39" s="9" t="n">
        <f aca="false">Оптимистичный!G105</f>
        <v>-9.84474119167999</v>
      </c>
      <c r="F39" s="9" t="n">
        <f aca="false">Оптимистичный!H105</f>
        <v>-0.674337284121599</v>
      </c>
      <c r="G39" s="9" t="n">
        <f aca="false">Оптимистичный!I105</f>
        <v>22.9480525478159</v>
      </c>
      <c r="H39" s="9" t="n">
        <f aca="false">Оптимистичный!J105</f>
        <v>53.0503253713418</v>
      </c>
    </row>
    <row r="40" customFormat="false" ht="15" hidden="false" customHeight="false" outlineLevel="0" collapsed="false">
      <c r="A40" s="23"/>
      <c r="B40" s="6" t="s">
        <v>93</v>
      </c>
      <c r="C40" s="20" t="s">
        <v>4</v>
      </c>
      <c r="D40" s="9" t="n">
        <f aca="false">Консервативный!F117</f>
        <v>-11.048796</v>
      </c>
      <c r="E40" s="9" t="n">
        <f aca="false">Консервативный!G117</f>
        <v>-27.0045687651551</v>
      </c>
      <c r="F40" s="9" t="n">
        <f aca="false">Консервативный!H117</f>
        <v>-40.1870455321856</v>
      </c>
      <c r="G40" s="9" t="n">
        <f aca="false">Консервативный!I117</f>
        <v>-52.7225475682528</v>
      </c>
      <c r="H40" s="9" t="n">
        <f aca="false">Консервативный!J117</f>
        <v>-65.1030952827553</v>
      </c>
    </row>
    <row r="41" customFormat="false" ht="15" hidden="false" customHeight="false" outlineLevel="0" collapsed="false">
      <c r="A41" s="23"/>
      <c r="B41" s="6" t="s">
        <v>93</v>
      </c>
      <c r="C41" s="20" t="s">
        <v>5</v>
      </c>
      <c r="D41" s="9" t="n">
        <f aca="false">Базовый!F117</f>
        <v>-16.048812587726</v>
      </c>
      <c r="E41" s="9" t="n">
        <f aca="false">Базовый!G117</f>
        <v>-25.5873297068537</v>
      </c>
      <c r="F41" s="9" t="n">
        <f aca="false">Базовый!H117</f>
        <v>-27.7768958709497</v>
      </c>
      <c r="G41" s="9" t="n">
        <f aca="false">Базовый!I117</f>
        <v>-26.1258476322715</v>
      </c>
      <c r="H41" s="9" t="n">
        <f aca="false">Базовый!J117</f>
        <v>-12.5675066137707</v>
      </c>
    </row>
    <row r="42" customFormat="false" ht="15" hidden="false" customHeight="false" outlineLevel="0" collapsed="false">
      <c r="A42" s="23"/>
      <c r="B42" s="6" t="s">
        <v>93</v>
      </c>
      <c r="C42" s="20" t="s">
        <v>6</v>
      </c>
      <c r="D42" s="9" t="n">
        <f aca="false">Оптимистичный!F117</f>
        <v>-15.1500454644384</v>
      </c>
      <c r="E42" s="9" t="n">
        <f aca="false">Оптимистичный!G117</f>
        <v>-27.8116633684471</v>
      </c>
      <c r="F42" s="9" t="n">
        <f aca="false">Оптимистичный!H117</f>
        <v>-32.8251542142126</v>
      </c>
      <c r="G42" s="9" t="n">
        <f aca="false">Оптимистичный!I117</f>
        <v>-16.4730514872527</v>
      </c>
      <c r="H42" s="9" t="n">
        <f aca="false">Оптимистичный!J117</f>
        <v>26.0568919799417</v>
      </c>
    </row>
    <row r="43" customFormat="false" ht="15" hidden="false" customHeight="false" outlineLevel="0" collapsed="false">
      <c r="A43" s="23"/>
      <c r="B43" s="6" t="s">
        <v>94</v>
      </c>
      <c r="C43" s="20" t="s">
        <v>4</v>
      </c>
      <c r="D43" s="7" t="n">
        <f aca="false">Консервативный!F66</f>
        <v>0</v>
      </c>
      <c r="E43" s="7" t="n">
        <f aca="false">Консервативный!G66</f>
        <v>1</v>
      </c>
      <c r="F43" s="7" t="n">
        <f aca="false">Консервативный!H66</f>
        <v>2</v>
      </c>
      <c r="G43" s="7" t="n">
        <f aca="false">Консервативный!I66</f>
        <v>3</v>
      </c>
      <c r="H43" s="7" t="n">
        <f aca="false">Консервативный!J66</f>
        <v>4</v>
      </c>
    </row>
    <row r="44" customFormat="false" ht="15" hidden="false" customHeight="false" outlineLevel="0" collapsed="false">
      <c r="A44" s="23"/>
      <c r="B44" s="6" t="s">
        <v>94</v>
      </c>
      <c r="C44" s="20" t="s">
        <v>5</v>
      </c>
      <c r="D44" s="7" t="n">
        <f aca="false">Базовый!F66</f>
        <v>1</v>
      </c>
      <c r="E44" s="7" t="n">
        <f aca="false">Базовый!G66</f>
        <v>2</v>
      </c>
      <c r="F44" s="7" t="n">
        <f aca="false">Базовый!H66</f>
        <v>5</v>
      </c>
      <c r="G44" s="7" t="n">
        <f aca="false">Базовый!I66</f>
        <v>7</v>
      </c>
      <c r="H44" s="7" t="n">
        <f aca="false">Базовый!J66</f>
        <v>11</v>
      </c>
    </row>
    <row r="45" customFormat="false" ht="15" hidden="false" customHeight="false" outlineLevel="0" collapsed="false">
      <c r="A45" s="23"/>
      <c r="B45" s="6" t="s">
        <v>94</v>
      </c>
      <c r="C45" s="20" t="s">
        <v>6</v>
      </c>
      <c r="D45" s="7" t="n">
        <f aca="false">Оптимистичный!F66</f>
        <v>1</v>
      </c>
      <c r="E45" s="7" t="n">
        <f aca="false">Оптимистичный!G66</f>
        <v>3</v>
      </c>
      <c r="F45" s="7" t="n">
        <f aca="false">Оптимистичный!H66</f>
        <v>7</v>
      </c>
      <c r="G45" s="7" t="n">
        <f aca="false">Оптимистичный!I66</f>
        <v>12</v>
      </c>
      <c r="H45" s="7" t="n">
        <f aca="false">Оптимистичный!J66</f>
        <v>18</v>
      </c>
    </row>
    <row r="46" customFormat="false" ht="15" hidden="false" customHeight="false" outlineLevel="0" collapsed="false">
      <c r="A46" s="23"/>
      <c r="B46" s="6" t="s">
        <v>95</v>
      </c>
      <c r="C46" s="20" t="s">
        <v>4</v>
      </c>
      <c r="D46" s="9" t="n">
        <f aca="false">Консервативный!F77</f>
        <v>2.5</v>
      </c>
      <c r="E46" s="9" t="n">
        <f aca="false">Консервативный!G77</f>
        <v>3.5</v>
      </c>
      <c r="F46" s="9" t="n">
        <f aca="false">Консервативный!H77</f>
        <v>4</v>
      </c>
      <c r="G46" s="9" t="n">
        <f aca="false">Консервативный!I77</f>
        <v>4</v>
      </c>
      <c r="H46" s="9" t="n">
        <f aca="false">Консервативный!J77</f>
        <v>4</v>
      </c>
    </row>
    <row r="47" customFormat="false" ht="15" hidden="false" customHeight="false" outlineLevel="0" collapsed="false">
      <c r="A47" s="23"/>
      <c r="B47" s="6" t="s">
        <v>95</v>
      </c>
      <c r="C47" s="20" t="s">
        <v>5</v>
      </c>
      <c r="D47" s="9" t="n">
        <f aca="false">Базовый!F77</f>
        <v>4</v>
      </c>
      <c r="E47" s="9" t="n">
        <f aca="false">Базовый!G77</f>
        <v>5</v>
      </c>
      <c r="F47" s="9" t="n">
        <f aca="false">Базовый!H77</f>
        <v>6</v>
      </c>
      <c r="G47" s="9" t="n">
        <f aca="false">Базовый!I77</f>
        <v>7</v>
      </c>
      <c r="H47" s="9" t="n">
        <f aca="false">Базовый!J77</f>
        <v>8</v>
      </c>
    </row>
    <row r="48" customFormat="false" ht="15" hidden="false" customHeight="false" outlineLevel="0" collapsed="false">
      <c r="A48" s="23"/>
      <c r="B48" s="6" t="s">
        <v>95</v>
      </c>
      <c r="C48" s="20" t="s">
        <v>6</v>
      </c>
      <c r="D48" s="9" t="n">
        <f aca="false">Оптимистичный!F77</f>
        <v>4</v>
      </c>
      <c r="E48" s="9" t="n">
        <f aca="false">Оптимистичный!G77</f>
        <v>7</v>
      </c>
      <c r="F48" s="9" t="n">
        <f aca="false">Оптимистичный!H77</f>
        <v>10</v>
      </c>
      <c r="G48" s="9" t="n">
        <f aca="false">Оптимистичный!I77</f>
        <v>12</v>
      </c>
      <c r="H48" s="9" t="n">
        <f aca="false">Оптимистичный!J77</f>
        <v>15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6" min="4" style="0" width="15"/>
    <col collapsed="false" customWidth="true" hidden="false" outlineLevel="0" max="7" min="7" style="0" width="12"/>
    <col collapsed="false" customWidth="true" hidden="false" outlineLevel="0" max="8" min="8" style="0" width="7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7" t="s">
        <v>19</v>
      </c>
    </row>
    <row r="2" customFormat="false" ht="15" hidden="false" customHeight="false" outlineLevel="0" collapsed="false">
      <c r="A2" s="18" t="s">
        <v>96</v>
      </c>
    </row>
    <row r="3" customFormat="false" ht="15" hidden="false" customHeight="false" outlineLevel="0" collapsed="false">
      <c r="A3" s="11" t="s">
        <v>97</v>
      </c>
      <c r="D3" s="24" t="n">
        <v>2026</v>
      </c>
    </row>
    <row r="5" customFormat="false" ht="30" hidden="false" customHeight="true" outlineLevel="0" collapsed="false">
      <c r="A5" s="4" t="s">
        <v>49</v>
      </c>
      <c r="B5" s="4" t="s">
        <v>98</v>
      </c>
      <c r="C5" s="5" t="s">
        <v>50</v>
      </c>
      <c r="D5" s="5" t="s">
        <v>4</v>
      </c>
      <c r="E5" s="5" t="s">
        <v>5</v>
      </c>
      <c r="F5" s="5" t="s">
        <v>6</v>
      </c>
      <c r="G5" s="5" t="s">
        <v>99</v>
      </c>
      <c r="H5" s="5" t="s">
        <v>100</v>
      </c>
      <c r="I5" s="5" t="s">
        <v>101</v>
      </c>
    </row>
    <row r="6" customFormat="false" ht="15" hidden="false" customHeight="false" outlineLevel="0" collapsed="false">
      <c r="A6" s="19" t="s">
        <v>102</v>
      </c>
      <c r="B6" s="19"/>
      <c r="C6" s="19"/>
      <c r="D6" s="19"/>
      <c r="E6" s="19"/>
      <c r="F6" s="19"/>
      <c r="G6" s="19"/>
      <c r="H6" s="19"/>
      <c r="I6" s="19"/>
    </row>
    <row r="7" customFormat="false" ht="22.35" hidden="false" customHeight="false" outlineLevel="0" collapsed="false">
      <c r="A7" s="25" t="s">
        <v>103</v>
      </c>
      <c r="B7" s="25" t="s">
        <v>104</v>
      </c>
      <c r="C7" s="26" t="s">
        <v>105</v>
      </c>
      <c r="D7" s="27" t="n">
        <v>1.8</v>
      </c>
      <c r="E7" s="27" t="n">
        <v>1.8</v>
      </c>
      <c r="F7" s="27" t="n">
        <v>1.8</v>
      </c>
      <c r="G7" s="26" t="s">
        <v>106</v>
      </c>
      <c r="H7" s="26" t="s">
        <v>107</v>
      </c>
      <c r="I7" s="26" t="s">
        <v>108</v>
      </c>
    </row>
    <row r="8" customFormat="false" ht="23.85" hidden="false" customHeight="false" outlineLevel="0" collapsed="false">
      <c r="A8" s="25" t="s">
        <v>109</v>
      </c>
      <c r="B8" s="25" t="s">
        <v>110</v>
      </c>
      <c r="C8" s="26" t="s">
        <v>68</v>
      </c>
      <c r="D8" s="28" t="n">
        <v>0.1</v>
      </c>
      <c r="E8" s="28" t="n">
        <v>0.15</v>
      </c>
      <c r="F8" s="28" t="n">
        <v>0.25</v>
      </c>
      <c r="G8" s="26" t="s">
        <v>111</v>
      </c>
      <c r="H8" s="26" t="s">
        <v>112</v>
      </c>
      <c r="I8" s="26" t="s">
        <v>113</v>
      </c>
    </row>
    <row r="9" customFormat="false" ht="15" hidden="false" customHeight="false" outlineLevel="0" collapsed="false">
      <c r="A9" s="25" t="s">
        <v>114</v>
      </c>
      <c r="B9" s="25" t="s">
        <v>115</v>
      </c>
      <c r="C9" s="26" t="s">
        <v>116</v>
      </c>
      <c r="D9" s="29" t="n">
        <v>20</v>
      </c>
      <c r="E9" s="29" t="n">
        <v>30</v>
      </c>
      <c r="F9" s="29" t="n">
        <v>40</v>
      </c>
      <c r="G9" s="26" t="s">
        <v>111</v>
      </c>
      <c r="H9" s="26" t="s">
        <v>117</v>
      </c>
      <c r="I9" s="26" t="s">
        <v>118</v>
      </c>
    </row>
    <row r="10" customFormat="false" ht="15" hidden="false" customHeight="false" outlineLevel="0" collapsed="false">
      <c r="A10" s="25" t="s">
        <v>119</v>
      </c>
      <c r="B10" s="25" t="s">
        <v>120</v>
      </c>
      <c r="C10" s="26" t="s">
        <v>121</v>
      </c>
      <c r="D10" s="30" t="n">
        <v>1800</v>
      </c>
      <c r="E10" s="30" t="n">
        <v>1800</v>
      </c>
      <c r="F10" s="30" t="n">
        <v>1800</v>
      </c>
      <c r="G10" s="26" t="s">
        <v>111</v>
      </c>
      <c r="H10" s="26" t="s">
        <v>122</v>
      </c>
      <c r="I10" s="26" t="s">
        <v>123</v>
      </c>
    </row>
    <row r="11" customFormat="false" ht="15" hidden="false" customHeight="false" outlineLevel="0" collapsed="false">
      <c r="A11" s="25" t="s">
        <v>124</v>
      </c>
      <c r="B11" s="25" t="s">
        <v>125</v>
      </c>
      <c r="C11" s="26" t="s">
        <v>126</v>
      </c>
      <c r="D11" s="30" t="n">
        <v>818</v>
      </c>
      <c r="E11" s="30" t="n">
        <v>818</v>
      </c>
      <c r="F11" s="30" t="n">
        <v>818</v>
      </c>
      <c r="G11" s="26" t="s">
        <v>127</v>
      </c>
      <c r="H11" s="26" t="s">
        <v>128</v>
      </c>
      <c r="I11" s="26" t="s">
        <v>129</v>
      </c>
    </row>
    <row r="12" customFormat="false" ht="15" hidden="false" customHeight="false" outlineLevel="0" collapsed="false">
      <c r="A12" s="25" t="s">
        <v>130</v>
      </c>
      <c r="B12" s="25" t="s">
        <v>131</v>
      </c>
      <c r="C12" s="26" t="s">
        <v>71</v>
      </c>
      <c r="D12" s="30" t="n">
        <v>573</v>
      </c>
      <c r="E12" s="30" t="n">
        <v>573</v>
      </c>
      <c r="F12" s="30" t="n">
        <v>573</v>
      </c>
      <c r="G12" s="26" t="s">
        <v>127</v>
      </c>
      <c r="H12" s="26" t="s">
        <v>128</v>
      </c>
      <c r="I12" s="26" t="s">
        <v>129</v>
      </c>
    </row>
    <row r="13" customFormat="false" ht="15" hidden="false" customHeight="false" outlineLevel="0" collapsed="false">
      <c r="A13" s="25" t="s">
        <v>132</v>
      </c>
      <c r="B13" s="25" t="s">
        <v>133</v>
      </c>
      <c r="C13" s="26" t="s">
        <v>68</v>
      </c>
      <c r="D13" s="31" t="n">
        <v>0.15</v>
      </c>
      <c r="E13" s="31" t="n">
        <v>0.2</v>
      </c>
      <c r="F13" s="31" t="n">
        <v>0.25</v>
      </c>
      <c r="G13" s="26" t="s">
        <v>111</v>
      </c>
      <c r="H13" s="26" t="s">
        <v>134</v>
      </c>
      <c r="I13" s="26" t="s">
        <v>135</v>
      </c>
    </row>
    <row r="14" customFormat="false" ht="15" hidden="false" customHeight="false" outlineLevel="0" collapsed="false">
      <c r="A14" s="25" t="s">
        <v>136</v>
      </c>
      <c r="B14" s="25" t="s">
        <v>137</v>
      </c>
      <c r="C14" s="26" t="s">
        <v>68</v>
      </c>
      <c r="D14" s="31" t="n">
        <v>0.1</v>
      </c>
      <c r="E14" s="31" t="n">
        <v>0.25</v>
      </c>
      <c r="F14" s="31" t="n">
        <v>0.4</v>
      </c>
      <c r="G14" s="26" t="s">
        <v>111</v>
      </c>
      <c r="H14" s="26" t="s">
        <v>134</v>
      </c>
      <c r="I14" s="26" t="s">
        <v>138</v>
      </c>
    </row>
    <row r="15" customFormat="false" ht="15" hidden="false" customHeight="false" outlineLevel="0" collapsed="false">
      <c r="A15" s="19" t="s">
        <v>139</v>
      </c>
      <c r="B15" s="19"/>
      <c r="C15" s="19"/>
      <c r="D15" s="19"/>
      <c r="E15" s="19"/>
      <c r="F15" s="19"/>
      <c r="G15" s="19"/>
      <c r="H15" s="19"/>
      <c r="I15" s="19"/>
    </row>
    <row r="16" customFormat="false" ht="32.8" hidden="false" customHeight="false" outlineLevel="0" collapsed="false">
      <c r="A16" s="25" t="s">
        <v>140</v>
      </c>
      <c r="B16" s="25" t="s">
        <v>141</v>
      </c>
      <c r="C16" s="26" t="s">
        <v>142</v>
      </c>
      <c r="D16" s="29" t="n">
        <v>85</v>
      </c>
      <c r="E16" s="29" t="n">
        <v>100</v>
      </c>
      <c r="F16" s="29" t="n">
        <v>120</v>
      </c>
      <c r="G16" s="26" t="s">
        <v>111</v>
      </c>
      <c r="H16" s="26" t="s">
        <v>143</v>
      </c>
      <c r="I16" s="26" t="s">
        <v>144</v>
      </c>
    </row>
    <row r="17" customFormat="false" ht="22.35" hidden="false" customHeight="false" outlineLevel="0" collapsed="false">
      <c r="A17" s="25" t="s">
        <v>145</v>
      </c>
      <c r="B17" s="25" t="s">
        <v>146</v>
      </c>
      <c r="C17" s="26" t="s">
        <v>68</v>
      </c>
      <c r="D17" s="32" t="n">
        <v>0.302</v>
      </c>
      <c r="E17" s="32" t="n">
        <v>0.302</v>
      </c>
      <c r="F17" s="32" t="n">
        <v>0.302</v>
      </c>
      <c r="G17" s="26" t="s">
        <v>127</v>
      </c>
      <c r="H17" s="26" t="s">
        <v>147</v>
      </c>
      <c r="I17" s="26" t="s">
        <v>148</v>
      </c>
    </row>
    <row r="18" customFormat="false" ht="23.85" hidden="false" customHeight="false" outlineLevel="0" collapsed="false">
      <c r="A18" s="25" t="s">
        <v>149</v>
      </c>
      <c r="B18" s="25" t="s">
        <v>150</v>
      </c>
      <c r="C18" s="26" t="s">
        <v>151</v>
      </c>
      <c r="D18" s="31" t="n">
        <v>0.2</v>
      </c>
      <c r="E18" s="31" t="n">
        <v>0.25</v>
      </c>
      <c r="F18" s="31" t="n">
        <v>0.3</v>
      </c>
      <c r="G18" s="26" t="s">
        <v>111</v>
      </c>
      <c r="H18" s="26" t="s">
        <v>152</v>
      </c>
      <c r="I18" s="26" t="s">
        <v>153</v>
      </c>
    </row>
    <row r="19" customFormat="false" ht="23.85" hidden="false" customHeight="false" outlineLevel="0" collapsed="false">
      <c r="A19" s="25" t="s">
        <v>154</v>
      </c>
      <c r="B19" s="25" t="s">
        <v>155</v>
      </c>
      <c r="C19" s="26" t="s">
        <v>68</v>
      </c>
      <c r="D19" s="28" t="n">
        <v>0.3</v>
      </c>
      <c r="E19" s="28" t="n">
        <v>0.5</v>
      </c>
      <c r="F19" s="28" t="n">
        <v>0.7</v>
      </c>
      <c r="G19" s="26" t="s">
        <v>111</v>
      </c>
      <c r="H19" s="26" t="s">
        <v>156</v>
      </c>
      <c r="I19" s="26" t="s">
        <v>157</v>
      </c>
    </row>
    <row r="20" customFormat="false" ht="23.85" hidden="false" customHeight="false" outlineLevel="0" collapsed="false">
      <c r="A20" s="25" t="s">
        <v>158</v>
      </c>
      <c r="B20" s="25" t="s">
        <v>159</v>
      </c>
      <c r="C20" s="26" t="s">
        <v>68</v>
      </c>
      <c r="D20" s="33" t="n">
        <v>0.1</v>
      </c>
      <c r="E20" s="33" t="n">
        <v>0.159</v>
      </c>
      <c r="F20" s="33" t="n">
        <v>0.25</v>
      </c>
      <c r="G20" s="26" t="s">
        <v>111</v>
      </c>
      <c r="H20" s="26" t="s">
        <v>160</v>
      </c>
      <c r="I20" s="26" t="s">
        <v>161</v>
      </c>
    </row>
    <row r="21" customFormat="false" ht="15" hidden="false" customHeight="false" outlineLevel="0" collapsed="false">
      <c r="A21" s="25" t="s">
        <v>162</v>
      </c>
      <c r="B21" s="25" t="s">
        <v>163</v>
      </c>
      <c r="C21" s="26" t="s">
        <v>68</v>
      </c>
      <c r="D21" s="31" t="n">
        <v>0.5</v>
      </c>
      <c r="E21" s="31" t="n">
        <v>0.5</v>
      </c>
      <c r="F21" s="31" t="n">
        <v>0.5</v>
      </c>
      <c r="G21" s="26" t="s">
        <v>111</v>
      </c>
      <c r="H21" s="26" t="s">
        <v>164</v>
      </c>
      <c r="I21" s="26" t="s">
        <v>165</v>
      </c>
    </row>
    <row r="22" customFormat="false" ht="15" hidden="false" customHeight="false" outlineLevel="0" collapsed="false">
      <c r="A22" s="19" t="s">
        <v>166</v>
      </c>
      <c r="B22" s="19"/>
      <c r="C22" s="19"/>
      <c r="D22" s="19"/>
      <c r="E22" s="19"/>
      <c r="F22" s="19"/>
      <c r="G22" s="19"/>
      <c r="H22" s="19"/>
      <c r="I22" s="19"/>
    </row>
    <row r="23" customFormat="false" ht="22.35" hidden="false" customHeight="false" outlineLevel="0" collapsed="false">
      <c r="A23" s="25" t="s">
        <v>167</v>
      </c>
      <c r="B23" s="25" t="s">
        <v>168</v>
      </c>
      <c r="C23" s="26" t="s">
        <v>55</v>
      </c>
      <c r="D23" s="34" t="n">
        <v>4.5</v>
      </c>
      <c r="E23" s="34" t="n">
        <v>4.5</v>
      </c>
      <c r="F23" s="34" t="n">
        <v>4.5</v>
      </c>
      <c r="G23" s="26" t="s">
        <v>111</v>
      </c>
      <c r="H23" s="26" t="s">
        <v>169</v>
      </c>
      <c r="I23" s="26" t="s">
        <v>170</v>
      </c>
    </row>
    <row r="24" customFormat="false" ht="22.35" hidden="false" customHeight="false" outlineLevel="0" collapsed="false">
      <c r="A24" s="25" t="s">
        <v>171</v>
      </c>
      <c r="B24" s="25" t="s">
        <v>172</v>
      </c>
      <c r="C24" s="26" t="s">
        <v>173</v>
      </c>
      <c r="D24" s="34" t="n">
        <v>2</v>
      </c>
      <c r="E24" s="34" t="n">
        <v>1.5</v>
      </c>
      <c r="F24" s="34" t="n">
        <v>1</v>
      </c>
      <c r="G24" s="26" t="s">
        <v>111</v>
      </c>
      <c r="H24" s="26" t="s">
        <v>174</v>
      </c>
      <c r="I24" s="26" t="s">
        <v>175</v>
      </c>
    </row>
    <row r="25" customFormat="false" ht="15" hidden="false" customHeight="false" outlineLevel="0" collapsed="false">
      <c r="A25" s="25" t="s">
        <v>176</v>
      </c>
      <c r="B25" s="25" t="s">
        <v>177</v>
      </c>
      <c r="C25" s="26" t="s">
        <v>71</v>
      </c>
      <c r="D25" s="34" t="n">
        <v>2</v>
      </c>
      <c r="E25" s="34" t="n">
        <v>1.5</v>
      </c>
      <c r="F25" s="34" t="n">
        <v>1</v>
      </c>
      <c r="G25" s="26" t="s">
        <v>111</v>
      </c>
      <c r="H25" s="26" t="s">
        <v>178</v>
      </c>
      <c r="I25" s="26" t="s">
        <v>179</v>
      </c>
    </row>
    <row r="26" customFormat="false" ht="15" hidden="false" customHeight="false" outlineLevel="0" collapsed="false">
      <c r="A26" s="25" t="s">
        <v>180</v>
      </c>
      <c r="B26" s="25" t="s">
        <v>181</v>
      </c>
      <c r="C26" s="26" t="s">
        <v>71</v>
      </c>
      <c r="D26" s="30" t="n">
        <v>1</v>
      </c>
      <c r="E26" s="30" t="n">
        <v>1</v>
      </c>
      <c r="F26" s="30" t="n">
        <v>1</v>
      </c>
      <c r="G26" s="26" t="s">
        <v>111</v>
      </c>
      <c r="H26" s="26" t="s">
        <v>182</v>
      </c>
      <c r="I26" s="26" t="s">
        <v>183</v>
      </c>
    </row>
    <row r="27" customFormat="false" ht="15" hidden="false" customHeight="false" outlineLevel="0" collapsed="false">
      <c r="A27" s="25" t="s">
        <v>184</v>
      </c>
      <c r="B27" s="25" t="s">
        <v>185</v>
      </c>
      <c r="C27" s="26" t="s">
        <v>186</v>
      </c>
      <c r="D27" s="34" t="n">
        <v>0.5</v>
      </c>
      <c r="E27" s="34" t="n">
        <v>0.5</v>
      </c>
      <c r="F27" s="34" t="n">
        <v>0.3</v>
      </c>
      <c r="G27" s="26" t="s">
        <v>111</v>
      </c>
      <c r="H27" s="26" t="s">
        <v>187</v>
      </c>
      <c r="I27" s="26" t="s">
        <v>188</v>
      </c>
    </row>
    <row r="28" customFormat="false" ht="23.85" hidden="false" customHeight="false" outlineLevel="0" collapsed="false">
      <c r="A28" s="25" t="s">
        <v>189</v>
      </c>
      <c r="B28" s="25" t="s">
        <v>190</v>
      </c>
      <c r="C28" s="26" t="s">
        <v>68</v>
      </c>
      <c r="D28" s="31" t="n">
        <v>0.22</v>
      </c>
      <c r="E28" s="31" t="n">
        <v>0.22</v>
      </c>
      <c r="F28" s="31" t="n">
        <v>0.22</v>
      </c>
      <c r="G28" s="26" t="s">
        <v>127</v>
      </c>
      <c r="H28" s="26" t="s">
        <v>191</v>
      </c>
      <c r="I28" s="26" t="s">
        <v>192</v>
      </c>
    </row>
    <row r="29" customFormat="false" ht="22.35" hidden="false" customHeight="false" outlineLevel="0" collapsed="false">
      <c r="A29" s="25" t="s">
        <v>193</v>
      </c>
      <c r="B29" s="25" t="s">
        <v>194</v>
      </c>
      <c r="C29" s="26" t="s">
        <v>173</v>
      </c>
      <c r="D29" s="30" t="n">
        <v>10</v>
      </c>
      <c r="E29" s="30" t="n">
        <v>10</v>
      </c>
      <c r="F29" s="30" t="n">
        <v>10</v>
      </c>
      <c r="G29" s="26" t="s">
        <v>111</v>
      </c>
      <c r="H29" s="26" t="s">
        <v>195</v>
      </c>
      <c r="I29" s="26" t="s">
        <v>196</v>
      </c>
    </row>
    <row r="30" customFormat="false" ht="23.85" hidden="false" customHeight="false" outlineLevel="0" collapsed="false">
      <c r="A30" s="25" t="s">
        <v>197</v>
      </c>
      <c r="B30" s="25" t="s">
        <v>198</v>
      </c>
      <c r="C30" s="26" t="s">
        <v>199</v>
      </c>
      <c r="D30" s="30" t="n">
        <v>4</v>
      </c>
      <c r="E30" s="30" t="n">
        <v>4</v>
      </c>
      <c r="F30" s="30" t="n">
        <v>4</v>
      </c>
      <c r="G30" s="26" t="s">
        <v>111</v>
      </c>
      <c r="H30" s="26" t="s">
        <v>200</v>
      </c>
      <c r="I30" s="26" t="s">
        <v>196</v>
      </c>
    </row>
    <row r="31" customFormat="false" ht="15" hidden="false" customHeight="false" outlineLevel="0" collapsed="false">
      <c r="A31" s="25" t="s">
        <v>201</v>
      </c>
      <c r="B31" s="25" t="s">
        <v>202</v>
      </c>
      <c r="C31" s="26" t="s">
        <v>203</v>
      </c>
      <c r="D31" s="30" t="n">
        <v>5</v>
      </c>
      <c r="E31" s="30" t="n">
        <v>5</v>
      </c>
      <c r="F31" s="30" t="n">
        <v>5</v>
      </c>
      <c r="G31" s="26" t="s">
        <v>111</v>
      </c>
      <c r="H31" s="26" t="s">
        <v>204</v>
      </c>
      <c r="I31" s="26" t="s">
        <v>129</v>
      </c>
    </row>
    <row r="32" customFormat="false" ht="15" hidden="false" customHeight="false" outlineLevel="0" collapsed="false">
      <c r="A32" s="19" t="s">
        <v>205</v>
      </c>
      <c r="B32" s="19"/>
      <c r="C32" s="19"/>
      <c r="D32" s="19"/>
      <c r="E32" s="19"/>
      <c r="F32" s="19"/>
      <c r="G32" s="19"/>
      <c r="H32" s="19"/>
      <c r="I32" s="19"/>
    </row>
    <row r="33" customFormat="false" ht="22.35" hidden="false" customHeight="false" outlineLevel="0" collapsed="false">
      <c r="A33" s="25" t="s">
        <v>206</v>
      </c>
      <c r="B33" s="25" t="s">
        <v>207</v>
      </c>
      <c r="C33" s="26" t="s">
        <v>76</v>
      </c>
      <c r="D33" s="30" t="n">
        <v>301</v>
      </c>
      <c r="E33" s="30" t="n">
        <v>301</v>
      </c>
      <c r="F33" s="30" t="n">
        <v>301</v>
      </c>
      <c r="G33" s="26" t="s">
        <v>106</v>
      </c>
      <c r="H33" s="26" t="s">
        <v>208</v>
      </c>
      <c r="I33" s="26" t="s">
        <v>209</v>
      </c>
    </row>
    <row r="34" customFormat="false" ht="22.35" hidden="false" customHeight="false" outlineLevel="0" collapsed="false">
      <c r="A34" s="25" t="s">
        <v>210</v>
      </c>
      <c r="B34" s="25" t="s">
        <v>211</v>
      </c>
      <c r="C34" s="26" t="s">
        <v>76</v>
      </c>
      <c r="D34" s="30" t="n">
        <v>12</v>
      </c>
      <c r="E34" s="30" t="n">
        <v>12</v>
      </c>
      <c r="F34" s="30" t="n">
        <v>12</v>
      </c>
      <c r="G34" s="26" t="s">
        <v>106</v>
      </c>
      <c r="H34" s="26" t="s">
        <v>212</v>
      </c>
      <c r="I34" s="26" t="s">
        <v>213</v>
      </c>
    </row>
    <row r="35" customFormat="false" ht="23.85" hidden="false" customHeight="false" outlineLevel="0" collapsed="false">
      <c r="A35" s="25" t="s">
        <v>214</v>
      </c>
      <c r="B35" s="25" t="s">
        <v>215</v>
      </c>
      <c r="C35" s="26" t="s">
        <v>76</v>
      </c>
      <c r="D35" s="30" t="n">
        <v>48</v>
      </c>
      <c r="E35" s="30" t="n">
        <v>48</v>
      </c>
      <c r="F35" s="30" t="n">
        <v>48</v>
      </c>
      <c r="G35" s="26" t="s">
        <v>111</v>
      </c>
      <c r="H35" s="26" t="s">
        <v>216</v>
      </c>
      <c r="I35" s="26" t="s">
        <v>217</v>
      </c>
    </row>
    <row r="36" customFormat="false" ht="22.35" hidden="false" customHeight="false" outlineLevel="0" collapsed="false">
      <c r="A36" s="25" t="s">
        <v>218</v>
      </c>
      <c r="B36" s="25" t="s">
        <v>219</v>
      </c>
      <c r="C36" s="26" t="s">
        <v>68</v>
      </c>
      <c r="D36" s="31" t="n">
        <v>0.2</v>
      </c>
      <c r="E36" s="31" t="n">
        <v>0.2</v>
      </c>
      <c r="F36" s="31" t="n">
        <v>0.2</v>
      </c>
      <c r="G36" s="26" t="s">
        <v>111</v>
      </c>
      <c r="H36" s="26" t="s">
        <v>220</v>
      </c>
      <c r="I36" s="26" t="s">
        <v>221</v>
      </c>
    </row>
    <row r="37" customFormat="false" ht="15" hidden="false" customHeight="false" outlineLevel="0" collapsed="false">
      <c r="A37" s="25" t="s">
        <v>222</v>
      </c>
      <c r="B37" s="25" t="s">
        <v>223</v>
      </c>
      <c r="C37" s="26" t="s">
        <v>68</v>
      </c>
      <c r="D37" s="31" t="n">
        <v>0.8</v>
      </c>
      <c r="E37" s="31" t="n">
        <v>0.8</v>
      </c>
      <c r="F37" s="31" t="n">
        <v>0.8</v>
      </c>
      <c r="G37" s="26" t="s">
        <v>111</v>
      </c>
      <c r="H37" s="26" t="s">
        <v>224</v>
      </c>
      <c r="I37" s="26" t="s">
        <v>225</v>
      </c>
    </row>
    <row r="38" customFormat="false" ht="15" hidden="false" customHeight="false" outlineLevel="0" collapsed="false">
      <c r="A38" s="25" t="s">
        <v>226</v>
      </c>
      <c r="B38" s="25" t="s">
        <v>227</v>
      </c>
      <c r="C38" s="26" t="s">
        <v>68</v>
      </c>
      <c r="D38" s="31" t="n">
        <v>0.15</v>
      </c>
      <c r="E38" s="31" t="n">
        <v>0.15</v>
      </c>
      <c r="F38" s="31" t="n">
        <v>0.15</v>
      </c>
      <c r="G38" s="26" t="s">
        <v>111</v>
      </c>
      <c r="H38" s="26" t="s">
        <v>228</v>
      </c>
      <c r="I38" s="26" t="s">
        <v>225</v>
      </c>
    </row>
    <row r="39" customFormat="false" ht="23.85" hidden="false" customHeight="false" outlineLevel="0" collapsed="false">
      <c r="A39" s="25" t="s">
        <v>229</v>
      </c>
      <c r="B39" s="25" t="s">
        <v>230</v>
      </c>
      <c r="C39" s="26" t="s">
        <v>55</v>
      </c>
      <c r="D39" s="34" t="n">
        <v>0.3</v>
      </c>
      <c r="E39" s="34" t="n">
        <v>0.5</v>
      </c>
      <c r="F39" s="34" t="n">
        <v>0.7</v>
      </c>
      <c r="G39" s="26" t="s">
        <v>231</v>
      </c>
      <c r="H39" s="26" t="s">
        <v>232</v>
      </c>
      <c r="I39" s="26" t="s">
        <v>233</v>
      </c>
    </row>
    <row r="40" customFormat="false" ht="15" hidden="false" customHeight="false" outlineLevel="0" collapsed="false">
      <c r="A40" s="25" t="s">
        <v>234</v>
      </c>
      <c r="B40" s="25" t="s">
        <v>235</v>
      </c>
      <c r="C40" s="26" t="s">
        <v>68</v>
      </c>
      <c r="D40" s="31" t="n">
        <v>0.1</v>
      </c>
      <c r="E40" s="31" t="n">
        <v>0.15</v>
      </c>
      <c r="F40" s="31" t="n">
        <v>0.2</v>
      </c>
      <c r="G40" s="26" t="s">
        <v>111</v>
      </c>
      <c r="H40" s="26" t="s">
        <v>236</v>
      </c>
      <c r="I40" s="26" t="s">
        <v>237</v>
      </c>
    </row>
    <row r="41" customFormat="false" ht="15" hidden="false" customHeight="false" outlineLevel="0" collapsed="false">
      <c r="A41" s="19" t="s">
        <v>238</v>
      </c>
      <c r="B41" s="19"/>
      <c r="C41" s="19"/>
      <c r="D41" s="19"/>
      <c r="E41" s="19"/>
      <c r="F41" s="19"/>
      <c r="G41" s="19"/>
      <c r="H41" s="19"/>
      <c r="I41" s="19"/>
    </row>
    <row r="42" customFormat="false" ht="22.35" hidden="false" customHeight="false" outlineLevel="0" collapsed="false">
      <c r="A42" s="25" t="s">
        <v>239</v>
      </c>
      <c r="B42" s="25" t="s">
        <v>240</v>
      </c>
      <c r="C42" s="26" t="s">
        <v>55</v>
      </c>
      <c r="D42" s="29" t="n">
        <v>3</v>
      </c>
      <c r="E42" s="29" t="n">
        <v>6</v>
      </c>
      <c r="F42" s="29" t="n">
        <v>8</v>
      </c>
      <c r="G42" s="26" t="s">
        <v>231</v>
      </c>
      <c r="H42" s="26" t="s">
        <v>241</v>
      </c>
      <c r="I42" s="26" t="s">
        <v>237</v>
      </c>
    </row>
    <row r="43" customFormat="false" ht="22.35" hidden="false" customHeight="false" outlineLevel="0" collapsed="false">
      <c r="A43" s="25" t="s">
        <v>242</v>
      </c>
      <c r="B43" s="25" t="s">
        <v>243</v>
      </c>
      <c r="C43" s="26" t="s">
        <v>244</v>
      </c>
      <c r="D43" s="29" t="n">
        <v>2</v>
      </c>
      <c r="E43" s="29" t="n">
        <v>5</v>
      </c>
      <c r="F43" s="29" t="n">
        <v>7</v>
      </c>
      <c r="G43" s="26" t="s">
        <v>231</v>
      </c>
      <c r="H43" s="26" t="s">
        <v>245</v>
      </c>
      <c r="I43" s="26" t="s">
        <v>246</v>
      </c>
    </row>
    <row r="44" customFormat="false" ht="15" hidden="false" customHeight="false" outlineLevel="0" collapsed="false">
      <c r="A44" s="25" t="s">
        <v>247</v>
      </c>
      <c r="B44" s="25" t="s">
        <v>248</v>
      </c>
      <c r="C44" s="26" t="s">
        <v>55</v>
      </c>
      <c r="D44" s="34" t="n">
        <v>1</v>
      </c>
      <c r="E44" s="34" t="n">
        <v>1.5</v>
      </c>
      <c r="F44" s="34" t="n">
        <v>2</v>
      </c>
      <c r="G44" s="26" t="s">
        <v>231</v>
      </c>
      <c r="H44" s="26" t="s">
        <v>249</v>
      </c>
      <c r="I44" s="26" t="s">
        <v>250</v>
      </c>
    </row>
    <row r="45" customFormat="false" ht="22.35" hidden="false" customHeight="false" outlineLevel="0" collapsed="false">
      <c r="A45" s="25" t="s">
        <v>251</v>
      </c>
      <c r="B45" s="25" t="s">
        <v>252</v>
      </c>
      <c r="C45" s="26" t="s">
        <v>71</v>
      </c>
      <c r="D45" s="30" t="n">
        <v>6</v>
      </c>
      <c r="E45" s="30" t="n">
        <v>8</v>
      </c>
      <c r="F45" s="30" t="n">
        <v>10</v>
      </c>
      <c r="G45" s="26" t="s">
        <v>231</v>
      </c>
      <c r="H45" s="26" t="s">
        <v>253</v>
      </c>
      <c r="I45" s="26" t="s">
        <v>254</v>
      </c>
    </row>
    <row r="46" customFormat="false" ht="15" hidden="false" customHeight="false" outlineLevel="0" collapsed="false">
      <c r="A46" s="25" t="s">
        <v>255</v>
      </c>
      <c r="B46" s="25" t="s">
        <v>256</v>
      </c>
      <c r="C46" s="26" t="s">
        <v>71</v>
      </c>
      <c r="D46" s="34" t="n">
        <v>1.5</v>
      </c>
      <c r="E46" s="34" t="n">
        <v>2</v>
      </c>
      <c r="F46" s="34" t="n">
        <v>2.5</v>
      </c>
      <c r="G46" s="26" t="s">
        <v>231</v>
      </c>
      <c r="H46" s="26" t="s">
        <v>257</v>
      </c>
      <c r="I46" s="26" t="s">
        <v>258</v>
      </c>
    </row>
    <row r="47" customFormat="false" ht="15" hidden="false" customHeight="false" outlineLevel="0" collapsed="false">
      <c r="A47" s="25" t="s">
        <v>259</v>
      </c>
      <c r="B47" s="25" t="s">
        <v>260</v>
      </c>
      <c r="C47" s="26" t="s">
        <v>261</v>
      </c>
      <c r="D47" s="31" t="n">
        <v>0.04</v>
      </c>
      <c r="E47" s="31" t="n">
        <v>0.05</v>
      </c>
      <c r="F47" s="31" t="n">
        <v>0.06</v>
      </c>
      <c r="G47" s="26" t="s">
        <v>111</v>
      </c>
      <c r="H47" s="26" t="s">
        <v>262</v>
      </c>
      <c r="I47" s="26" t="s">
        <v>263</v>
      </c>
    </row>
    <row r="48" customFormat="false" ht="22.35" hidden="false" customHeight="false" outlineLevel="0" collapsed="false">
      <c r="A48" s="25" t="s">
        <v>264</v>
      </c>
      <c r="B48" s="25" t="s">
        <v>265</v>
      </c>
      <c r="C48" s="26" t="s">
        <v>261</v>
      </c>
      <c r="D48" s="31" t="n">
        <v>0</v>
      </c>
      <c r="E48" s="31" t="n">
        <v>0.15</v>
      </c>
      <c r="F48" s="31" t="n">
        <v>0.25</v>
      </c>
      <c r="G48" s="26" t="s">
        <v>231</v>
      </c>
      <c r="H48" s="26" t="s">
        <v>266</v>
      </c>
      <c r="I48" s="26" t="s">
        <v>267</v>
      </c>
    </row>
    <row r="49" customFormat="false" ht="23.85" hidden="false" customHeight="false" outlineLevel="0" collapsed="false">
      <c r="A49" s="25" t="s">
        <v>268</v>
      </c>
      <c r="B49" s="25" t="s">
        <v>269</v>
      </c>
      <c r="C49" s="26" t="s">
        <v>79</v>
      </c>
      <c r="D49" s="35" t="n">
        <v>2028</v>
      </c>
      <c r="E49" s="35" t="n">
        <v>2027</v>
      </c>
      <c r="F49" s="35" t="n">
        <v>2027</v>
      </c>
      <c r="G49" s="26" t="s">
        <v>231</v>
      </c>
      <c r="H49" s="26" t="s">
        <v>270</v>
      </c>
      <c r="I49" s="26" t="s">
        <v>271</v>
      </c>
    </row>
    <row r="50" customFormat="false" ht="15" hidden="false" customHeight="false" outlineLevel="0" collapsed="false">
      <c r="A50" s="19" t="s">
        <v>272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false" outlineLevel="0" collapsed="false">
      <c r="A51" s="25" t="s">
        <v>273</v>
      </c>
      <c r="B51" s="25" t="s">
        <v>274</v>
      </c>
      <c r="C51" s="26" t="s">
        <v>261</v>
      </c>
      <c r="D51" s="31" t="n">
        <v>0.07</v>
      </c>
      <c r="E51" s="31" t="n">
        <v>0.07</v>
      </c>
      <c r="F51" s="31" t="n">
        <v>0.07</v>
      </c>
      <c r="G51" s="26" t="s">
        <v>111</v>
      </c>
      <c r="H51" s="26" t="s">
        <v>275</v>
      </c>
      <c r="I51" s="26" t="s">
        <v>129</v>
      </c>
    </row>
    <row r="52" customFormat="false" ht="15" hidden="false" customHeight="false" outlineLevel="0" collapsed="false">
      <c r="A52" s="25" t="s">
        <v>276</v>
      </c>
      <c r="B52" s="25" t="s">
        <v>277</v>
      </c>
      <c r="C52" s="26" t="s">
        <v>68</v>
      </c>
      <c r="D52" s="31" t="n">
        <v>0.15</v>
      </c>
      <c r="E52" s="31" t="n">
        <v>0.15</v>
      </c>
      <c r="F52" s="31" t="n">
        <v>0.15</v>
      </c>
      <c r="G52" s="26" t="s">
        <v>106</v>
      </c>
      <c r="H52" s="26" t="s">
        <v>278</v>
      </c>
      <c r="I52" s="26" t="s">
        <v>279</v>
      </c>
    </row>
    <row r="53" customFormat="false" ht="15" hidden="false" customHeight="false" outlineLevel="0" collapsed="false">
      <c r="A53" s="25" t="s">
        <v>280</v>
      </c>
      <c r="B53" s="25" t="s">
        <v>281</v>
      </c>
      <c r="C53" s="26" t="s">
        <v>68</v>
      </c>
      <c r="D53" s="32" t="n">
        <v>0.076</v>
      </c>
      <c r="E53" s="32" t="n">
        <v>0.076</v>
      </c>
      <c r="F53" s="32" t="n">
        <v>0.076</v>
      </c>
      <c r="G53" s="26" t="s">
        <v>106</v>
      </c>
      <c r="H53" s="26" t="s">
        <v>282</v>
      </c>
      <c r="I53" s="26" t="s">
        <v>279</v>
      </c>
    </row>
    <row r="54" customFormat="false" ht="15" hidden="false" customHeight="false" outlineLevel="0" collapsed="false">
      <c r="A54" s="25" t="s">
        <v>283</v>
      </c>
      <c r="B54" s="25" t="s">
        <v>284</v>
      </c>
      <c r="C54" s="26" t="s">
        <v>68</v>
      </c>
      <c r="D54" s="32" t="n">
        <v>0.002</v>
      </c>
      <c r="E54" s="32" t="n">
        <v>0.002</v>
      </c>
      <c r="F54" s="32" t="n">
        <v>0.002</v>
      </c>
      <c r="G54" s="26" t="s">
        <v>127</v>
      </c>
      <c r="H54" s="26" t="s">
        <v>285</v>
      </c>
      <c r="I54" s="26" t="s">
        <v>129</v>
      </c>
    </row>
    <row r="55" customFormat="false" ht="22.35" hidden="false" customHeight="false" outlineLevel="0" collapsed="false">
      <c r="A55" s="25" t="s">
        <v>286</v>
      </c>
      <c r="B55" s="25" t="s">
        <v>287</v>
      </c>
      <c r="C55" s="26" t="s">
        <v>55</v>
      </c>
      <c r="D55" s="36" t="n">
        <v>2.979</v>
      </c>
      <c r="E55" s="36" t="n">
        <v>2.979</v>
      </c>
      <c r="F55" s="36" t="n">
        <v>2.979</v>
      </c>
      <c r="G55" s="26" t="s">
        <v>106</v>
      </c>
      <c r="H55" s="26" t="s">
        <v>288</v>
      </c>
      <c r="I55" s="26" t="s">
        <v>289</v>
      </c>
    </row>
    <row r="56" customFormat="false" ht="15" hidden="false" customHeight="false" outlineLevel="0" collapsed="false">
      <c r="A56" s="25" t="s">
        <v>290</v>
      </c>
      <c r="B56" s="25" t="s">
        <v>291</v>
      </c>
      <c r="C56" s="26" t="s">
        <v>261</v>
      </c>
      <c r="D56" s="31" t="n">
        <v>0.08</v>
      </c>
      <c r="E56" s="31" t="n">
        <v>0.08</v>
      </c>
      <c r="F56" s="31" t="n">
        <v>0.08</v>
      </c>
      <c r="G56" s="26" t="s">
        <v>111</v>
      </c>
      <c r="H56" s="26" t="s">
        <v>292</v>
      </c>
      <c r="I56" s="26" t="s">
        <v>129</v>
      </c>
    </row>
    <row r="57" customFormat="false" ht="15" hidden="false" customHeight="false" outlineLevel="0" collapsed="false">
      <c r="A57" s="19" t="s">
        <v>293</v>
      </c>
      <c r="B57" s="19"/>
      <c r="C57" s="19"/>
      <c r="D57" s="19"/>
      <c r="E57" s="19"/>
      <c r="F57" s="19"/>
      <c r="G57" s="19"/>
      <c r="H57" s="19"/>
      <c r="I57" s="19"/>
    </row>
    <row r="58" customFormat="false" ht="23.85" hidden="false" customHeight="false" outlineLevel="0" collapsed="false">
      <c r="A58" s="25" t="s">
        <v>294</v>
      </c>
      <c r="B58" s="25" t="s">
        <v>295</v>
      </c>
      <c r="C58" s="26" t="s">
        <v>71</v>
      </c>
      <c r="D58" s="34" t="n">
        <v>3</v>
      </c>
      <c r="E58" s="34" t="n">
        <v>2.5</v>
      </c>
      <c r="F58" s="34" t="n">
        <v>2.5</v>
      </c>
      <c r="G58" s="26" t="s">
        <v>111</v>
      </c>
      <c r="H58" s="26" t="s">
        <v>296</v>
      </c>
      <c r="I58" s="26" t="s">
        <v>297</v>
      </c>
    </row>
    <row r="59" customFormat="false" ht="15" hidden="false" customHeight="false" outlineLevel="0" collapsed="false">
      <c r="A59" s="25" t="s">
        <v>298</v>
      </c>
      <c r="B59" s="25" t="s">
        <v>299</v>
      </c>
      <c r="C59" s="26" t="s">
        <v>55</v>
      </c>
      <c r="D59" s="34" t="n">
        <v>1.2</v>
      </c>
      <c r="E59" s="34" t="n">
        <v>1</v>
      </c>
      <c r="F59" s="34" t="n">
        <v>1</v>
      </c>
      <c r="G59" s="26" t="s">
        <v>111</v>
      </c>
      <c r="H59" s="26" t="s">
        <v>300</v>
      </c>
      <c r="I59" s="26" t="s">
        <v>297</v>
      </c>
    </row>
    <row r="60" customFormat="false" ht="15" hidden="false" customHeight="false" outlineLevel="0" collapsed="false">
      <c r="A60" s="25" t="s">
        <v>301</v>
      </c>
      <c r="B60" s="25" t="s">
        <v>302</v>
      </c>
      <c r="C60" s="26" t="s">
        <v>55</v>
      </c>
      <c r="D60" s="34" t="n">
        <v>0.4</v>
      </c>
      <c r="E60" s="34" t="n">
        <v>0.6</v>
      </c>
      <c r="F60" s="34" t="n">
        <v>0.8</v>
      </c>
      <c r="G60" s="26" t="s">
        <v>111</v>
      </c>
      <c r="H60" s="26" t="s">
        <v>303</v>
      </c>
      <c r="I60" s="26" t="s">
        <v>129</v>
      </c>
    </row>
    <row r="61" customFormat="false" ht="22.35" hidden="false" customHeight="false" outlineLevel="0" collapsed="false">
      <c r="A61" s="25" t="s">
        <v>304</v>
      </c>
      <c r="B61" s="25" t="s">
        <v>305</v>
      </c>
      <c r="C61" s="26" t="s">
        <v>55</v>
      </c>
      <c r="D61" s="37" t="n">
        <v>0.12</v>
      </c>
      <c r="E61" s="37" t="n">
        <v>0.15</v>
      </c>
      <c r="F61" s="37" t="n">
        <v>0.18</v>
      </c>
      <c r="G61" s="26" t="s">
        <v>111</v>
      </c>
      <c r="H61" s="26" t="s">
        <v>306</v>
      </c>
      <c r="I61" s="26" t="s">
        <v>129</v>
      </c>
    </row>
    <row r="62" customFormat="false" ht="15" hidden="false" customHeight="false" outlineLevel="0" collapsed="false">
      <c r="A62" s="25" t="s">
        <v>307</v>
      </c>
      <c r="B62" s="25" t="s">
        <v>308</v>
      </c>
      <c r="C62" s="26" t="s">
        <v>55</v>
      </c>
      <c r="D62" s="34" t="n">
        <v>0.6</v>
      </c>
      <c r="E62" s="34" t="n">
        <v>1</v>
      </c>
      <c r="F62" s="34" t="n">
        <v>1.5</v>
      </c>
      <c r="G62" s="26" t="s">
        <v>111</v>
      </c>
      <c r="H62" s="26" t="s">
        <v>309</v>
      </c>
      <c r="I62" s="26" t="s">
        <v>129</v>
      </c>
    </row>
    <row r="63" customFormat="false" ht="15" hidden="false" customHeight="false" outlineLevel="0" collapsed="false">
      <c r="A63" s="25" t="s">
        <v>310</v>
      </c>
      <c r="B63" s="25" t="s">
        <v>311</v>
      </c>
      <c r="C63" s="26" t="s">
        <v>71</v>
      </c>
      <c r="D63" s="34" t="n">
        <v>0.3</v>
      </c>
      <c r="E63" s="34" t="n">
        <v>0.4</v>
      </c>
      <c r="F63" s="34" t="n">
        <v>0.5</v>
      </c>
      <c r="G63" s="26" t="s">
        <v>111</v>
      </c>
      <c r="H63" s="26" t="s">
        <v>312</v>
      </c>
      <c r="I63" s="26" t="s">
        <v>129</v>
      </c>
    </row>
    <row r="64" customFormat="false" ht="15" hidden="false" customHeight="false" outlineLevel="0" collapsed="false">
      <c r="A64" s="25" t="s">
        <v>313</v>
      </c>
      <c r="B64" s="25" t="s">
        <v>314</v>
      </c>
      <c r="C64" s="26" t="s">
        <v>55</v>
      </c>
      <c r="D64" s="34" t="n">
        <v>1</v>
      </c>
      <c r="E64" s="34" t="n">
        <v>1.2</v>
      </c>
      <c r="F64" s="34" t="n">
        <v>1.5</v>
      </c>
      <c r="G64" s="26" t="s">
        <v>111</v>
      </c>
      <c r="H64" s="26" t="s">
        <v>315</v>
      </c>
      <c r="I64" s="26" t="s">
        <v>129</v>
      </c>
    </row>
    <row r="65" customFormat="false" ht="15" hidden="false" customHeight="false" outlineLevel="0" collapsed="false">
      <c r="A65" s="25" t="s">
        <v>316</v>
      </c>
      <c r="B65" s="25" t="s">
        <v>317</v>
      </c>
      <c r="C65" s="26" t="s">
        <v>55</v>
      </c>
      <c r="D65" s="37" t="n">
        <v>0.08</v>
      </c>
      <c r="E65" s="37" t="n">
        <v>0.1</v>
      </c>
      <c r="F65" s="37" t="n">
        <v>0.12</v>
      </c>
      <c r="G65" s="26" t="s">
        <v>111</v>
      </c>
      <c r="H65" s="26" t="s">
        <v>318</v>
      </c>
      <c r="I65" s="26" t="s">
        <v>129</v>
      </c>
    </row>
    <row r="66" customFormat="false" ht="15" hidden="false" customHeight="false" outlineLevel="0" collapsed="false">
      <c r="A66" s="25" t="s">
        <v>319</v>
      </c>
      <c r="B66" s="25" t="s">
        <v>320</v>
      </c>
      <c r="C66" s="26" t="s">
        <v>71</v>
      </c>
      <c r="D66" s="37" t="n">
        <v>0.25</v>
      </c>
      <c r="E66" s="37" t="n">
        <v>0.25</v>
      </c>
      <c r="F66" s="37" t="n">
        <v>0.25</v>
      </c>
      <c r="G66" s="26" t="s">
        <v>111</v>
      </c>
      <c r="H66" s="26" t="s">
        <v>321</v>
      </c>
      <c r="I66" s="26" t="s">
        <v>129</v>
      </c>
    </row>
    <row r="67" customFormat="false" ht="23.85" hidden="false" customHeight="false" outlineLevel="0" collapsed="false">
      <c r="A67" s="25" t="s">
        <v>322</v>
      </c>
      <c r="B67" s="25" t="s">
        <v>323</v>
      </c>
      <c r="C67" s="26" t="s">
        <v>71</v>
      </c>
      <c r="D67" s="34" t="n">
        <v>0.3</v>
      </c>
      <c r="E67" s="34" t="n">
        <v>0.3</v>
      </c>
      <c r="F67" s="34" t="n">
        <v>0.3</v>
      </c>
      <c r="G67" s="26" t="s">
        <v>111</v>
      </c>
      <c r="H67" s="26" t="s">
        <v>324</v>
      </c>
      <c r="I67" s="26" t="s">
        <v>129</v>
      </c>
    </row>
    <row r="68" customFormat="false" ht="15" hidden="false" customHeight="false" outlineLevel="0" collapsed="false">
      <c r="A68" s="25" t="s">
        <v>325</v>
      </c>
      <c r="B68" s="25" t="s">
        <v>326</v>
      </c>
      <c r="C68" s="26" t="s">
        <v>261</v>
      </c>
      <c r="D68" s="31" t="n">
        <v>0.05</v>
      </c>
      <c r="E68" s="31" t="n">
        <v>0.05</v>
      </c>
      <c r="F68" s="31" t="n">
        <v>0.05</v>
      </c>
      <c r="G68" s="26" t="s">
        <v>111</v>
      </c>
      <c r="H68" s="26" t="s">
        <v>327</v>
      </c>
      <c r="I68" s="26" t="s">
        <v>129</v>
      </c>
    </row>
    <row r="69" customFormat="false" ht="15" hidden="false" customHeight="false" outlineLevel="0" collapsed="false">
      <c r="A69" s="25" t="s">
        <v>328</v>
      </c>
      <c r="B69" s="25" t="s">
        <v>329</v>
      </c>
      <c r="C69" s="26" t="s">
        <v>330</v>
      </c>
      <c r="D69" s="31" t="n">
        <v>0.1</v>
      </c>
      <c r="E69" s="31" t="n">
        <v>0.1</v>
      </c>
      <c r="F69" s="31" t="n">
        <v>0.1</v>
      </c>
      <c r="G69" s="26" t="s">
        <v>111</v>
      </c>
      <c r="H69" s="26" t="s">
        <v>331</v>
      </c>
      <c r="I69" s="26" t="s">
        <v>129</v>
      </c>
    </row>
    <row r="70" customFormat="false" ht="15" hidden="false" customHeight="false" outlineLevel="0" collapsed="false">
      <c r="A70" s="19" t="s">
        <v>332</v>
      </c>
      <c r="B70" s="19"/>
      <c r="C70" s="19"/>
      <c r="D70" s="19"/>
      <c r="E70" s="19"/>
      <c r="F70" s="19"/>
      <c r="G70" s="19"/>
      <c r="H70" s="19"/>
      <c r="I70" s="19"/>
    </row>
    <row r="71" customFormat="false" ht="15" hidden="false" customHeight="false" outlineLevel="0" collapsed="false">
      <c r="A71" s="25" t="s">
        <v>333</v>
      </c>
      <c r="B71" s="25" t="s">
        <v>334</v>
      </c>
      <c r="C71" s="26" t="s">
        <v>68</v>
      </c>
      <c r="D71" s="31" t="n">
        <v>0.05</v>
      </c>
      <c r="E71" s="31" t="n">
        <v>0.05</v>
      </c>
      <c r="F71" s="31" t="n">
        <v>0.05</v>
      </c>
      <c r="G71" s="26" t="s">
        <v>106</v>
      </c>
      <c r="H71" s="26" t="s">
        <v>335</v>
      </c>
      <c r="I71" s="26" t="s">
        <v>336</v>
      </c>
    </row>
    <row r="72" customFormat="false" ht="15" hidden="false" customHeight="false" outlineLevel="0" collapsed="false">
      <c r="A72" s="25" t="s">
        <v>337</v>
      </c>
      <c r="B72" s="25" t="s">
        <v>338</v>
      </c>
      <c r="C72" s="26" t="s">
        <v>68</v>
      </c>
      <c r="D72" s="31" t="n">
        <v>0.5</v>
      </c>
      <c r="E72" s="31" t="n">
        <v>0.5</v>
      </c>
      <c r="F72" s="31" t="n">
        <v>0.5</v>
      </c>
      <c r="G72" s="26" t="s">
        <v>127</v>
      </c>
      <c r="H72" s="26" t="s">
        <v>339</v>
      </c>
      <c r="I72" s="26" t="s">
        <v>129</v>
      </c>
    </row>
    <row r="73" customFormat="false" ht="15" hidden="false" customHeight="false" outlineLevel="0" collapsed="false">
      <c r="A73" s="25" t="s">
        <v>340</v>
      </c>
      <c r="B73" s="25" t="s">
        <v>341</v>
      </c>
      <c r="C73" s="26" t="s">
        <v>342</v>
      </c>
      <c r="D73" s="30" t="n">
        <v>120</v>
      </c>
      <c r="E73" s="30" t="n">
        <v>90</v>
      </c>
      <c r="F73" s="30" t="n">
        <v>60</v>
      </c>
      <c r="G73" s="26" t="s">
        <v>111</v>
      </c>
      <c r="H73" s="26" t="s">
        <v>343</v>
      </c>
      <c r="I73" s="26" t="s">
        <v>263</v>
      </c>
    </row>
    <row r="74" customFormat="false" ht="15" hidden="false" customHeight="false" outlineLevel="0" collapsed="false">
      <c r="A74" s="25" t="s">
        <v>344</v>
      </c>
      <c r="B74" s="25" t="s">
        <v>345</v>
      </c>
      <c r="C74" s="26" t="s">
        <v>68</v>
      </c>
      <c r="D74" s="31" t="n">
        <v>0.3</v>
      </c>
      <c r="E74" s="31" t="n">
        <v>0.3</v>
      </c>
      <c r="F74" s="31" t="n">
        <v>0.3</v>
      </c>
      <c r="G74" s="26" t="s">
        <v>111</v>
      </c>
      <c r="H74" s="26" t="s">
        <v>346</v>
      </c>
      <c r="I74" s="26" t="s">
        <v>129</v>
      </c>
    </row>
    <row r="75" customFormat="false" ht="15" hidden="false" customHeight="false" outlineLevel="0" collapsed="false">
      <c r="A75" s="25" t="s">
        <v>347</v>
      </c>
      <c r="B75" s="25" t="s">
        <v>348</v>
      </c>
      <c r="C75" s="26" t="s">
        <v>261</v>
      </c>
      <c r="D75" s="31" t="n">
        <v>0.04</v>
      </c>
      <c r="E75" s="31" t="n">
        <v>0.04</v>
      </c>
      <c r="F75" s="31" t="n">
        <v>0.04</v>
      </c>
      <c r="G75" s="26" t="s">
        <v>111</v>
      </c>
      <c r="H75" s="26" t="s">
        <v>349</v>
      </c>
      <c r="I75" s="26" t="s">
        <v>129</v>
      </c>
    </row>
    <row r="76" customFormat="false" ht="15" hidden="false" customHeight="false" outlineLevel="0" collapsed="false">
      <c r="A76" s="25" t="s">
        <v>350</v>
      </c>
      <c r="B76" s="25" t="s">
        <v>351</v>
      </c>
      <c r="C76" s="26" t="s">
        <v>68</v>
      </c>
      <c r="D76" s="31" t="n">
        <v>0.2</v>
      </c>
      <c r="E76" s="31" t="n">
        <v>0.2</v>
      </c>
      <c r="F76" s="31" t="n">
        <v>0.2</v>
      </c>
      <c r="G76" s="26" t="s">
        <v>111</v>
      </c>
      <c r="H76" s="26" t="s">
        <v>352</v>
      </c>
      <c r="I76" s="26" t="s">
        <v>129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1" min="5" style="0" width="9"/>
  </cols>
  <sheetData>
    <row r="1" customFormat="false" ht="17.35" hidden="false" customHeight="false" outlineLevel="0" collapsed="false">
      <c r="A1" s="17" t="s">
        <v>353</v>
      </c>
    </row>
    <row r="2" customFormat="false" ht="15" hidden="false" customHeight="false" outlineLevel="0" collapsed="false">
      <c r="A2" s="18" t="s">
        <v>354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355</v>
      </c>
      <c r="E4" s="5" t="s">
        <v>356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357</v>
      </c>
    </row>
    <row r="5" customFormat="false" ht="15" hidden="false" customHeight="false" outlineLevel="0" collapsed="false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5" hidden="false" customHeight="false" outlineLevel="0" collapsed="false">
      <c r="A6" s="6" t="s">
        <v>358</v>
      </c>
      <c r="B6" s="6" t="s">
        <v>359</v>
      </c>
      <c r="C6" s="20" t="s">
        <v>76</v>
      </c>
      <c r="D6" s="23"/>
      <c r="E6" s="30" t="n">
        <v>0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0</v>
      </c>
      <c r="K6" s="38" t="n">
        <f aca="false">SUM(F6:J6)</f>
        <v>0</v>
      </c>
    </row>
    <row r="7" customFormat="false" ht="15" hidden="false" customHeight="false" outlineLevel="0" collapsed="false">
      <c r="A7" s="6" t="s">
        <v>360</v>
      </c>
      <c r="B7" s="6" t="s">
        <v>361</v>
      </c>
      <c r="C7" s="20" t="s">
        <v>76</v>
      </c>
      <c r="D7" s="23"/>
      <c r="E7" s="30" t="n">
        <v>0</v>
      </c>
      <c r="F7" s="30" t="n">
        <v>0</v>
      </c>
      <c r="G7" s="30" t="n">
        <v>0</v>
      </c>
      <c r="H7" s="30" t="n">
        <v>1</v>
      </c>
      <c r="I7" s="30" t="n">
        <v>1</v>
      </c>
      <c r="J7" s="30" t="n">
        <v>1</v>
      </c>
      <c r="K7" s="38" t="n">
        <f aca="false">SUM(F7:J7)</f>
        <v>3</v>
      </c>
    </row>
    <row r="8" customFormat="false" ht="15" hidden="false" customHeight="false" outlineLevel="0" collapsed="false">
      <c r="A8" s="6" t="s">
        <v>362</v>
      </c>
      <c r="B8" s="6" t="s">
        <v>363</v>
      </c>
      <c r="C8" s="20" t="s">
        <v>53</v>
      </c>
      <c r="D8" s="30" t="n">
        <v>200</v>
      </c>
      <c r="E8" s="34" t="n">
        <v>2</v>
      </c>
      <c r="F8" s="34" t="n">
        <v>2</v>
      </c>
      <c r="G8" s="34" t="n">
        <v>2</v>
      </c>
      <c r="H8" s="34" t="n">
        <v>2</v>
      </c>
      <c r="I8" s="34" t="n">
        <v>2</v>
      </c>
      <c r="J8" s="34" t="n">
        <v>2</v>
      </c>
      <c r="K8" s="23"/>
    </row>
    <row r="9" customFormat="false" ht="15" hidden="false" customHeight="false" outlineLevel="0" collapsed="false">
      <c r="A9" s="6" t="s">
        <v>364</v>
      </c>
      <c r="B9" s="6" t="s">
        <v>365</v>
      </c>
      <c r="C9" s="20" t="s">
        <v>53</v>
      </c>
      <c r="D9" s="30" t="n">
        <v>280</v>
      </c>
      <c r="E9" s="34" t="n">
        <v>0</v>
      </c>
      <c r="F9" s="34" t="n">
        <v>0</v>
      </c>
      <c r="G9" s="34" t="n">
        <v>1</v>
      </c>
      <c r="H9" s="34" t="n">
        <v>1</v>
      </c>
      <c r="I9" s="34" t="n">
        <v>1</v>
      </c>
      <c r="J9" s="34" t="n">
        <v>1</v>
      </c>
      <c r="K9" s="23"/>
    </row>
    <row r="10" customFormat="false" ht="15" hidden="false" customHeight="false" outlineLevel="0" collapsed="false">
      <c r="A10" s="6" t="s">
        <v>366</v>
      </c>
      <c r="B10" s="6" t="s">
        <v>367</v>
      </c>
      <c r="C10" s="20" t="s">
        <v>53</v>
      </c>
      <c r="D10" s="30" t="n">
        <v>230</v>
      </c>
      <c r="E10" s="34" t="n">
        <v>0</v>
      </c>
      <c r="F10" s="34" t="n">
        <v>0.5</v>
      </c>
      <c r="G10" s="34" t="n">
        <v>0.5</v>
      </c>
      <c r="H10" s="34" t="n">
        <v>0.5</v>
      </c>
      <c r="I10" s="34" t="n">
        <v>0.5</v>
      </c>
      <c r="J10" s="34" t="n">
        <v>0.5</v>
      </c>
      <c r="K10" s="23"/>
    </row>
    <row r="11" customFormat="false" ht="15" hidden="false" customHeight="false" outlineLevel="0" collapsed="false">
      <c r="A11" s="6" t="s">
        <v>368</v>
      </c>
      <c r="B11" s="6" t="s">
        <v>369</v>
      </c>
      <c r="C11" s="20" t="s">
        <v>53</v>
      </c>
      <c r="D11" s="30" t="n">
        <v>220</v>
      </c>
      <c r="E11" s="34" t="n">
        <v>0</v>
      </c>
      <c r="F11" s="34" t="n">
        <v>0</v>
      </c>
      <c r="G11" s="34" t="n">
        <v>0</v>
      </c>
      <c r="H11" s="34" t="n">
        <v>0.5</v>
      </c>
      <c r="I11" s="34" t="n">
        <v>0.5</v>
      </c>
      <c r="J11" s="34" t="n">
        <v>0.5</v>
      </c>
      <c r="K11" s="23"/>
    </row>
    <row r="12" customFormat="false" ht="15" hidden="false" customHeight="false" outlineLevel="0" collapsed="false">
      <c r="A12" s="6" t="s">
        <v>370</v>
      </c>
      <c r="B12" s="6" t="s">
        <v>371</v>
      </c>
      <c r="C12" s="20" t="s">
        <v>53</v>
      </c>
      <c r="D12" s="30" t="n">
        <v>250</v>
      </c>
      <c r="E12" s="34" t="n">
        <v>0</v>
      </c>
      <c r="F12" s="34" t="n">
        <v>0</v>
      </c>
      <c r="G12" s="34" t="n">
        <v>0</v>
      </c>
      <c r="H12" s="34" t="n">
        <v>0</v>
      </c>
      <c r="I12" s="34" t="n">
        <v>0</v>
      </c>
      <c r="J12" s="34" t="n">
        <v>0</v>
      </c>
      <c r="K12" s="23"/>
    </row>
    <row r="13" customFormat="false" ht="15" hidden="false" customHeight="false" outlineLevel="0" collapsed="false">
      <c r="A13" s="6" t="s">
        <v>372</v>
      </c>
      <c r="B13" s="6" t="s">
        <v>373</v>
      </c>
      <c r="C13" s="20" t="s">
        <v>53</v>
      </c>
      <c r="D13" s="30" t="n">
        <v>220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23"/>
    </row>
    <row r="15" customFormat="false" ht="15" hidden="false" customHeight="false" outlineLevel="0" collapsed="false">
      <c r="A15" s="19" t="s">
        <v>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customFormat="false" ht="15" hidden="false" customHeight="false" outlineLevel="0" collapsed="false">
      <c r="A16" s="6" t="s">
        <v>374</v>
      </c>
      <c r="B16" s="6" t="s">
        <v>359</v>
      </c>
      <c r="C16" s="20" t="s">
        <v>76</v>
      </c>
      <c r="D16" s="23"/>
      <c r="E16" s="30" t="n">
        <v>0</v>
      </c>
      <c r="F16" s="30" t="n">
        <v>0</v>
      </c>
      <c r="G16" s="30" t="n">
        <v>0</v>
      </c>
      <c r="H16" s="30" t="n">
        <v>1</v>
      </c>
      <c r="I16" s="30" t="n">
        <v>0</v>
      </c>
      <c r="J16" s="30" t="n">
        <v>1</v>
      </c>
      <c r="K16" s="38" t="n">
        <f aca="false">SUM(F16:J16)</f>
        <v>2</v>
      </c>
    </row>
    <row r="17" customFormat="false" ht="15" hidden="false" customHeight="false" outlineLevel="0" collapsed="false">
      <c r="A17" s="6" t="s">
        <v>375</v>
      </c>
      <c r="B17" s="6" t="s">
        <v>361</v>
      </c>
      <c r="C17" s="20" t="s">
        <v>76</v>
      </c>
      <c r="D17" s="23"/>
      <c r="E17" s="30" t="n">
        <v>0</v>
      </c>
      <c r="F17" s="30" t="n">
        <v>0</v>
      </c>
      <c r="G17" s="30" t="n">
        <v>1</v>
      </c>
      <c r="H17" s="30" t="n">
        <v>2</v>
      </c>
      <c r="I17" s="30" t="n">
        <v>2</v>
      </c>
      <c r="J17" s="30" t="n">
        <v>3</v>
      </c>
      <c r="K17" s="38" t="n">
        <f aca="false">SUM(F17:J17)</f>
        <v>8</v>
      </c>
    </row>
    <row r="18" customFormat="false" ht="15" hidden="false" customHeight="false" outlineLevel="0" collapsed="false">
      <c r="A18" s="6" t="s">
        <v>376</v>
      </c>
      <c r="B18" s="6" t="s">
        <v>363</v>
      </c>
      <c r="C18" s="20" t="s">
        <v>53</v>
      </c>
      <c r="D18" s="30" t="n">
        <v>200</v>
      </c>
      <c r="E18" s="34" t="n">
        <v>2</v>
      </c>
      <c r="F18" s="34" t="n">
        <v>2</v>
      </c>
      <c r="G18" s="34" t="n">
        <v>2</v>
      </c>
      <c r="H18" s="34" t="n">
        <v>2</v>
      </c>
      <c r="I18" s="34" t="n">
        <v>2</v>
      </c>
      <c r="J18" s="34" t="n">
        <v>2</v>
      </c>
      <c r="K18" s="23"/>
    </row>
    <row r="19" customFormat="false" ht="15" hidden="false" customHeight="false" outlineLevel="0" collapsed="false">
      <c r="A19" s="6" t="s">
        <v>377</v>
      </c>
      <c r="B19" s="6" t="s">
        <v>365</v>
      </c>
      <c r="C19" s="20" t="s">
        <v>53</v>
      </c>
      <c r="D19" s="30" t="n">
        <v>280</v>
      </c>
      <c r="E19" s="34" t="n">
        <v>0</v>
      </c>
      <c r="F19" s="34" t="n">
        <v>1</v>
      </c>
      <c r="G19" s="34" t="n">
        <v>1</v>
      </c>
      <c r="H19" s="34" t="n">
        <v>1</v>
      </c>
      <c r="I19" s="34" t="n">
        <v>2</v>
      </c>
      <c r="J19" s="34" t="n">
        <v>2</v>
      </c>
      <c r="K19" s="23"/>
    </row>
    <row r="20" customFormat="false" ht="15" hidden="false" customHeight="false" outlineLevel="0" collapsed="false">
      <c r="A20" s="6" t="s">
        <v>378</v>
      </c>
      <c r="B20" s="6" t="s">
        <v>367</v>
      </c>
      <c r="C20" s="20" t="s">
        <v>53</v>
      </c>
      <c r="D20" s="30" t="n">
        <v>230</v>
      </c>
      <c r="E20" s="34" t="n">
        <v>0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K20" s="23"/>
    </row>
    <row r="21" customFormat="false" ht="15" hidden="false" customHeight="false" outlineLevel="0" collapsed="false">
      <c r="A21" s="6" t="s">
        <v>379</v>
      </c>
      <c r="B21" s="6" t="s">
        <v>369</v>
      </c>
      <c r="C21" s="20" t="s">
        <v>53</v>
      </c>
      <c r="D21" s="30" t="n">
        <v>220</v>
      </c>
      <c r="E21" s="34" t="n">
        <v>0</v>
      </c>
      <c r="F21" s="34" t="n">
        <v>0</v>
      </c>
      <c r="G21" s="34" t="n">
        <v>1</v>
      </c>
      <c r="H21" s="34" t="n">
        <v>1</v>
      </c>
      <c r="I21" s="34" t="n">
        <v>1</v>
      </c>
      <c r="J21" s="34" t="n">
        <v>1</v>
      </c>
      <c r="K21" s="23"/>
    </row>
    <row r="22" customFormat="false" ht="15" hidden="false" customHeight="false" outlineLevel="0" collapsed="false">
      <c r="A22" s="6" t="s">
        <v>380</v>
      </c>
      <c r="B22" s="6" t="s">
        <v>371</v>
      </c>
      <c r="C22" s="20" t="s">
        <v>53</v>
      </c>
      <c r="D22" s="30" t="n">
        <v>250</v>
      </c>
      <c r="E22" s="34" t="n">
        <v>0</v>
      </c>
      <c r="F22" s="34" t="n">
        <v>0</v>
      </c>
      <c r="G22" s="34" t="n">
        <v>0</v>
      </c>
      <c r="H22" s="34" t="n">
        <v>1</v>
      </c>
      <c r="I22" s="34" t="n">
        <v>1</v>
      </c>
      <c r="J22" s="34" t="n">
        <v>1</v>
      </c>
      <c r="K22" s="23"/>
    </row>
    <row r="23" customFormat="false" ht="15" hidden="false" customHeight="false" outlineLevel="0" collapsed="false">
      <c r="A23" s="6" t="s">
        <v>381</v>
      </c>
      <c r="B23" s="6" t="s">
        <v>373</v>
      </c>
      <c r="C23" s="20" t="s">
        <v>53</v>
      </c>
      <c r="D23" s="30" t="n">
        <v>220</v>
      </c>
      <c r="E23" s="34" t="n">
        <v>0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1</v>
      </c>
      <c r="K23" s="23"/>
    </row>
    <row r="25" customFormat="false" ht="15" hidden="false" customHeight="false" outlineLevel="0" collapsed="false">
      <c r="A25" s="19" t="s">
        <v>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customFormat="false" ht="15" hidden="false" customHeight="false" outlineLevel="0" collapsed="false">
      <c r="A26" s="6" t="s">
        <v>382</v>
      </c>
      <c r="B26" s="6" t="s">
        <v>359</v>
      </c>
      <c r="C26" s="20" t="s">
        <v>76</v>
      </c>
      <c r="D26" s="23"/>
      <c r="E26" s="30" t="n">
        <v>0</v>
      </c>
      <c r="F26" s="30" t="n">
        <v>0</v>
      </c>
      <c r="G26" s="30" t="n">
        <v>0</v>
      </c>
      <c r="H26" s="30" t="n">
        <v>1</v>
      </c>
      <c r="I26" s="30" t="n">
        <v>1</v>
      </c>
      <c r="J26" s="30" t="n">
        <v>1</v>
      </c>
      <c r="K26" s="38" t="n">
        <f aca="false">SUM(F26:J26)</f>
        <v>3</v>
      </c>
    </row>
    <row r="27" customFormat="false" ht="15" hidden="false" customHeight="false" outlineLevel="0" collapsed="false">
      <c r="A27" s="6" t="s">
        <v>383</v>
      </c>
      <c r="B27" s="6" t="s">
        <v>361</v>
      </c>
      <c r="C27" s="20" t="s">
        <v>76</v>
      </c>
      <c r="D27" s="23"/>
      <c r="E27" s="30" t="n">
        <v>0</v>
      </c>
      <c r="F27" s="30" t="n">
        <v>0</v>
      </c>
      <c r="G27" s="30" t="n">
        <v>2</v>
      </c>
      <c r="H27" s="30" t="n">
        <v>3</v>
      </c>
      <c r="I27" s="30" t="n">
        <v>4</v>
      </c>
      <c r="J27" s="30" t="n">
        <v>5</v>
      </c>
      <c r="K27" s="38" t="n">
        <f aca="false">SUM(F27:J27)</f>
        <v>14</v>
      </c>
    </row>
    <row r="28" customFormat="false" ht="15" hidden="false" customHeight="false" outlineLevel="0" collapsed="false">
      <c r="A28" s="6" t="s">
        <v>384</v>
      </c>
      <c r="B28" s="6" t="s">
        <v>363</v>
      </c>
      <c r="C28" s="20" t="s">
        <v>53</v>
      </c>
      <c r="D28" s="30" t="n">
        <v>200</v>
      </c>
      <c r="E28" s="34" t="n">
        <v>2</v>
      </c>
      <c r="F28" s="34" t="n">
        <v>2</v>
      </c>
      <c r="G28" s="34" t="n">
        <v>2</v>
      </c>
      <c r="H28" s="34" t="n">
        <v>2</v>
      </c>
      <c r="I28" s="34" t="n">
        <v>2</v>
      </c>
      <c r="J28" s="34" t="n">
        <v>2</v>
      </c>
      <c r="K28" s="23"/>
    </row>
    <row r="29" customFormat="false" ht="15" hidden="false" customHeight="false" outlineLevel="0" collapsed="false">
      <c r="A29" s="6" t="s">
        <v>385</v>
      </c>
      <c r="B29" s="6" t="s">
        <v>365</v>
      </c>
      <c r="C29" s="20" t="s">
        <v>53</v>
      </c>
      <c r="D29" s="30" t="n">
        <v>280</v>
      </c>
      <c r="E29" s="34" t="n">
        <v>0</v>
      </c>
      <c r="F29" s="34" t="n">
        <v>1</v>
      </c>
      <c r="G29" s="34" t="n">
        <v>2</v>
      </c>
      <c r="H29" s="34" t="n">
        <v>3</v>
      </c>
      <c r="I29" s="34" t="n">
        <v>3</v>
      </c>
      <c r="J29" s="34" t="n">
        <v>4</v>
      </c>
      <c r="K29" s="23"/>
    </row>
    <row r="30" customFormat="false" ht="15" hidden="false" customHeight="false" outlineLevel="0" collapsed="false">
      <c r="A30" s="6" t="s">
        <v>386</v>
      </c>
      <c r="B30" s="6" t="s">
        <v>367</v>
      </c>
      <c r="C30" s="20" t="s">
        <v>53</v>
      </c>
      <c r="D30" s="30" t="n">
        <v>230</v>
      </c>
      <c r="E30" s="34" t="n">
        <v>0</v>
      </c>
      <c r="F30" s="34" t="n">
        <v>1</v>
      </c>
      <c r="G30" s="34" t="n">
        <v>1</v>
      </c>
      <c r="H30" s="34" t="n">
        <v>1</v>
      </c>
      <c r="I30" s="34" t="n">
        <v>2</v>
      </c>
      <c r="J30" s="34" t="n">
        <v>2</v>
      </c>
      <c r="K30" s="23"/>
    </row>
    <row r="31" customFormat="false" ht="15" hidden="false" customHeight="false" outlineLevel="0" collapsed="false">
      <c r="A31" s="6" t="s">
        <v>387</v>
      </c>
      <c r="B31" s="6" t="s">
        <v>369</v>
      </c>
      <c r="C31" s="20" t="s">
        <v>53</v>
      </c>
      <c r="D31" s="30" t="n">
        <v>220</v>
      </c>
      <c r="E31" s="34" t="n">
        <v>0</v>
      </c>
      <c r="F31" s="34" t="n">
        <v>0</v>
      </c>
      <c r="G31" s="34" t="n">
        <v>1</v>
      </c>
      <c r="H31" s="34" t="n">
        <v>2</v>
      </c>
      <c r="I31" s="34" t="n">
        <v>3</v>
      </c>
      <c r="J31" s="34" t="n">
        <v>3</v>
      </c>
      <c r="K31" s="23"/>
    </row>
    <row r="32" customFormat="false" ht="15" hidden="false" customHeight="false" outlineLevel="0" collapsed="false">
      <c r="A32" s="6" t="s">
        <v>388</v>
      </c>
      <c r="B32" s="6" t="s">
        <v>371</v>
      </c>
      <c r="C32" s="20" t="s">
        <v>53</v>
      </c>
      <c r="D32" s="30" t="n">
        <v>250</v>
      </c>
      <c r="E32" s="34" t="n">
        <v>0</v>
      </c>
      <c r="F32" s="34" t="n">
        <v>0</v>
      </c>
      <c r="G32" s="34" t="n">
        <v>1</v>
      </c>
      <c r="H32" s="34" t="n">
        <v>1</v>
      </c>
      <c r="I32" s="34" t="n">
        <v>1</v>
      </c>
      <c r="J32" s="34" t="n">
        <v>2</v>
      </c>
      <c r="K32" s="23"/>
    </row>
    <row r="33" customFormat="false" ht="15" hidden="false" customHeight="false" outlineLevel="0" collapsed="false">
      <c r="A33" s="6" t="s">
        <v>389</v>
      </c>
      <c r="B33" s="6" t="s">
        <v>373</v>
      </c>
      <c r="C33" s="20" t="s">
        <v>53</v>
      </c>
      <c r="D33" s="30" t="n">
        <v>220</v>
      </c>
      <c r="E33" s="34" t="n">
        <v>0</v>
      </c>
      <c r="F33" s="34" t="n">
        <v>0</v>
      </c>
      <c r="G33" s="34" t="n">
        <v>0</v>
      </c>
      <c r="H33" s="34" t="n">
        <v>1</v>
      </c>
      <c r="I33" s="34" t="n">
        <v>1</v>
      </c>
      <c r="J33" s="34" t="n">
        <v>2</v>
      </c>
      <c r="K33" s="23"/>
    </row>
    <row r="35" customFormat="false" ht="15" hidden="false" customHeight="false" outlineLevel="0" collapsed="false">
      <c r="A35" s="18" t="s">
        <v>390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7" t="s">
        <v>391</v>
      </c>
    </row>
    <row r="2" customFormat="false" ht="15" hidden="false" customHeight="false" outlineLevel="0" collapsed="false">
      <c r="A2" s="18" t="s">
        <v>392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4</v>
      </c>
      <c r="E4" s="5" t="s">
        <v>5</v>
      </c>
      <c r="F4" s="5" t="s">
        <v>6</v>
      </c>
      <c r="G4" s="5" t="s">
        <v>393</v>
      </c>
    </row>
    <row r="5" customFormat="false" ht="15" hidden="false" customHeight="false" outlineLevel="0" collapsed="false">
      <c r="A5" s="19" t="s">
        <v>394</v>
      </c>
      <c r="B5" s="19"/>
      <c r="C5" s="19"/>
      <c r="D5" s="19"/>
      <c r="E5" s="19"/>
      <c r="F5" s="19"/>
      <c r="G5" s="19"/>
    </row>
    <row r="6" customFormat="false" ht="15" hidden="false" customHeight="false" outlineLevel="0" collapsed="false">
      <c r="A6" s="20" t="n">
        <v>1</v>
      </c>
      <c r="B6" s="6" t="s">
        <v>104</v>
      </c>
      <c r="C6" s="20" t="s">
        <v>105</v>
      </c>
      <c r="D6" s="9" t="n">
        <f aca="false">Допущения!$D$7</f>
        <v>1.8</v>
      </c>
      <c r="E6" s="9" t="n">
        <f aca="false">Допущения!$E$7</f>
        <v>1.8</v>
      </c>
      <c r="F6" s="9" t="n">
        <f aca="false">Допущения!$F$7</f>
        <v>1.8</v>
      </c>
      <c r="G6" s="26" t="s">
        <v>395</v>
      </c>
    </row>
    <row r="7" customFormat="false" ht="15" hidden="false" customHeight="false" outlineLevel="0" collapsed="false">
      <c r="A7" s="20" t="n">
        <v>2</v>
      </c>
      <c r="B7" s="6" t="s">
        <v>110</v>
      </c>
      <c r="C7" s="20" t="s">
        <v>68</v>
      </c>
      <c r="D7" s="39" t="n">
        <f aca="false">Допущения!$D$8</f>
        <v>0.1</v>
      </c>
      <c r="E7" s="39" t="n">
        <f aca="false">Допущения!$E$8</f>
        <v>0.15</v>
      </c>
      <c r="F7" s="39" t="n">
        <f aca="false">Допущения!$F$8</f>
        <v>0.25</v>
      </c>
      <c r="G7" s="26" t="s">
        <v>396</v>
      </c>
    </row>
    <row r="8" customFormat="false" ht="15" hidden="false" customHeight="false" outlineLevel="0" collapsed="false">
      <c r="A8" s="20" t="n">
        <v>3</v>
      </c>
      <c r="B8" s="6" t="s">
        <v>115</v>
      </c>
      <c r="C8" s="20" t="s">
        <v>116</v>
      </c>
      <c r="D8" s="7" t="n">
        <f aca="false">Допущения!$D$9</f>
        <v>20</v>
      </c>
      <c r="E8" s="7" t="n">
        <f aca="false">Допущения!$E$9</f>
        <v>30</v>
      </c>
      <c r="F8" s="7" t="n">
        <f aca="false">Допущения!$F$9</f>
        <v>40</v>
      </c>
      <c r="G8" s="26" t="s">
        <v>397</v>
      </c>
    </row>
    <row r="9" customFormat="false" ht="15" hidden="false" customHeight="false" outlineLevel="0" collapsed="false">
      <c r="A9" s="20" t="n">
        <v>4</v>
      </c>
      <c r="B9" s="6" t="s">
        <v>120</v>
      </c>
      <c r="C9" s="20" t="s">
        <v>121</v>
      </c>
      <c r="D9" s="7" t="n">
        <f aca="false">Допущения!$D$10</f>
        <v>1800</v>
      </c>
      <c r="E9" s="7" t="n">
        <f aca="false">Допущения!$E$10</f>
        <v>1800</v>
      </c>
      <c r="F9" s="7" t="n">
        <f aca="false">Допущения!$F$10</f>
        <v>1800</v>
      </c>
      <c r="G9" s="26" t="s">
        <v>398</v>
      </c>
    </row>
    <row r="10" customFormat="false" ht="15" hidden="false" customHeight="false" outlineLevel="0" collapsed="false">
      <c r="A10" s="20" t="n">
        <v>5</v>
      </c>
      <c r="B10" s="6" t="s">
        <v>125</v>
      </c>
      <c r="C10" s="20" t="s">
        <v>126</v>
      </c>
      <c r="D10" s="7" t="n">
        <f aca="false">Допущения!$D$11</f>
        <v>818</v>
      </c>
      <c r="E10" s="7" t="n">
        <f aca="false">Допущения!$E$11</f>
        <v>818</v>
      </c>
      <c r="F10" s="7" t="n">
        <f aca="false">Допущения!$F$11</f>
        <v>818</v>
      </c>
      <c r="G10" s="26" t="s">
        <v>399</v>
      </c>
    </row>
    <row r="11" customFormat="false" ht="15" hidden="false" customHeight="false" outlineLevel="0" collapsed="false">
      <c r="A11" s="20" t="n">
        <v>6</v>
      </c>
      <c r="B11" s="6" t="s">
        <v>131</v>
      </c>
      <c r="C11" s="20" t="s">
        <v>71</v>
      </c>
      <c r="D11" s="7" t="n">
        <f aca="false">Допущения!$D$12</f>
        <v>573</v>
      </c>
      <c r="E11" s="7" t="n">
        <f aca="false">Допущения!$E$12</f>
        <v>573</v>
      </c>
      <c r="F11" s="7" t="n">
        <f aca="false">Допущения!$F$12</f>
        <v>573</v>
      </c>
      <c r="G11" s="26" t="s">
        <v>400</v>
      </c>
    </row>
    <row r="12" customFormat="false" ht="15" hidden="false" customHeight="false" outlineLevel="0" collapsed="false">
      <c r="A12" s="20" t="n">
        <v>7</v>
      </c>
      <c r="B12" s="6" t="s">
        <v>133</v>
      </c>
      <c r="C12" s="20" t="s">
        <v>68</v>
      </c>
      <c r="D12" s="39" t="n">
        <f aca="false">Допущения!$D$13</f>
        <v>0.15</v>
      </c>
      <c r="E12" s="39" t="n">
        <f aca="false">Допущения!$E$13</f>
        <v>0.2</v>
      </c>
      <c r="F12" s="39" t="n">
        <f aca="false">Допущения!$F$13</f>
        <v>0.25</v>
      </c>
      <c r="G12" s="26" t="s">
        <v>401</v>
      </c>
    </row>
    <row r="13" customFormat="false" ht="15" hidden="false" customHeight="false" outlineLevel="0" collapsed="false">
      <c r="A13" s="20" t="n">
        <v>8</v>
      </c>
      <c r="B13" s="6" t="s">
        <v>137</v>
      </c>
      <c r="C13" s="20" t="s">
        <v>68</v>
      </c>
      <c r="D13" s="39" t="n">
        <f aca="false">Допущения!$D$14</f>
        <v>0.1</v>
      </c>
      <c r="E13" s="39" t="n">
        <f aca="false">Допущения!$E$14</f>
        <v>0.25</v>
      </c>
      <c r="F13" s="39" t="n">
        <f aca="false">Допущения!$F$14</f>
        <v>0.4</v>
      </c>
      <c r="G13" s="26" t="s">
        <v>402</v>
      </c>
    </row>
    <row r="14" customFormat="false" ht="15" hidden="false" customHeight="false" outlineLevel="0" collapsed="false">
      <c r="A14" s="20" t="n">
        <v>9</v>
      </c>
      <c r="B14" s="6" t="s">
        <v>141</v>
      </c>
      <c r="C14" s="20" t="s">
        <v>142</v>
      </c>
      <c r="D14" s="7" t="n">
        <f aca="false">Допущения!$D$16</f>
        <v>85</v>
      </c>
      <c r="E14" s="7" t="n">
        <f aca="false">Допущения!$E$16</f>
        <v>100</v>
      </c>
      <c r="F14" s="7" t="n">
        <f aca="false">Допущения!$F$16</f>
        <v>120</v>
      </c>
      <c r="G14" s="26" t="s">
        <v>403</v>
      </c>
    </row>
    <row r="15" customFormat="false" ht="15" hidden="false" customHeight="false" outlineLevel="0" collapsed="false">
      <c r="A15" s="20" t="n">
        <v>10</v>
      </c>
      <c r="B15" s="6" t="s">
        <v>146</v>
      </c>
      <c r="C15" s="20" t="s">
        <v>68</v>
      </c>
      <c r="D15" s="22" t="n">
        <f aca="false">Допущения!$D$17</f>
        <v>0.302</v>
      </c>
      <c r="E15" s="22" t="n">
        <f aca="false">Допущения!$E$17</f>
        <v>0.302</v>
      </c>
      <c r="F15" s="22" t="n">
        <f aca="false">Допущения!$F$17</f>
        <v>0.302</v>
      </c>
      <c r="G15" s="26" t="s">
        <v>404</v>
      </c>
    </row>
    <row r="16" customFormat="false" ht="15" hidden="false" customHeight="false" outlineLevel="0" collapsed="false">
      <c r="A16" s="20" t="n">
        <v>11</v>
      </c>
      <c r="B16" s="6" t="s">
        <v>150</v>
      </c>
      <c r="C16" s="20" t="s">
        <v>151</v>
      </c>
      <c r="D16" s="39" t="n">
        <f aca="false">Допущения!$D$18</f>
        <v>0.2</v>
      </c>
      <c r="E16" s="39" t="n">
        <f aca="false">Допущения!$E$18</f>
        <v>0.25</v>
      </c>
      <c r="F16" s="39" t="n">
        <f aca="false">Допущения!$F$18</f>
        <v>0.3</v>
      </c>
      <c r="G16" s="26" t="s">
        <v>405</v>
      </c>
    </row>
    <row r="17" customFormat="false" ht="15" hidden="false" customHeight="false" outlineLevel="0" collapsed="false">
      <c r="A17" s="20" t="n">
        <v>12</v>
      </c>
      <c r="B17" s="6" t="s">
        <v>155</v>
      </c>
      <c r="C17" s="20" t="s">
        <v>68</v>
      </c>
      <c r="D17" s="39" t="n">
        <f aca="false">Допущения!$D$19</f>
        <v>0.3</v>
      </c>
      <c r="E17" s="39" t="n">
        <f aca="false">Допущения!$E$19</f>
        <v>0.5</v>
      </c>
      <c r="F17" s="39" t="n">
        <f aca="false">Допущения!$F$19</f>
        <v>0.7</v>
      </c>
      <c r="G17" s="26" t="s">
        <v>406</v>
      </c>
    </row>
    <row r="18" customFormat="false" ht="15" hidden="false" customHeight="false" outlineLevel="0" collapsed="false">
      <c r="A18" s="20" t="n">
        <v>13</v>
      </c>
      <c r="B18" s="6" t="s">
        <v>159</v>
      </c>
      <c r="C18" s="20" t="s">
        <v>68</v>
      </c>
      <c r="D18" s="22" t="n">
        <f aca="false">Допущения!$D$20</f>
        <v>0.1</v>
      </c>
      <c r="E18" s="22" t="n">
        <f aca="false">Допущения!$E$20</f>
        <v>0.159</v>
      </c>
      <c r="F18" s="22" t="n">
        <f aca="false">Допущения!$F$20</f>
        <v>0.25</v>
      </c>
      <c r="G18" s="26" t="s">
        <v>407</v>
      </c>
    </row>
    <row r="19" customFormat="false" ht="15" hidden="false" customHeight="false" outlineLevel="0" collapsed="false">
      <c r="A19" s="20" t="n">
        <v>14</v>
      </c>
      <c r="B19" s="6" t="s">
        <v>163</v>
      </c>
      <c r="C19" s="20" t="s">
        <v>68</v>
      </c>
      <c r="D19" s="39" t="n">
        <f aca="false">Допущения!$D$21</f>
        <v>0.5</v>
      </c>
      <c r="E19" s="39" t="n">
        <f aca="false">Допущения!$E$21</f>
        <v>0.5</v>
      </c>
      <c r="F19" s="39" t="n">
        <f aca="false">Допущения!$F$21</f>
        <v>0.5</v>
      </c>
      <c r="G19" s="26" t="s">
        <v>408</v>
      </c>
    </row>
    <row r="20" customFormat="false" ht="15" hidden="false" customHeight="false" outlineLevel="0" collapsed="false">
      <c r="A20" s="20" t="n">
        <v>15</v>
      </c>
      <c r="B20" s="6" t="s">
        <v>240</v>
      </c>
      <c r="C20" s="20" t="s">
        <v>55</v>
      </c>
      <c r="D20" s="7" t="n">
        <f aca="false">Допущения!$D$42</f>
        <v>3</v>
      </c>
      <c r="E20" s="7" t="n">
        <f aca="false">Допущения!$E$42</f>
        <v>6</v>
      </c>
      <c r="F20" s="7" t="n">
        <f aca="false">Допущения!$F$42</f>
        <v>8</v>
      </c>
      <c r="G20" s="26" t="s">
        <v>409</v>
      </c>
    </row>
    <row r="21" customFormat="false" ht="15" hidden="false" customHeight="false" outlineLevel="0" collapsed="false">
      <c r="A21" s="20" t="n">
        <v>16</v>
      </c>
      <c r="B21" s="6" t="s">
        <v>243</v>
      </c>
      <c r="C21" s="20" t="s">
        <v>244</v>
      </c>
      <c r="D21" s="7" t="n">
        <f aca="false">Допущения!$D$43</f>
        <v>2</v>
      </c>
      <c r="E21" s="7" t="n">
        <f aca="false">Допущения!$E$43</f>
        <v>5</v>
      </c>
      <c r="F21" s="7" t="n">
        <f aca="false">Допущения!$F$43</f>
        <v>7</v>
      </c>
      <c r="G21" s="26" t="s">
        <v>410</v>
      </c>
    </row>
    <row r="22" customFormat="false" ht="15" hidden="false" customHeight="false" outlineLevel="0" collapsed="false">
      <c r="A22" s="20" t="n">
        <v>17</v>
      </c>
      <c r="B22" s="6" t="s">
        <v>252</v>
      </c>
      <c r="C22" s="20" t="s">
        <v>71</v>
      </c>
      <c r="D22" s="7" t="n">
        <f aca="false">Допущения!$D$45</f>
        <v>6</v>
      </c>
      <c r="E22" s="7" t="n">
        <f aca="false">Допущения!$E$45</f>
        <v>8</v>
      </c>
      <c r="F22" s="7" t="n">
        <f aca="false">Допущения!$F$45</f>
        <v>10</v>
      </c>
      <c r="G22" s="26" t="s">
        <v>411</v>
      </c>
    </row>
    <row r="23" customFormat="false" ht="15" hidden="false" customHeight="false" outlineLevel="0" collapsed="false">
      <c r="A23" s="20" t="n">
        <v>18</v>
      </c>
      <c r="B23" s="6" t="s">
        <v>190</v>
      </c>
      <c r="C23" s="20" t="s">
        <v>68</v>
      </c>
      <c r="D23" s="39" t="n">
        <f aca="false">Допущения!$D$28</f>
        <v>0.22</v>
      </c>
      <c r="E23" s="39" t="n">
        <f aca="false">Допущения!$E$28</f>
        <v>0.22</v>
      </c>
      <c r="F23" s="39" t="n">
        <f aca="false">Допущения!$F$28</f>
        <v>0.22</v>
      </c>
      <c r="G23" s="26" t="s">
        <v>412</v>
      </c>
    </row>
    <row r="24" customFormat="false" ht="15" hidden="false" customHeight="false" outlineLevel="0" collapsed="false">
      <c r="A24" s="20" t="n">
        <v>19</v>
      </c>
      <c r="B24" s="6" t="s">
        <v>168</v>
      </c>
      <c r="C24" s="20" t="s">
        <v>55</v>
      </c>
      <c r="D24" s="9" t="n">
        <f aca="false">Допущения!$D$23</f>
        <v>4.5</v>
      </c>
      <c r="E24" s="9" t="n">
        <f aca="false">Допущения!$E$23</f>
        <v>4.5</v>
      </c>
      <c r="F24" s="9" t="n">
        <f aca="false">Допущения!$F$23</f>
        <v>4.5</v>
      </c>
      <c r="G24" s="26" t="s">
        <v>413</v>
      </c>
    </row>
    <row r="25" customFormat="false" ht="15" hidden="false" customHeight="false" outlineLevel="0" collapsed="false">
      <c r="A25" s="20" t="n">
        <v>20</v>
      </c>
      <c r="B25" s="6" t="s">
        <v>172</v>
      </c>
      <c r="C25" s="20" t="s">
        <v>173</v>
      </c>
      <c r="D25" s="9" t="n">
        <f aca="false">Допущения!$D$24</f>
        <v>2</v>
      </c>
      <c r="E25" s="9" t="n">
        <f aca="false">Допущения!$E$24</f>
        <v>1.5</v>
      </c>
      <c r="F25" s="9" t="n">
        <f aca="false">Допущения!$F$24</f>
        <v>1</v>
      </c>
      <c r="G25" s="26" t="s">
        <v>414</v>
      </c>
    </row>
    <row r="26" customFormat="false" ht="15" hidden="false" customHeight="false" outlineLevel="0" collapsed="false">
      <c r="A26" s="20" t="n">
        <v>21</v>
      </c>
      <c r="B26" s="6" t="s">
        <v>177</v>
      </c>
      <c r="C26" s="20" t="s">
        <v>71</v>
      </c>
      <c r="D26" s="9" t="n">
        <f aca="false">Допущения!$D$25</f>
        <v>2</v>
      </c>
      <c r="E26" s="9" t="n">
        <f aca="false">Допущения!$E$25</f>
        <v>1.5</v>
      </c>
      <c r="F26" s="9" t="n">
        <f aca="false">Допущения!$F$25</f>
        <v>1</v>
      </c>
      <c r="G26" s="26" t="s">
        <v>415</v>
      </c>
    </row>
    <row r="27" customFormat="false" ht="15" hidden="false" customHeight="false" outlineLevel="0" collapsed="false">
      <c r="A27" s="20" t="n">
        <v>22</v>
      </c>
      <c r="B27" s="6" t="s">
        <v>181</v>
      </c>
      <c r="C27" s="20" t="s">
        <v>71</v>
      </c>
      <c r="D27" s="7" t="n">
        <f aca="false">Допущения!$D$26</f>
        <v>1</v>
      </c>
      <c r="E27" s="7" t="n">
        <f aca="false">Допущения!$E$26</f>
        <v>1</v>
      </c>
      <c r="F27" s="7" t="n">
        <f aca="false">Допущения!$F$26</f>
        <v>1</v>
      </c>
      <c r="G27" s="26" t="s">
        <v>416</v>
      </c>
    </row>
    <row r="28" customFormat="false" ht="15" hidden="false" customHeight="false" outlineLevel="0" collapsed="false">
      <c r="A28" s="20" t="n">
        <v>23</v>
      </c>
      <c r="B28" s="6" t="s">
        <v>185</v>
      </c>
      <c r="C28" s="20" t="s">
        <v>186</v>
      </c>
      <c r="D28" s="9" t="n">
        <f aca="false">Допущения!$D$27</f>
        <v>0.5</v>
      </c>
      <c r="E28" s="9" t="n">
        <f aca="false">Допущения!$E$27</f>
        <v>0.5</v>
      </c>
      <c r="F28" s="9" t="n">
        <f aca="false">Допущения!$F$27</f>
        <v>0.3</v>
      </c>
      <c r="G28" s="26" t="s">
        <v>417</v>
      </c>
    </row>
    <row r="29" customFormat="false" ht="15" hidden="false" customHeight="false" outlineLevel="0" collapsed="false">
      <c r="A29" s="20" t="n">
        <v>24</v>
      </c>
      <c r="B29" s="6" t="s">
        <v>194</v>
      </c>
      <c r="C29" s="20" t="s">
        <v>173</v>
      </c>
      <c r="D29" s="7" t="n">
        <f aca="false">Допущения!$D$29</f>
        <v>10</v>
      </c>
      <c r="E29" s="7" t="n">
        <f aca="false">Допущения!$E$29</f>
        <v>10</v>
      </c>
      <c r="F29" s="7" t="n">
        <f aca="false">Допущения!$F$29</f>
        <v>10</v>
      </c>
      <c r="G29" s="26" t="s">
        <v>418</v>
      </c>
    </row>
    <row r="30" customFormat="false" ht="15" hidden="false" customHeight="false" outlineLevel="0" collapsed="false">
      <c r="A30" s="20" t="n">
        <v>25</v>
      </c>
      <c r="B30" s="6" t="s">
        <v>198</v>
      </c>
      <c r="C30" s="20" t="s">
        <v>199</v>
      </c>
      <c r="D30" s="7" t="n">
        <f aca="false">Допущения!$D$30</f>
        <v>4</v>
      </c>
      <c r="E30" s="7" t="n">
        <f aca="false">Допущения!$E$30</f>
        <v>4</v>
      </c>
      <c r="F30" s="7" t="n">
        <f aca="false">Допущения!$F$30</f>
        <v>4</v>
      </c>
      <c r="G30" s="26" t="s">
        <v>419</v>
      </c>
    </row>
    <row r="31" customFormat="false" ht="15" hidden="false" customHeight="false" outlineLevel="0" collapsed="false">
      <c r="A31" s="20" t="n">
        <v>26</v>
      </c>
      <c r="B31" s="6" t="s">
        <v>202</v>
      </c>
      <c r="C31" s="20" t="s">
        <v>203</v>
      </c>
      <c r="D31" s="7" t="n">
        <f aca="false">Допущения!$D$31</f>
        <v>5</v>
      </c>
      <c r="E31" s="7" t="n">
        <f aca="false">Допущения!$E$31</f>
        <v>5</v>
      </c>
      <c r="F31" s="7" t="n">
        <f aca="false">Допущения!$F$31</f>
        <v>5</v>
      </c>
      <c r="G31" s="26" t="s">
        <v>420</v>
      </c>
    </row>
    <row r="32" customFormat="false" ht="15" hidden="false" customHeight="false" outlineLevel="0" collapsed="false">
      <c r="A32" s="19" t="s">
        <v>421</v>
      </c>
      <c r="B32" s="19"/>
      <c r="C32" s="19"/>
      <c r="D32" s="19"/>
      <c r="E32" s="19"/>
      <c r="F32" s="19"/>
      <c r="G32" s="19"/>
    </row>
    <row r="33" customFormat="false" ht="15" hidden="false" customHeight="false" outlineLevel="0" collapsed="false">
      <c r="A33" s="20" t="n">
        <v>27</v>
      </c>
      <c r="B33" s="6" t="s">
        <v>422</v>
      </c>
      <c r="C33" s="20" t="s">
        <v>423</v>
      </c>
      <c r="D33" s="40" t="n">
        <f aca="false">D6*1000*D7</f>
        <v>180</v>
      </c>
      <c r="E33" s="40" t="n">
        <f aca="false">E6*1000*E7</f>
        <v>270</v>
      </c>
      <c r="F33" s="40" t="n">
        <f aca="false">F6*1000*F7</f>
        <v>450</v>
      </c>
      <c r="G33" s="26" t="s">
        <v>424</v>
      </c>
    </row>
    <row r="34" customFormat="false" ht="15" hidden="false" customHeight="false" outlineLevel="0" collapsed="false">
      <c r="A34" s="20" t="n">
        <v>28</v>
      </c>
      <c r="B34" s="6" t="s">
        <v>425</v>
      </c>
      <c r="C34" s="20" t="s">
        <v>426</v>
      </c>
      <c r="D34" s="40" t="n">
        <f aca="false">D33*D8/60</f>
        <v>60</v>
      </c>
      <c r="E34" s="40" t="n">
        <f aca="false">E33*E8/60</f>
        <v>135</v>
      </c>
      <c r="F34" s="40" t="n">
        <f aca="false">F33*F8/60</f>
        <v>300</v>
      </c>
      <c r="G34" s="26" t="s">
        <v>427</v>
      </c>
    </row>
    <row r="35" customFormat="false" ht="15" hidden="false" customHeight="false" outlineLevel="0" collapsed="false">
      <c r="A35" s="20" t="n">
        <v>29</v>
      </c>
      <c r="B35" s="6" t="s">
        <v>52</v>
      </c>
      <c r="C35" s="20" t="s">
        <v>53</v>
      </c>
      <c r="D35" s="40" t="n">
        <f aca="false">D34*1000/D9</f>
        <v>33.3333333333333</v>
      </c>
      <c r="E35" s="40" t="n">
        <f aca="false">E34*1000/E9</f>
        <v>75</v>
      </c>
      <c r="F35" s="40" t="n">
        <f aca="false">F34*1000/F9</f>
        <v>166.666666666667</v>
      </c>
      <c r="G35" s="26" t="s">
        <v>428</v>
      </c>
    </row>
    <row r="36" customFormat="false" ht="15" hidden="false" customHeight="false" outlineLevel="0" collapsed="false">
      <c r="A36" s="20" t="n">
        <v>30</v>
      </c>
      <c r="B36" s="6" t="s">
        <v>429</v>
      </c>
      <c r="C36" s="20" t="s">
        <v>53</v>
      </c>
      <c r="D36" s="38" t="n">
        <f aca="false">ROUND(D35,0)</f>
        <v>33</v>
      </c>
      <c r="E36" s="38" t="n">
        <f aca="false">ROUND(E35,0)</f>
        <v>75</v>
      </c>
      <c r="F36" s="38" t="n">
        <f aca="false">ROUND(F35,0)</f>
        <v>167</v>
      </c>
      <c r="G36" s="26" t="s">
        <v>430</v>
      </c>
    </row>
    <row r="37" customFormat="false" ht="15" hidden="false" customHeight="false" outlineLevel="0" collapsed="false">
      <c r="A37" s="20" t="n">
        <v>31</v>
      </c>
      <c r="B37" s="6" t="s">
        <v>431</v>
      </c>
      <c r="C37" s="20" t="s">
        <v>55</v>
      </c>
      <c r="D37" s="41" t="n">
        <f aca="false">D14*12*(1+D15)*(1+D16)/1000</f>
        <v>1.593648</v>
      </c>
      <c r="E37" s="41" t="n">
        <f aca="false">E14*12*(1+E15)*(1+E16)/1000</f>
        <v>1.953</v>
      </c>
      <c r="F37" s="41" t="n">
        <f aca="false">F14*12*(1+F15)*(1+F16)/1000</f>
        <v>2.437344</v>
      </c>
      <c r="G37" s="26" t="s">
        <v>432</v>
      </c>
    </row>
    <row r="38" customFormat="false" ht="15" hidden="false" customHeight="false" outlineLevel="0" collapsed="false">
      <c r="A38" s="20" t="n">
        <v>32</v>
      </c>
      <c r="B38" s="6" t="s">
        <v>433</v>
      </c>
      <c r="C38" s="20" t="s">
        <v>55</v>
      </c>
      <c r="D38" s="40" t="n">
        <f aca="false">D35*D37</f>
        <v>53.1216</v>
      </c>
      <c r="E38" s="40" t="n">
        <f aca="false">E35*E37</f>
        <v>146.475</v>
      </c>
      <c r="F38" s="40" t="n">
        <f aca="false">F35*F37</f>
        <v>406.224</v>
      </c>
      <c r="G38" s="26" t="s">
        <v>434</v>
      </c>
    </row>
    <row r="39" customFormat="false" ht="15" hidden="false" customHeight="false" outlineLevel="0" collapsed="false">
      <c r="A39" s="20" t="n">
        <v>33</v>
      </c>
      <c r="B39" s="6" t="s">
        <v>435</v>
      </c>
      <c r="C39" s="20" t="s">
        <v>55</v>
      </c>
      <c r="D39" s="40" t="n">
        <f aca="false">D38*D17</f>
        <v>15.93648</v>
      </c>
      <c r="E39" s="40" t="n">
        <f aca="false">E38*E17</f>
        <v>73.2375</v>
      </c>
      <c r="F39" s="40" t="n">
        <f aca="false">F38*F17</f>
        <v>284.3568</v>
      </c>
      <c r="G39" s="26" t="s">
        <v>436</v>
      </c>
    </row>
    <row r="40" customFormat="false" ht="15" hidden="false" customHeight="false" outlineLevel="0" collapsed="false">
      <c r="A40" s="19" t="s">
        <v>437</v>
      </c>
      <c r="B40" s="19"/>
      <c r="C40" s="19"/>
      <c r="D40" s="19"/>
      <c r="E40" s="19"/>
      <c r="F40" s="19"/>
      <c r="G40" s="19"/>
    </row>
    <row r="41" customFormat="false" ht="15" hidden="false" customHeight="false" outlineLevel="0" collapsed="false">
      <c r="A41" s="20" t="n">
        <v>34</v>
      </c>
      <c r="B41" s="6" t="s">
        <v>438</v>
      </c>
      <c r="C41" s="20" t="s">
        <v>71</v>
      </c>
      <c r="D41" s="41" t="n">
        <f aca="false">D11/D10</f>
        <v>0.700488997555012</v>
      </c>
      <c r="E41" s="41" t="n">
        <f aca="false">E11/E10</f>
        <v>0.700488997555012</v>
      </c>
      <c r="F41" s="41" t="n">
        <f aca="false">F11/F10</f>
        <v>0.700488997555012</v>
      </c>
      <c r="G41" s="26" t="s">
        <v>439</v>
      </c>
    </row>
    <row r="42" customFormat="false" ht="15" hidden="false" customHeight="false" outlineLevel="0" collapsed="false">
      <c r="A42" s="20" t="n">
        <v>35</v>
      </c>
      <c r="B42" s="6" t="s">
        <v>440</v>
      </c>
      <c r="C42" s="20" t="s">
        <v>126</v>
      </c>
      <c r="D42" s="38" t="n">
        <f aca="false">D10*4</f>
        <v>3272</v>
      </c>
      <c r="E42" s="38" t="n">
        <f aca="false">E10*4</f>
        <v>3272</v>
      </c>
      <c r="F42" s="38" t="n">
        <f aca="false">F10*4</f>
        <v>3272</v>
      </c>
      <c r="G42" s="26" t="s">
        <v>441</v>
      </c>
    </row>
    <row r="43" customFormat="false" ht="15" hidden="false" customHeight="false" outlineLevel="0" collapsed="false">
      <c r="A43" s="20" t="n">
        <v>36</v>
      </c>
      <c r="B43" s="6" t="s">
        <v>442</v>
      </c>
      <c r="C43" s="20" t="s">
        <v>55</v>
      </c>
      <c r="D43" s="40" t="n">
        <f aca="false">D42*D12*D13*D41</f>
        <v>34.38</v>
      </c>
      <c r="E43" s="40" t="n">
        <f aca="false">E42*E12*E13*E41</f>
        <v>114.6</v>
      </c>
      <c r="F43" s="40" t="n">
        <f aca="false">F42*F12*F13*F41</f>
        <v>229.2</v>
      </c>
      <c r="G43" s="26" t="s">
        <v>443</v>
      </c>
    </row>
    <row r="44" customFormat="false" ht="15" hidden="false" customHeight="false" outlineLevel="0" collapsed="false">
      <c r="A44" s="20" t="n">
        <v>37</v>
      </c>
      <c r="B44" s="6" t="s">
        <v>444</v>
      </c>
      <c r="C44" s="20" t="s">
        <v>55</v>
      </c>
      <c r="D44" s="38" t="n">
        <f aca="false">ROUND(D43,0)</f>
        <v>34</v>
      </c>
      <c r="E44" s="38" t="n">
        <f aca="false">ROUND(E43,0)</f>
        <v>115</v>
      </c>
      <c r="F44" s="38" t="n">
        <f aca="false">ROUND(F43,0)</f>
        <v>229</v>
      </c>
      <c r="G44" s="26" t="s">
        <v>430</v>
      </c>
    </row>
    <row r="45" customFormat="false" ht="15" hidden="false" customHeight="false" outlineLevel="0" collapsed="false">
      <c r="A45" s="20" t="n">
        <v>38</v>
      </c>
      <c r="B45" s="6" t="s">
        <v>445</v>
      </c>
      <c r="C45" s="20" t="s">
        <v>55</v>
      </c>
      <c r="D45" s="40" t="n">
        <f aca="false">D43*D18</f>
        <v>3.438</v>
      </c>
      <c r="E45" s="40" t="n">
        <f aca="false">E43*E18</f>
        <v>18.2214</v>
      </c>
      <c r="F45" s="40" t="n">
        <f aca="false">F43*F18</f>
        <v>57.3</v>
      </c>
      <c r="G45" s="26" t="s">
        <v>446</v>
      </c>
    </row>
    <row r="46" customFormat="false" ht="15" hidden="false" customHeight="false" outlineLevel="0" collapsed="false">
      <c r="A46" s="19" t="s">
        <v>447</v>
      </c>
      <c r="B46" s="19"/>
      <c r="C46" s="19"/>
      <c r="D46" s="19"/>
      <c r="E46" s="19"/>
      <c r="F46" s="19"/>
      <c r="G46" s="19"/>
    </row>
    <row r="47" customFormat="false" ht="15" hidden="false" customHeight="false" outlineLevel="0" collapsed="false">
      <c r="A47" s="20" t="n">
        <v>39</v>
      </c>
      <c r="B47" s="6" t="s">
        <v>56</v>
      </c>
      <c r="C47" s="20" t="s">
        <v>55</v>
      </c>
      <c r="D47" s="40" t="n">
        <f aca="false">D38+D45</f>
        <v>56.5596</v>
      </c>
      <c r="E47" s="40" t="n">
        <f aca="false">E38+E45</f>
        <v>164.6964</v>
      </c>
      <c r="F47" s="40" t="n">
        <f aca="false">F38+F45</f>
        <v>463.524</v>
      </c>
      <c r="G47" s="26" t="s">
        <v>448</v>
      </c>
    </row>
    <row r="48" customFormat="false" ht="15" hidden="false" customHeight="false" outlineLevel="0" collapsed="false">
      <c r="A48" s="20" t="n">
        <v>40</v>
      </c>
      <c r="B48" s="6" t="s">
        <v>57</v>
      </c>
      <c r="C48" s="20" t="s">
        <v>55</v>
      </c>
      <c r="D48" s="40" t="n">
        <f aca="false">D39+D45</f>
        <v>19.37448</v>
      </c>
      <c r="E48" s="40" t="n">
        <f aca="false">E39+E45</f>
        <v>91.4589</v>
      </c>
      <c r="F48" s="40" t="n">
        <f aca="false">F39+F45</f>
        <v>341.6568</v>
      </c>
      <c r="G48" s="26" t="s">
        <v>449</v>
      </c>
    </row>
    <row r="49" customFormat="false" ht="15" hidden="false" customHeight="false" outlineLevel="0" collapsed="false">
      <c r="A49" s="20" t="n">
        <v>41</v>
      </c>
      <c r="B49" s="6" t="s">
        <v>450</v>
      </c>
      <c r="C49" s="20" t="s">
        <v>55</v>
      </c>
      <c r="D49" s="40" t="n">
        <f aca="false">D38+D43</f>
        <v>87.5016</v>
      </c>
      <c r="E49" s="40" t="n">
        <f aca="false">E38+E43</f>
        <v>261.075</v>
      </c>
      <c r="F49" s="40" t="n">
        <f aca="false">F38+F43</f>
        <v>635.424</v>
      </c>
      <c r="G49" s="26" t="s">
        <v>451</v>
      </c>
    </row>
    <row r="50" customFormat="false" ht="15" hidden="false" customHeight="false" outlineLevel="0" collapsed="false">
      <c r="A50" s="19" t="s">
        <v>452</v>
      </c>
      <c r="B50" s="19"/>
      <c r="C50" s="19"/>
      <c r="D50" s="19"/>
      <c r="E50" s="19"/>
      <c r="F50" s="19"/>
      <c r="G50" s="19"/>
    </row>
    <row r="51" customFormat="false" ht="15" hidden="false" customHeight="false" outlineLevel="0" collapsed="false">
      <c r="A51" s="20" t="n">
        <v>42</v>
      </c>
      <c r="B51" s="6" t="s">
        <v>453</v>
      </c>
      <c r="C51" s="20" t="s">
        <v>55</v>
      </c>
      <c r="D51" s="40" t="n">
        <f aca="false">D20+D6*D21</f>
        <v>6.6</v>
      </c>
      <c r="E51" s="40" t="n">
        <f aca="false">E20+E6*E21</f>
        <v>15</v>
      </c>
      <c r="F51" s="40" t="n">
        <f aca="false">F20+F6*F21</f>
        <v>20.6</v>
      </c>
      <c r="G51" s="26" t="s">
        <v>454</v>
      </c>
    </row>
    <row r="52" customFormat="false" ht="15" hidden="false" customHeight="false" outlineLevel="0" collapsed="false">
      <c r="A52" s="20" t="n">
        <v>43</v>
      </c>
      <c r="B52" s="6" t="s">
        <v>455</v>
      </c>
      <c r="C52" s="20" t="s">
        <v>71</v>
      </c>
      <c r="D52" s="40" t="n">
        <f aca="false">D22*(1+D23)</f>
        <v>7.32</v>
      </c>
      <c r="E52" s="40" t="n">
        <f aca="false">E22*(1+E23)</f>
        <v>9.76</v>
      </c>
      <c r="F52" s="40" t="n">
        <f aca="false">F22*(1+F23)</f>
        <v>12.2</v>
      </c>
      <c r="G52" s="26" t="s">
        <v>456</v>
      </c>
    </row>
    <row r="53" customFormat="false" ht="15" hidden="false" customHeight="false" outlineLevel="0" collapsed="false">
      <c r="A53" s="20" t="n">
        <v>44</v>
      </c>
      <c r="B53" s="6" t="s">
        <v>457</v>
      </c>
      <c r="C53" s="20" t="s">
        <v>71</v>
      </c>
      <c r="D53" s="40" t="n">
        <f aca="false">D25*D24</f>
        <v>9</v>
      </c>
      <c r="E53" s="40" t="n">
        <f aca="false">E25*E24</f>
        <v>6.75</v>
      </c>
      <c r="F53" s="40" t="n">
        <f aca="false">F25*F24</f>
        <v>4.5</v>
      </c>
      <c r="G53" s="26" t="s">
        <v>458</v>
      </c>
    </row>
    <row r="54" customFormat="false" ht="15" hidden="false" customHeight="false" outlineLevel="0" collapsed="false">
      <c r="A54" s="20" t="n">
        <v>45</v>
      </c>
      <c r="B54" s="6" t="s">
        <v>459</v>
      </c>
      <c r="C54" s="20" t="s">
        <v>71</v>
      </c>
      <c r="D54" s="40" t="n">
        <f aca="false">D52+D53+D26+D27</f>
        <v>19.32</v>
      </c>
      <c r="E54" s="40" t="n">
        <f aca="false">E52+E53+E26+E27</f>
        <v>19.01</v>
      </c>
      <c r="F54" s="40" t="n">
        <f aca="false">F52+F53+F26+F27</f>
        <v>18.7</v>
      </c>
      <c r="G54" s="26" t="s">
        <v>460</v>
      </c>
    </row>
    <row r="55" customFormat="false" ht="15" hidden="false" customHeight="false" outlineLevel="0" collapsed="false">
      <c r="A55" s="20" t="n">
        <v>46</v>
      </c>
      <c r="B55" s="6" t="s">
        <v>461</v>
      </c>
      <c r="C55" s="20" t="s">
        <v>55</v>
      </c>
      <c r="D55" s="40" t="n">
        <f aca="false">D51+D28*D24</f>
        <v>8.85</v>
      </c>
      <c r="E55" s="40" t="n">
        <f aca="false">E51+E28*E24</f>
        <v>17.25</v>
      </c>
      <c r="F55" s="40" t="n">
        <f aca="false">F51+F28*F24</f>
        <v>21.95</v>
      </c>
      <c r="G55" s="26" t="s">
        <v>462</v>
      </c>
    </row>
    <row r="56" customFormat="false" ht="15" hidden="false" customHeight="false" outlineLevel="0" collapsed="false">
      <c r="A56" s="19" t="s">
        <v>463</v>
      </c>
      <c r="B56" s="19"/>
      <c r="C56" s="19"/>
      <c r="D56" s="19"/>
      <c r="E56" s="19"/>
      <c r="F56" s="19"/>
      <c r="G56" s="19"/>
    </row>
    <row r="57" customFormat="false" ht="15" hidden="false" customHeight="false" outlineLevel="0" collapsed="false">
      <c r="A57" s="20" t="n">
        <v>47</v>
      </c>
      <c r="B57" s="6" t="s">
        <v>464</v>
      </c>
      <c r="C57" s="20" t="s">
        <v>71</v>
      </c>
      <c r="D57" s="40" t="n">
        <f aca="false">D48*D19-D55</f>
        <v>0.83724</v>
      </c>
      <c r="E57" s="40" t="n">
        <f aca="false">E48*E19-E55</f>
        <v>28.47945</v>
      </c>
      <c r="F57" s="40" t="n">
        <f aca="false">F48*F19-F55</f>
        <v>148.8784</v>
      </c>
      <c r="G57" s="26" t="s">
        <v>465</v>
      </c>
    </row>
    <row r="58" customFormat="false" ht="15" hidden="false" customHeight="false" outlineLevel="0" collapsed="false">
      <c r="A58" s="20" t="n">
        <v>48</v>
      </c>
      <c r="B58" s="6" t="s">
        <v>466</v>
      </c>
      <c r="C58" s="20" t="s">
        <v>55</v>
      </c>
      <c r="D58" s="40" t="n">
        <f aca="false">D48-D55</f>
        <v>10.52448</v>
      </c>
      <c r="E58" s="40" t="n">
        <f aca="false">E48-E55</f>
        <v>74.2089</v>
      </c>
      <c r="F58" s="40" t="n">
        <f aca="false">F48-F55</f>
        <v>319.7068</v>
      </c>
      <c r="G58" s="26" t="s">
        <v>467</v>
      </c>
    </row>
    <row r="59" customFormat="false" ht="15" hidden="false" customHeight="false" outlineLevel="0" collapsed="false">
      <c r="A59" s="20" t="n">
        <v>49</v>
      </c>
      <c r="B59" s="6" t="s">
        <v>468</v>
      </c>
      <c r="C59" s="20" t="s">
        <v>62</v>
      </c>
      <c r="D59" s="42" t="n">
        <f aca="false">(D57+2*D58-D54)/(D54+3*D55)</f>
        <v>0.0559450621321124</v>
      </c>
      <c r="E59" s="42" t="n">
        <f aca="false">(E57+2*E58-E54)/(E54+3*E55)</f>
        <v>2.23130652911249</v>
      </c>
      <c r="F59" s="42" t="n">
        <f aca="false">(F57+2*F58-F54)/(F54+3*F55)</f>
        <v>9.1022117090479</v>
      </c>
      <c r="G59" s="26" t="s">
        <v>469</v>
      </c>
    </row>
    <row r="60" customFormat="false" ht="15" hidden="false" customHeight="false" outlineLevel="0" collapsed="false">
      <c r="A60" s="20" t="n">
        <v>50</v>
      </c>
      <c r="B60" s="6" t="s">
        <v>470</v>
      </c>
      <c r="C60" s="20" t="s">
        <v>60</v>
      </c>
      <c r="D60" s="43" t="n">
        <f aca="false">IF(D57&gt;=D54,12*D54/D57,IF(D58&lt;=0,"не окупается",12+12*(D54-D57)/D58))</f>
        <v>33.0740217093861</v>
      </c>
      <c r="E60" s="43" t="n">
        <f aca="false">IF(E57&gt;=E54,12*E54/E57,IF(E58&lt;=0,"не окупается",12+12*(E54-E57)/E58))</f>
        <v>8.00998614790665</v>
      </c>
      <c r="F60" s="43" t="n">
        <f aca="false">IF(F57&gt;=F54,12*F54/F57,IF(F58&lt;=0,"не окупается",12+12*(F54-F57)/F58))</f>
        <v>1.50727036292706</v>
      </c>
      <c r="G60" s="26" t="s">
        <v>471</v>
      </c>
    </row>
    <row r="61" customFormat="false" ht="15" hidden="false" customHeight="false" outlineLevel="0" collapsed="false">
      <c r="A61" s="19" t="s">
        <v>472</v>
      </c>
      <c r="B61" s="19"/>
      <c r="C61" s="19"/>
      <c r="D61" s="19"/>
      <c r="E61" s="19"/>
      <c r="F61" s="19"/>
      <c r="G61" s="19"/>
    </row>
    <row r="62" customFormat="false" ht="15" hidden="false" customHeight="false" outlineLevel="0" collapsed="false">
      <c r="A62" s="20" t="n">
        <v>51</v>
      </c>
      <c r="B62" s="6" t="s">
        <v>464</v>
      </c>
      <c r="C62" s="20" t="s">
        <v>71</v>
      </c>
      <c r="D62" s="40" t="n">
        <f aca="false">D47*D19-D55</f>
        <v>19.4298</v>
      </c>
      <c r="E62" s="40" t="n">
        <f aca="false">E47*E19-E55</f>
        <v>65.0982</v>
      </c>
      <c r="F62" s="40" t="n">
        <f aca="false">F47*F19-F55</f>
        <v>209.812</v>
      </c>
      <c r="G62" s="26" t="s">
        <v>465</v>
      </c>
    </row>
    <row r="63" customFormat="false" ht="15" hidden="false" customHeight="false" outlineLevel="0" collapsed="false">
      <c r="A63" s="20" t="n">
        <v>52</v>
      </c>
      <c r="B63" s="6" t="s">
        <v>466</v>
      </c>
      <c r="C63" s="20" t="s">
        <v>55</v>
      </c>
      <c r="D63" s="40" t="n">
        <f aca="false">D47-D55</f>
        <v>47.7096</v>
      </c>
      <c r="E63" s="40" t="n">
        <f aca="false">E47-E55</f>
        <v>147.4464</v>
      </c>
      <c r="F63" s="40" t="n">
        <f aca="false">F47-F55</f>
        <v>441.574</v>
      </c>
      <c r="G63" s="26" t="s">
        <v>467</v>
      </c>
    </row>
    <row r="64" customFormat="false" ht="15" hidden="false" customHeight="false" outlineLevel="0" collapsed="false">
      <c r="A64" s="20" t="n">
        <v>53</v>
      </c>
      <c r="B64" s="6" t="s">
        <v>468</v>
      </c>
      <c r="C64" s="20" t="s">
        <v>62</v>
      </c>
      <c r="D64" s="42" t="n">
        <f aca="false">(D62+2*D63-D54)/(D54+3*D55)</f>
        <v>2.08260300850229</v>
      </c>
      <c r="E64" s="42" t="n">
        <f aca="false">(E62+2*E63-E54)/(E54+3*E55)</f>
        <v>4.81883832673827</v>
      </c>
      <c r="F64" s="42" t="n">
        <f aca="false">(F62+2*F63-F54)/(F54+3*F55)</f>
        <v>12.7056179775281</v>
      </c>
      <c r="G64" s="26" t="s">
        <v>469</v>
      </c>
    </row>
    <row r="65" customFormat="false" ht="15" hidden="false" customHeight="false" outlineLevel="0" collapsed="false">
      <c r="A65" s="20" t="n">
        <v>54</v>
      </c>
      <c r="B65" s="6" t="s">
        <v>470</v>
      </c>
      <c r="C65" s="20" t="s">
        <v>60</v>
      </c>
      <c r="D65" s="43" t="n">
        <f aca="false">IF(D62&gt;=D54,12*D54/D62,IF(D63&lt;=0,"не окупается",12+12*(D54-D62)/D63))</f>
        <v>11.9321866411389</v>
      </c>
      <c r="E65" s="43" t="n">
        <f aca="false">IF(E62&gt;=E54,12*E54/E62,IF(E63&lt;=0,"не окупается",12+12*(E54-E62)/E63))</f>
        <v>3.50424435698683</v>
      </c>
      <c r="F65" s="43" t="n">
        <f aca="false">IF(F62&gt;=F54,12*F54/F62,IF(F63&lt;=0,"не окупается",12+12*(F54-F62)/F63))</f>
        <v>1.06952891159705</v>
      </c>
      <c r="G65" s="26" t="s">
        <v>471</v>
      </c>
    </row>
    <row r="66" customFormat="false" ht="15" hidden="false" customHeight="false" outlineLevel="0" collapsed="false">
      <c r="A66" s="19" t="s">
        <v>473</v>
      </c>
      <c r="B66" s="19"/>
      <c r="C66" s="19"/>
      <c r="D66" s="19"/>
      <c r="E66" s="19"/>
      <c r="F66" s="19"/>
      <c r="G66" s="19"/>
    </row>
    <row r="67" customFormat="false" ht="15" hidden="false" customHeight="false" outlineLevel="0" collapsed="false">
      <c r="A67" s="20" t="n">
        <v>55</v>
      </c>
      <c r="B67" s="6" t="s">
        <v>474</v>
      </c>
      <c r="C67" s="20" t="s">
        <v>68</v>
      </c>
      <c r="D67" s="44" t="n">
        <f aca="false">D51/D47</f>
        <v>0.116691065707678</v>
      </c>
      <c r="E67" s="44" t="n">
        <f aca="false">E51/E47</f>
        <v>0.0910766719855443</v>
      </c>
      <c r="F67" s="44" t="n">
        <f aca="false">F51/F47</f>
        <v>0.0444421432331444</v>
      </c>
      <c r="G67" s="26" t="s">
        <v>475</v>
      </c>
    </row>
    <row r="68" customFormat="false" ht="15" hidden="false" customHeight="false" outlineLevel="0" collapsed="false">
      <c r="A68" s="20" t="n">
        <v>56</v>
      </c>
      <c r="B68" s="6" t="s">
        <v>476</v>
      </c>
      <c r="C68" s="20" t="s">
        <v>68</v>
      </c>
      <c r="D68" s="44" t="n">
        <f aca="false">D51/D48</f>
        <v>0.340654304012288</v>
      </c>
      <c r="E68" s="44" t="n">
        <f aca="false">E51/E48</f>
        <v>0.164008095439591</v>
      </c>
      <c r="F68" s="44" t="n">
        <f aca="false">F51/F48</f>
        <v>0.06029442411215</v>
      </c>
      <c r="G68" s="26" t="s">
        <v>477</v>
      </c>
    </row>
    <row r="69" customFormat="false" ht="15" hidden="false" customHeight="false" outlineLevel="0" collapsed="false">
      <c r="A69" s="20" t="n">
        <v>57</v>
      </c>
      <c r="B69" s="6" t="s">
        <v>478</v>
      </c>
      <c r="C69" s="20" t="s">
        <v>55</v>
      </c>
      <c r="D69" s="40" t="n">
        <f aca="false">D55+D54/D31</f>
        <v>12.714</v>
      </c>
      <c r="E69" s="40" t="n">
        <f aca="false">E55+E54/E31</f>
        <v>21.052</v>
      </c>
      <c r="F69" s="40" t="n">
        <f aca="false">F55+F54/F31</f>
        <v>25.69</v>
      </c>
      <c r="G69" s="26" t="s">
        <v>479</v>
      </c>
    </row>
    <row r="70" customFormat="false" ht="15" hidden="false" customHeight="false" outlineLevel="0" collapsed="false">
      <c r="A70" s="20" t="n">
        <v>58</v>
      </c>
      <c r="B70" s="6" t="s">
        <v>480</v>
      </c>
      <c r="C70" s="20" t="s">
        <v>55</v>
      </c>
      <c r="D70" s="40" t="n">
        <f aca="false">D29*D24/D31+D30*D24+D26/D31</f>
        <v>27.4</v>
      </c>
      <c r="E70" s="40" t="n">
        <f aca="false">E29*E24/E31+E30*E24+E26/E31</f>
        <v>27.3</v>
      </c>
      <c r="F70" s="40" t="n">
        <f aca="false">F29*F24/F31+F30*F24+F26/F31</f>
        <v>27.2</v>
      </c>
      <c r="G70" s="26" t="s">
        <v>481</v>
      </c>
    </row>
    <row r="71" customFormat="false" ht="15" hidden="false" customHeight="false" outlineLevel="0" collapsed="false">
      <c r="A71" s="20" t="n">
        <v>59</v>
      </c>
      <c r="B71" s="6" t="s">
        <v>482</v>
      </c>
      <c r="C71" s="20" t="s">
        <v>68</v>
      </c>
      <c r="D71" s="44" t="n">
        <f aca="false">D69/D70</f>
        <v>0.464014598540146</v>
      </c>
      <c r="E71" s="44" t="n">
        <f aca="false">E69/E70</f>
        <v>0.771135531135531</v>
      </c>
      <c r="F71" s="44" t="n">
        <f aca="false">F69/F70</f>
        <v>0.944485294117647</v>
      </c>
      <c r="G71" s="26" t="s">
        <v>483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7" t="s">
        <v>484</v>
      </c>
    </row>
    <row r="2" customFormat="false" ht="15" hidden="false" customHeight="false" outlineLevel="0" collapsed="false">
      <c r="A2" s="18" t="s">
        <v>485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4</v>
      </c>
      <c r="E4" s="5" t="s">
        <v>5</v>
      </c>
      <c r="F4" s="5" t="s">
        <v>6</v>
      </c>
      <c r="G4" s="5" t="s">
        <v>393</v>
      </c>
    </row>
    <row r="5" customFormat="false" ht="15" hidden="false" customHeight="false" outlineLevel="0" collapsed="false">
      <c r="A5" s="19" t="s">
        <v>486</v>
      </c>
      <c r="B5" s="19"/>
      <c r="C5" s="19"/>
      <c r="D5" s="19"/>
      <c r="E5" s="19"/>
      <c r="F5" s="19"/>
      <c r="G5" s="19"/>
    </row>
    <row r="6" customFormat="false" ht="15" hidden="false" customHeight="false" outlineLevel="0" collapsed="false">
      <c r="A6" s="20" t="n">
        <v>1</v>
      </c>
      <c r="B6" s="6" t="s">
        <v>207</v>
      </c>
      <c r="C6" s="20" t="s">
        <v>76</v>
      </c>
      <c r="D6" s="7" t="n">
        <f aca="false">Допущения!$D$33</f>
        <v>301</v>
      </c>
      <c r="E6" s="7" t="n">
        <f aca="false">Допущения!$E$33</f>
        <v>301</v>
      </c>
      <c r="F6" s="7" t="n">
        <f aca="false">Допущения!$F$33</f>
        <v>301</v>
      </c>
      <c r="G6" s="26" t="s">
        <v>487</v>
      </c>
    </row>
    <row r="7" customFormat="false" ht="15" hidden="false" customHeight="false" outlineLevel="0" collapsed="false">
      <c r="A7" s="20" t="n">
        <v>2</v>
      </c>
      <c r="B7" s="6" t="s">
        <v>211</v>
      </c>
      <c r="C7" s="20" t="s">
        <v>76</v>
      </c>
      <c r="D7" s="7" t="n">
        <f aca="false">Допущения!$D$34</f>
        <v>12</v>
      </c>
      <c r="E7" s="7" t="n">
        <f aca="false">Допущения!$E$34</f>
        <v>12</v>
      </c>
      <c r="F7" s="7" t="n">
        <f aca="false">Допущения!$F$34</f>
        <v>12</v>
      </c>
      <c r="G7" s="26" t="s">
        <v>488</v>
      </c>
    </row>
    <row r="8" customFormat="false" ht="15" hidden="false" customHeight="false" outlineLevel="0" collapsed="false">
      <c r="A8" s="20" t="n">
        <v>3</v>
      </c>
      <c r="B8" s="6" t="s">
        <v>215</v>
      </c>
      <c r="C8" s="20" t="s">
        <v>76</v>
      </c>
      <c r="D8" s="7" t="n">
        <f aca="false">Допущения!$D$35</f>
        <v>48</v>
      </c>
      <c r="E8" s="7" t="n">
        <f aca="false">Допущения!$E$35</f>
        <v>48</v>
      </c>
      <c r="F8" s="7" t="n">
        <f aca="false">Допущения!$F$35</f>
        <v>48</v>
      </c>
      <c r="G8" s="26" t="s">
        <v>489</v>
      </c>
    </row>
    <row r="9" customFormat="false" ht="15" hidden="false" customHeight="false" outlineLevel="0" collapsed="false">
      <c r="A9" s="20" t="n">
        <v>4</v>
      </c>
      <c r="B9" s="6" t="s">
        <v>219</v>
      </c>
      <c r="C9" s="20" t="s">
        <v>68</v>
      </c>
      <c r="D9" s="39" t="n">
        <f aca="false">Допущения!$D$36</f>
        <v>0.2</v>
      </c>
      <c r="E9" s="39" t="n">
        <f aca="false">Допущения!$E$36</f>
        <v>0.2</v>
      </c>
      <c r="F9" s="39" t="n">
        <f aca="false">Допущения!$F$36</f>
        <v>0.2</v>
      </c>
      <c r="G9" s="26" t="s">
        <v>490</v>
      </c>
    </row>
    <row r="10" customFormat="false" ht="15" hidden="false" customHeight="false" outlineLevel="0" collapsed="false">
      <c r="A10" s="20" t="n">
        <v>5</v>
      </c>
      <c r="B10" s="6" t="s">
        <v>223</v>
      </c>
      <c r="C10" s="20" t="s">
        <v>68</v>
      </c>
      <c r="D10" s="39" t="n">
        <f aca="false">Допущения!$D$37</f>
        <v>0.8</v>
      </c>
      <c r="E10" s="39" t="n">
        <f aca="false">Допущения!$E$37</f>
        <v>0.8</v>
      </c>
      <c r="F10" s="39" t="n">
        <f aca="false">Допущения!$F$37</f>
        <v>0.8</v>
      </c>
      <c r="G10" s="26" t="s">
        <v>491</v>
      </c>
    </row>
    <row r="11" customFormat="false" ht="15" hidden="false" customHeight="false" outlineLevel="0" collapsed="false">
      <c r="A11" s="20" t="n">
        <v>6</v>
      </c>
      <c r="B11" s="6" t="s">
        <v>227</v>
      </c>
      <c r="C11" s="20" t="s">
        <v>68</v>
      </c>
      <c r="D11" s="39" t="n">
        <f aca="false">Допущения!$D$38</f>
        <v>0.15</v>
      </c>
      <c r="E11" s="39" t="n">
        <f aca="false">Допущения!$E$38</f>
        <v>0.15</v>
      </c>
      <c r="F11" s="39" t="n">
        <f aca="false">Допущения!$F$38</f>
        <v>0.15</v>
      </c>
      <c r="G11" s="26" t="s">
        <v>492</v>
      </c>
    </row>
    <row r="12" customFormat="false" ht="15" hidden="false" customHeight="false" outlineLevel="0" collapsed="false">
      <c r="A12" s="20" t="n">
        <v>7</v>
      </c>
      <c r="B12" s="6" t="s">
        <v>230</v>
      </c>
      <c r="C12" s="20" t="s">
        <v>55</v>
      </c>
      <c r="D12" s="9" t="n">
        <f aca="false">Допущения!$D$39</f>
        <v>0.3</v>
      </c>
      <c r="E12" s="9" t="n">
        <f aca="false">Допущения!$E$39</f>
        <v>0.5</v>
      </c>
      <c r="F12" s="9" t="n">
        <f aca="false">Допущения!$F$39</f>
        <v>0.7</v>
      </c>
      <c r="G12" s="26" t="s">
        <v>493</v>
      </c>
    </row>
    <row r="13" customFormat="false" ht="15" hidden="false" customHeight="false" outlineLevel="0" collapsed="false">
      <c r="A13" s="20" t="n">
        <v>8</v>
      </c>
      <c r="B13" s="6" t="s">
        <v>235</v>
      </c>
      <c r="C13" s="20" t="s">
        <v>68</v>
      </c>
      <c r="D13" s="39" t="n">
        <f aca="false">Допущения!$D$40</f>
        <v>0.1</v>
      </c>
      <c r="E13" s="39" t="n">
        <f aca="false">Допущения!$E$40</f>
        <v>0.15</v>
      </c>
      <c r="F13" s="39" t="n">
        <f aca="false">Допущения!$F$40</f>
        <v>0.2</v>
      </c>
      <c r="G13" s="26" t="s">
        <v>494</v>
      </c>
    </row>
    <row r="14" customFormat="false" ht="15" hidden="false" customHeight="false" outlineLevel="0" collapsed="false">
      <c r="A14" s="20" t="n">
        <v>9</v>
      </c>
      <c r="B14" s="6" t="s">
        <v>104</v>
      </c>
      <c r="C14" s="20" t="s">
        <v>105</v>
      </c>
      <c r="D14" s="9" t="n">
        <f aca="false">Допущения!$D$7</f>
        <v>1.8</v>
      </c>
      <c r="E14" s="9" t="n">
        <f aca="false">Допущения!$E$7</f>
        <v>1.8</v>
      </c>
      <c r="F14" s="9" t="n">
        <f aca="false">Допущения!$F$7</f>
        <v>1.8</v>
      </c>
      <c r="G14" s="26" t="s">
        <v>395</v>
      </c>
    </row>
    <row r="15" customFormat="false" ht="15" hidden="false" customHeight="false" outlineLevel="0" collapsed="false">
      <c r="A15" s="20" t="n">
        <v>10</v>
      </c>
      <c r="B15" s="6" t="s">
        <v>240</v>
      </c>
      <c r="C15" s="20" t="s">
        <v>55</v>
      </c>
      <c r="D15" s="7" t="n">
        <f aca="false">Допущения!$D$42</f>
        <v>3</v>
      </c>
      <c r="E15" s="7" t="n">
        <f aca="false">Допущения!$E$42</f>
        <v>6</v>
      </c>
      <c r="F15" s="7" t="n">
        <f aca="false">Допущения!$F$42</f>
        <v>8</v>
      </c>
      <c r="G15" s="26" t="s">
        <v>409</v>
      </c>
    </row>
    <row r="16" customFormat="false" ht="15" hidden="false" customHeight="false" outlineLevel="0" collapsed="false">
      <c r="A16" s="20" t="n">
        <v>11</v>
      </c>
      <c r="B16" s="6" t="s">
        <v>248</v>
      </c>
      <c r="C16" s="20" t="s">
        <v>55</v>
      </c>
      <c r="D16" s="9" t="n">
        <f aca="false">Допущения!$D$44</f>
        <v>1</v>
      </c>
      <c r="E16" s="9" t="n">
        <f aca="false">Допущения!$E$44</f>
        <v>1.5</v>
      </c>
      <c r="F16" s="9" t="n">
        <f aca="false">Допущения!$F$44</f>
        <v>2</v>
      </c>
      <c r="G16" s="26" t="s">
        <v>495</v>
      </c>
    </row>
    <row r="17" customFormat="false" ht="15" hidden="false" customHeight="false" outlineLevel="0" collapsed="false">
      <c r="A17" s="20" t="n">
        <v>12</v>
      </c>
      <c r="B17" s="6" t="s">
        <v>243</v>
      </c>
      <c r="C17" s="20" t="s">
        <v>244</v>
      </c>
      <c r="D17" s="7" t="n">
        <f aca="false">Допущения!$D$43</f>
        <v>2</v>
      </c>
      <c r="E17" s="7" t="n">
        <f aca="false">Допущения!$E$43</f>
        <v>5</v>
      </c>
      <c r="F17" s="7" t="n">
        <f aca="false">Допущения!$F$43</f>
        <v>7</v>
      </c>
      <c r="G17" s="26" t="s">
        <v>410</v>
      </c>
    </row>
    <row r="18" customFormat="false" ht="15" hidden="false" customHeight="false" outlineLevel="0" collapsed="false">
      <c r="A18" s="20" t="n">
        <v>13</v>
      </c>
      <c r="B18" s="6" t="s">
        <v>265</v>
      </c>
      <c r="C18" s="20" t="s">
        <v>261</v>
      </c>
      <c r="D18" s="39" t="n">
        <f aca="false">Допущения!$D$48</f>
        <v>0</v>
      </c>
      <c r="E18" s="39" t="n">
        <f aca="false">Допущения!$E$48</f>
        <v>0.15</v>
      </c>
      <c r="F18" s="39" t="n">
        <f aca="false">Допущения!$F$48</f>
        <v>0.25</v>
      </c>
      <c r="G18" s="26" t="s">
        <v>496</v>
      </c>
    </row>
    <row r="19" customFormat="false" ht="15" hidden="false" customHeight="false" outlineLevel="0" collapsed="false">
      <c r="A19" s="20" t="n">
        <v>14</v>
      </c>
      <c r="B19" s="6" t="s">
        <v>125</v>
      </c>
      <c r="C19" s="20" t="s">
        <v>126</v>
      </c>
      <c r="D19" s="7" t="n">
        <f aca="false">Допущения!$D$11</f>
        <v>818</v>
      </c>
      <c r="E19" s="7" t="n">
        <f aca="false">Допущения!$E$11</f>
        <v>818</v>
      </c>
      <c r="F19" s="7" t="n">
        <f aca="false">Допущения!$F$11</f>
        <v>818</v>
      </c>
      <c r="G19" s="26" t="s">
        <v>399</v>
      </c>
    </row>
    <row r="20" customFormat="false" ht="15" hidden="false" customHeight="false" outlineLevel="0" collapsed="false">
      <c r="A20" s="20" t="n">
        <v>15</v>
      </c>
      <c r="B20" s="6" t="s">
        <v>137</v>
      </c>
      <c r="C20" s="20" t="s">
        <v>68</v>
      </c>
      <c r="D20" s="39" t="n">
        <f aca="false">Допущения!$D$14</f>
        <v>0.1</v>
      </c>
      <c r="E20" s="39" t="n">
        <f aca="false">Допущения!$E$14</f>
        <v>0.25</v>
      </c>
      <c r="F20" s="39" t="n">
        <f aca="false">Допущения!$F$14</f>
        <v>0.4</v>
      </c>
      <c r="G20" s="26" t="s">
        <v>402</v>
      </c>
    </row>
    <row r="21" customFormat="false" ht="15" hidden="false" customHeight="false" outlineLevel="0" collapsed="false">
      <c r="A21" s="20" t="n">
        <v>16</v>
      </c>
      <c r="B21" s="6" t="s">
        <v>159</v>
      </c>
      <c r="C21" s="20" t="s">
        <v>68</v>
      </c>
      <c r="D21" s="22" t="n">
        <f aca="false">Допущения!$D$20</f>
        <v>0.1</v>
      </c>
      <c r="E21" s="22" t="n">
        <f aca="false">Допущения!$E$20</f>
        <v>0.159</v>
      </c>
      <c r="F21" s="22" t="n">
        <f aca="false">Допущения!$F$20</f>
        <v>0.25</v>
      </c>
      <c r="G21" s="26" t="s">
        <v>407</v>
      </c>
    </row>
    <row r="22" customFormat="false" ht="15" hidden="false" customHeight="false" outlineLevel="0" collapsed="false">
      <c r="A22" s="20" t="n">
        <v>17</v>
      </c>
      <c r="B22" s="6" t="s">
        <v>497</v>
      </c>
      <c r="C22" s="20" t="s">
        <v>55</v>
      </c>
      <c r="D22" s="9" t="n">
        <f aca="false">'Эффект для банка'!$D$38</f>
        <v>53.1216</v>
      </c>
      <c r="E22" s="9" t="n">
        <f aca="false">'Эффект для банка'!$E$38</f>
        <v>146.475</v>
      </c>
      <c r="F22" s="9" t="n">
        <f aca="false">'Эффект для банка'!$F$38</f>
        <v>406.224</v>
      </c>
      <c r="G22" s="26" t="s">
        <v>498</v>
      </c>
    </row>
    <row r="23" customFormat="false" ht="15" hidden="false" customHeight="false" outlineLevel="0" collapsed="false">
      <c r="A23" s="20" t="n">
        <v>18</v>
      </c>
      <c r="B23" s="6" t="s">
        <v>499</v>
      </c>
      <c r="C23" s="20" t="s">
        <v>71</v>
      </c>
      <c r="D23" s="45" t="n">
        <f aca="false">'Эффект для банка'!$D$41</f>
        <v>0.700488997555012</v>
      </c>
      <c r="E23" s="45" t="n">
        <f aca="false">'Эффект для банка'!$E$41</f>
        <v>0.700488997555012</v>
      </c>
      <c r="F23" s="45" t="n">
        <f aca="false">'Эффект для банка'!$F$41</f>
        <v>0.700488997555012</v>
      </c>
      <c r="G23" s="26" t="s">
        <v>498</v>
      </c>
    </row>
    <row r="24" customFormat="false" ht="15" hidden="false" customHeight="false" outlineLevel="0" collapsed="false">
      <c r="A24" s="19" t="s">
        <v>500</v>
      </c>
      <c r="B24" s="19"/>
      <c r="C24" s="19"/>
      <c r="D24" s="19"/>
      <c r="E24" s="19"/>
      <c r="F24" s="19"/>
      <c r="G24" s="19"/>
    </row>
    <row r="25" customFormat="false" ht="15" hidden="false" customHeight="false" outlineLevel="0" collapsed="false">
      <c r="A25" s="20" t="n">
        <v>19</v>
      </c>
      <c r="B25" s="6" t="s">
        <v>501</v>
      </c>
      <c r="C25" s="20" t="s">
        <v>76</v>
      </c>
      <c r="D25" s="38" t="n">
        <f aca="false">D6-D7-D8</f>
        <v>241</v>
      </c>
      <c r="E25" s="38" t="n">
        <f aca="false">E6-E7-E8</f>
        <v>241</v>
      </c>
      <c r="F25" s="38" t="n">
        <f aca="false">F6-F7-F8</f>
        <v>241</v>
      </c>
      <c r="G25" s="26" t="s">
        <v>502</v>
      </c>
    </row>
    <row r="26" customFormat="false" ht="15" hidden="false" customHeight="false" outlineLevel="0" collapsed="false">
      <c r="A26" s="20" t="n">
        <v>20</v>
      </c>
      <c r="B26" s="6" t="s">
        <v>503</v>
      </c>
      <c r="C26" s="20" t="s">
        <v>105</v>
      </c>
      <c r="D26" s="41" t="n">
        <f aca="false">D14/D9</f>
        <v>9</v>
      </c>
      <c r="E26" s="41" t="n">
        <f aca="false">E14/E9</f>
        <v>9</v>
      </c>
      <c r="F26" s="41" t="n">
        <f aca="false">F14/F9</f>
        <v>9</v>
      </c>
      <c r="G26" s="26" t="s">
        <v>504</v>
      </c>
    </row>
    <row r="27" customFormat="false" ht="15" hidden="false" customHeight="false" outlineLevel="0" collapsed="false">
      <c r="A27" s="20" t="n">
        <v>21</v>
      </c>
      <c r="B27" s="6" t="s">
        <v>505</v>
      </c>
      <c r="C27" s="20" t="s">
        <v>105</v>
      </c>
      <c r="D27" s="41" t="n">
        <f aca="false">D26*D10</f>
        <v>7.2</v>
      </c>
      <c r="E27" s="41" t="n">
        <f aca="false">E26*E10</f>
        <v>7.2</v>
      </c>
      <c r="F27" s="41" t="n">
        <f aca="false">F26*F10</f>
        <v>7.2</v>
      </c>
      <c r="G27" s="26" t="s">
        <v>506</v>
      </c>
    </row>
    <row r="28" customFormat="false" ht="15" hidden="false" customHeight="false" outlineLevel="0" collapsed="false">
      <c r="A28" s="20" t="n">
        <v>22</v>
      </c>
      <c r="B28" s="6" t="s">
        <v>507</v>
      </c>
      <c r="C28" s="20" t="s">
        <v>105</v>
      </c>
      <c r="D28" s="41" t="n">
        <f aca="false">D26*D11</f>
        <v>1.35</v>
      </c>
      <c r="E28" s="41" t="n">
        <f aca="false">E26*E11</f>
        <v>1.35</v>
      </c>
      <c r="F28" s="41" t="n">
        <f aca="false">F26*F11</f>
        <v>1.35</v>
      </c>
      <c r="G28" s="26" t="s">
        <v>508</v>
      </c>
    </row>
    <row r="29" customFormat="false" ht="15" hidden="false" customHeight="false" outlineLevel="0" collapsed="false">
      <c r="A29" s="20" t="n">
        <v>23</v>
      </c>
      <c r="B29" s="6" t="s">
        <v>509</v>
      </c>
      <c r="C29" s="20" t="s">
        <v>105</v>
      </c>
      <c r="D29" s="41" t="n">
        <f aca="false">D26-D27-D28</f>
        <v>0.45</v>
      </c>
      <c r="E29" s="41" t="n">
        <f aca="false">E26-E27-E28</f>
        <v>0.45</v>
      </c>
      <c r="F29" s="41" t="n">
        <f aca="false">F26-F27-F28</f>
        <v>0.45</v>
      </c>
      <c r="G29" s="26" t="s">
        <v>510</v>
      </c>
    </row>
    <row r="30" customFormat="false" ht="15" hidden="false" customHeight="false" outlineLevel="0" collapsed="false">
      <c r="A30" s="20" t="n">
        <v>24</v>
      </c>
      <c r="B30" s="6" t="s">
        <v>511</v>
      </c>
      <c r="C30" s="20" t="s">
        <v>105</v>
      </c>
      <c r="D30" s="46" t="n">
        <f aca="false">(D27-D14)/(D7-1)</f>
        <v>0.490909090909091</v>
      </c>
      <c r="E30" s="46" t="n">
        <f aca="false">(E27-E14)/(E7-1)</f>
        <v>0.490909090909091</v>
      </c>
      <c r="F30" s="46" t="n">
        <f aca="false">(F27-F14)/(F7-1)</f>
        <v>0.490909090909091</v>
      </c>
      <c r="G30" s="26" t="s">
        <v>512</v>
      </c>
    </row>
    <row r="31" customFormat="false" ht="15" hidden="false" customHeight="false" outlineLevel="0" collapsed="false">
      <c r="A31" s="20" t="n">
        <v>25</v>
      </c>
      <c r="B31" s="6" t="s">
        <v>513</v>
      </c>
      <c r="C31" s="20" t="s">
        <v>105</v>
      </c>
      <c r="D31" s="46" t="n">
        <f aca="false">D28/D8</f>
        <v>0.028125</v>
      </c>
      <c r="E31" s="46" t="n">
        <f aca="false">E28/E8</f>
        <v>0.028125</v>
      </c>
      <c r="F31" s="46" t="n">
        <f aca="false">F28/F8</f>
        <v>0.028125</v>
      </c>
      <c r="G31" s="26" t="s">
        <v>514</v>
      </c>
    </row>
    <row r="32" customFormat="false" ht="15" hidden="false" customHeight="false" outlineLevel="0" collapsed="false">
      <c r="A32" s="19" t="s">
        <v>515</v>
      </c>
      <c r="B32" s="19"/>
      <c r="C32" s="19"/>
      <c r="D32" s="19"/>
      <c r="E32" s="19"/>
      <c r="F32" s="19"/>
      <c r="G32" s="19"/>
    </row>
    <row r="33" customFormat="false" ht="15" hidden="false" customHeight="false" outlineLevel="0" collapsed="false">
      <c r="A33" s="20" t="n">
        <v>26</v>
      </c>
      <c r="B33" s="6" t="s">
        <v>516</v>
      </c>
      <c r="C33" s="20" t="s">
        <v>55</v>
      </c>
      <c r="D33" s="40" t="n">
        <f aca="false">D7*D15+D27*D17</f>
        <v>50.4</v>
      </c>
      <c r="E33" s="40" t="n">
        <f aca="false">E7*E15+E27*E17</f>
        <v>108</v>
      </c>
      <c r="F33" s="40" t="n">
        <f aca="false">F7*F15+F27*F17</f>
        <v>146.4</v>
      </c>
      <c r="G33" s="26" t="s">
        <v>517</v>
      </c>
    </row>
    <row r="34" customFormat="false" ht="15" hidden="false" customHeight="false" outlineLevel="0" collapsed="false">
      <c r="A34" s="20" t="n">
        <v>27</v>
      </c>
      <c r="B34" s="6" t="s">
        <v>518</v>
      </c>
      <c r="C34" s="20" t="s">
        <v>55</v>
      </c>
      <c r="D34" s="40" t="n">
        <f aca="false">D8*D16+D28*D17</f>
        <v>50.7</v>
      </c>
      <c r="E34" s="40" t="n">
        <f aca="false">E8*E16+E28*E17</f>
        <v>78.75</v>
      </c>
      <c r="F34" s="40" t="n">
        <f aca="false">F8*F16+F28*F17</f>
        <v>105.45</v>
      </c>
      <c r="G34" s="26" t="s">
        <v>519</v>
      </c>
    </row>
    <row r="35" customFormat="false" ht="15" hidden="false" customHeight="false" outlineLevel="0" collapsed="false">
      <c r="A35" s="20" t="n">
        <v>28</v>
      </c>
      <c r="B35" s="6" t="s">
        <v>520</v>
      </c>
      <c r="C35" s="20" t="s">
        <v>55</v>
      </c>
      <c r="D35" s="40" t="n">
        <f aca="false">D25*D12</f>
        <v>72.3</v>
      </c>
      <c r="E35" s="40" t="n">
        <f aca="false">E25*E12</f>
        <v>120.5</v>
      </c>
      <c r="F35" s="40" t="n">
        <f aca="false">F25*F12</f>
        <v>168.7</v>
      </c>
      <c r="G35" s="26" t="s">
        <v>521</v>
      </c>
    </row>
    <row r="36" customFormat="false" ht="15" hidden="false" customHeight="false" outlineLevel="0" collapsed="false">
      <c r="A36" s="20" t="n">
        <v>29</v>
      </c>
      <c r="B36" s="6" t="s">
        <v>63</v>
      </c>
      <c r="C36" s="20" t="s">
        <v>55</v>
      </c>
      <c r="D36" s="40" t="n">
        <f aca="false">D33+D34+D35</f>
        <v>173.4</v>
      </c>
      <c r="E36" s="40" t="n">
        <f aca="false">E33+E34+E35</f>
        <v>307.25</v>
      </c>
      <c r="F36" s="40" t="n">
        <f aca="false">F33+F34+F35</f>
        <v>420.55</v>
      </c>
      <c r="G36" s="26" t="s">
        <v>522</v>
      </c>
    </row>
    <row r="37" customFormat="false" ht="15" hidden="false" customHeight="false" outlineLevel="0" collapsed="false">
      <c r="A37" s="20" t="n">
        <v>30</v>
      </c>
      <c r="B37" s="6" t="s">
        <v>523</v>
      </c>
      <c r="C37" s="20" t="s">
        <v>55</v>
      </c>
      <c r="D37" s="40" t="n">
        <f aca="false">D33+D34</f>
        <v>101.1</v>
      </c>
      <c r="E37" s="40" t="n">
        <f aca="false">E33+E34</f>
        <v>186.75</v>
      </c>
      <c r="F37" s="40" t="n">
        <f aca="false">F33+F34</f>
        <v>251.85</v>
      </c>
      <c r="G37" s="26" t="s">
        <v>524</v>
      </c>
    </row>
    <row r="38" customFormat="false" ht="15" hidden="false" customHeight="false" outlineLevel="0" collapsed="false">
      <c r="A38" s="20" t="n">
        <v>31</v>
      </c>
      <c r="B38" s="6" t="s">
        <v>525</v>
      </c>
      <c r="C38" s="20" t="s">
        <v>62</v>
      </c>
      <c r="D38" s="47" t="n">
        <f aca="false">(1+D18)^4</f>
        <v>1</v>
      </c>
      <c r="E38" s="47" t="n">
        <f aca="false">(1+E18)^4</f>
        <v>1.74900625</v>
      </c>
      <c r="F38" s="47" t="n">
        <f aca="false">(1+F18)^4</f>
        <v>2.44140625</v>
      </c>
      <c r="G38" s="26" t="s">
        <v>526</v>
      </c>
    </row>
    <row r="39" customFormat="false" ht="15" hidden="false" customHeight="false" outlineLevel="0" collapsed="false">
      <c r="A39" s="20" t="n">
        <v>32</v>
      </c>
      <c r="B39" s="6" t="s">
        <v>527</v>
      </c>
      <c r="C39" s="20" t="s">
        <v>55</v>
      </c>
      <c r="D39" s="40" t="n">
        <f aca="false">D36*D38</f>
        <v>173.4</v>
      </c>
      <c r="E39" s="40" t="n">
        <f aca="false">E36*E38</f>
        <v>537.3821703125</v>
      </c>
      <c r="F39" s="40" t="n">
        <f aca="false">F36*F38</f>
        <v>1026.7333984375</v>
      </c>
      <c r="G39" s="26" t="s">
        <v>528</v>
      </c>
    </row>
    <row r="40" customFormat="false" ht="15" hidden="false" customHeight="false" outlineLevel="0" collapsed="false">
      <c r="A40" s="20" t="n">
        <v>33</v>
      </c>
      <c r="B40" s="6" t="s">
        <v>65</v>
      </c>
      <c r="C40" s="20" t="s">
        <v>55</v>
      </c>
      <c r="D40" s="40" t="n">
        <f aca="false">D37*D38</f>
        <v>101.1</v>
      </c>
      <c r="E40" s="40" t="n">
        <f aca="false">E37*E38</f>
        <v>326.6269171875</v>
      </c>
      <c r="F40" s="40" t="n">
        <f aca="false">F37*F38</f>
        <v>614.8681640625</v>
      </c>
      <c r="G40" s="26" t="s">
        <v>529</v>
      </c>
    </row>
    <row r="41" customFormat="false" ht="15" hidden="false" customHeight="false" outlineLevel="0" collapsed="false">
      <c r="A41" s="19" t="s">
        <v>530</v>
      </c>
      <c r="B41" s="19"/>
      <c r="C41" s="19"/>
      <c r="D41" s="19"/>
      <c r="E41" s="19"/>
      <c r="F41" s="19"/>
      <c r="G41" s="19"/>
    </row>
    <row r="42" customFormat="false" ht="15" hidden="false" customHeight="false" outlineLevel="0" collapsed="false">
      <c r="A42" s="20" t="n">
        <v>34</v>
      </c>
      <c r="B42" s="6" t="s">
        <v>531</v>
      </c>
      <c r="C42" s="20" t="s">
        <v>55</v>
      </c>
      <c r="D42" s="9" t="n">
        <f aca="false">Консервативный!$J$75</f>
        <v>11.428055808</v>
      </c>
      <c r="E42" s="9" t="n">
        <f aca="false">Базовый!$J$75</f>
        <v>74.6329671070812</v>
      </c>
      <c r="F42" s="9" t="n">
        <f aca="false">Оптимистичный!$J$75</f>
        <v>170.108985715237</v>
      </c>
      <c r="G42" s="26" t="s">
        <v>532</v>
      </c>
    </row>
    <row r="43" customFormat="false" ht="15" hidden="false" customHeight="false" outlineLevel="0" collapsed="false">
      <c r="A43" s="20" t="n">
        <v>35</v>
      </c>
      <c r="B43" s="6" t="s">
        <v>533</v>
      </c>
      <c r="C43" s="20" t="s">
        <v>62</v>
      </c>
      <c r="D43" s="48" t="n">
        <f aca="false">Консервативный!$J$57</f>
        <v>1.16985856</v>
      </c>
      <c r="E43" s="48" t="n">
        <f aca="false">Базовый!$J$57</f>
        <v>1.21550625</v>
      </c>
      <c r="F43" s="48" t="n">
        <f aca="false">Оптимистичный!$J$57</f>
        <v>1.26247696</v>
      </c>
      <c r="G43" s="26" t="s">
        <v>534</v>
      </c>
    </row>
    <row r="44" customFormat="false" ht="15" hidden="false" customHeight="false" outlineLevel="0" collapsed="false">
      <c r="A44" s="20" t="n">
        <v>36</v>
      </c>
      <c r="B44" s="6" t="s">
        <v>535</v>
      </c>
      <c r="C44" s="20" t="s">
        <v>55</v>
      </c>
      <c r="D44" s="40" t="n">
        <f aca="false">D42/D43</f>
        <v>9.76875</v>
      </c>
      <c r="E44" s="40" t="n">
        <f aca="false">E42/E43</f>
        <v>61.4007267400568</v>
      </c>
      <c r="F44" s="40" t="n">
        <f aca="false">F42/F43</f>
        <v>134.742249644886</v>
      </c>
      <c r="G44" s="26" t="s">
        <v>536</v>
      </c>
    </row>
    <row r="45" customFormat="false" ht="22.35" hidden="false" customHeight="false" outlineLevel="0" collapsed="false">
      <c r="A45" s="20" t="n">
        <v>37</v>
      </c>
      <c r="B45" s="6" t="s">
        <v>67</v>
      </c>
      <c r="C45" s="20" t="s">
        <v>68</v>
      </c>
      <c r="D45" s="44" t="n">
        <f aca="false">D44/D40</f>
        <v>0.0966246290801187</v>
      </c>
      <c r="E45" s="44" t="n">
        <f aca="false">E44/E40</f>
        <v>0.187984282706283</v>
      </c>
      <c r="F45" s="44" t="n">
        <f aca="false">F44/F40</f>
        <v>0.219140065334705</v>
      </c>
      <c r="G45" s="26" t="s">
        <v>537</v>
      </c>
    </row>
    <row r="46" customFormat="false" ht="15" hidden="false" customHeight="false" outlineLevel="0" collapsed="false">
      <c r="A46" s="19" t="s">
        <v>538</v>
      </c>
      <c r="B46" s="19"/>
      <c r="C46" s="19"/>
      <c r="D46" s="19"/>
      <c r="E46" s="19"/>
      <c r="F46" s="19"/>
      <c r="G46" s="19"/>
    </row>
    <row r="47" customFormat="false" ht="15" hidden="false" customHeight="false" outlineLevel="0" collapsed="false">
      <c r="A47" s="20" t="n">
        <v>38</v>
      </c>
      <c r="B47" s="6" t="s">
        <v>539</v>
      </c>
      <c r="C47" s="20" t="s">
        <v>55</v>
      </c>
      <c r="D47" s="40" t="n">
        <f aca="false">D22/D9</f>
        <v>265.608</v>
      </c>
      <c r="E47" s="40" t="n">
        <f aca="false">E22/E9</f>
        <v>732.375</v>
      </c>
      <c r="F47" s="40" t="n">
        <f aca="false">F22/F9</f>
        <v>2031.12</v>
      </c>
      <c r="G47" s="26" t="s">
        <v>540</v>
      </c>
    </row>
    <row r="48" customFormat="false" ht="15" hidden="false" customHeight="false" outlineLevel="0" collapsed="false">
      <c r="A48" s="20" t="n">
        <v>39</v>
      </c>
      <c r="B48" s="6" t="s">
        <v>541</v>
      </c>
      <c r="C48" s="20" t="s">
        <v>55</v>
      </c>
      <c r="D48" s="40" t="n">
        <f aca="false">D19*4*D20*D23</f>
        <v>229.2</v>
      </c>
      <c r="E48" s="40" t="n">
        <f aca="false">E19*4*E20*E23</f>
        <v>573</v>
      </c>
      <c r="F48" s="40" t="n">
        <f aca="false">F19*4*F20*F23</f>
        <v>916.8</v>
      </c>
      <c r="G48" s="26" t="s">
        <v>542</v>
      </c>
    </row>
    <row r="49" customFormat="false" ht="15" hidden="false" customHeight="false" outlineLevel="0" collapsed="false">
      <c r="A49" s="20" t="n">
        <v>40</v>
      </c>
      <c r="B49" s="6" t="s">
        <v>543</v>
      </c>
      <c r="C49" s="20" t="s">
        <v>55</v>
      </c>
      <c r="D49" s="40" t="n">
        <f aca="false">D47+D48*D21</f>
        <v>288.528</v>
      </c>
      <c r="E49" s="40" t="n">
        <f aca="false">E47+E48*E21</f>
        <v>823.482</v>
      </c>
      <c r="F49" s="40" t="n">
        <f aca="false">F47+F48*F21</f>
        <v>2260.32</v>
      </c>
      <c r="G49" s="26"/>
    </row>
    <row r="50" customFormat="false" ht="15" hidden="false" customHeight="false" outlineLevel="0" collapsed="false">
      <c r="A50" s="20" t="n">
        <v>41</v>
      </c>
      <c r="B50" s="6" t="s">
        <v>544</v>
      </c>
      <c r="C50" s="20" t="s">
        <v>55</v>
      </c>
      <c r="D50" s="40" t="n">
        <f aca="false">D47+D48</f>
        <v>494.808</v>
      </c>
      <c r="E50" s="40" t="n">
        <f aca="false">E47+E48</f>
        <v>1305.375</v>
      </c>
      <c r="F50" s="40" t="n">
        <f aca="false">F47+F48</f>
        <v>2947.92</v>
      </c>
      <c r="G50" s="26"/>
    </row>
    <row r="51" customFormat="false" ht="15" hidden="false" customHeight="false" outlineLevel="0" collapsed="false">
      <c r="A51" s="20" t="n">
        <v>42</v>
      </c>
      <c r="B51" s="6" t="s">
        <v>545</v>
      </c>
      <c r="C51" s="20" t="s">
        <v>55</v>
      </c>
      <c r="D51" s="40" t="n">
        <f aca="false">D49*D13</f>
        <v>28.8528</v>
      </c>
      <c r="E51" s="40" t="n">
        <f aca="false">E49*E13</f>
        <v>123.5223</v>
      </c>
      <c r="F51" s="40" t="n">
        <f aca="false">F49*F13</f>
        <v>452.064</v>
      </c>
      <c r="G51" s="26" t="s">
        <v>546</v>
      </c>
    </row>
    <row r="52" customFormat="false" ht="22.35" hidden="false" customHeight="false" outlineLevel="0" collapsed="false">
      <c r="A52" s="20" t="n">
        <v>43</v>
      </c>
      <c r="B52" s="6" t="s">
        <v>547</v>
      </c>
      <c r="C52" s="20" t="s">
        <v>68</v>
      </c>
      <c r="D52" s="44" t="n">
        <f aca="false">D36/D49</f>
        <v>0.6009815338546</v>
      </c>
      <c r="E52" s="44" t="n">
        <f aca="false">E36/E49</f>
        <v>0.373110766234113</v>
      </c>
      <c r="F52" s="44" t="n">
        <f aca="false">F36/F49</f>
        <v>0.186057726339633</v>
      </c>
      <c r="G52" s="26" t="s">
        <v>548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L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10" min="6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7" t="s">
        <v>549</v>
      </c>
    </row>
    <row r="2" customFormat="false" ht="15" hidden="false" customHeight="false" outlineLevel="0" collapsed="false">
      <c r="A2" s="18" t="s">
        <v>550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551</v>
      </c>
      <c r="E4" s="5" t="s">
        <v>356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552</v>
      </c>
      <c r="L4" s="5" t="s">
        <v>393</v>
      </c>
    </row>
    <row r="5" customFormat="false" ht="15" hidden="false" customHeight="false" outlineLevel="0" collapsed="false">
      <c r="A5" s="19" t="s">
        <v>553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customFormat="false" ht="15" hidden="false" customHeight="false" outlineLevel="0" collapsed="false">
      <c r="A6" s="20" t="n">
        <v>1</v>
      </c>
      <c r="B6" s="6" t="s">
        <v>554</v>
      </c>
      <c r="C6" s="20" t="s">
        <v>79</v>
      </c>
      <c r="D6" s="10" t="n">
        <f aca="false">Допущения!$D$49</f>
        <v>2028</v>
      </c>
      <c r="E6" s="23"/>
      <c r="F6" s="23"/>
      <c r="G6" s="23"/>
      <c r="H6" s="23"/>
      <c r="I6" s="23"/>
      <c r="J6" s="23"/>
      <c r="K6" s="23"/>
      <c r="L6" s="49"/>
    </row>
    <row r="7" customFormat="false" ht="15" hidden="false" customHeight="false" outlineLevel="0" collapsed="false">
      <c r="A7" s="20" t="n">
        <v>2</v>
      </c>
      <c r="B7" s="6" t="s">
        <v>555</v>
      </c>
      <c r="C7" s="20" t="s">
        <v>105</v>
      </c>
      <c r="D7" s="45" t="n">
        <f aca="false">Допущения!$D$7</f>
        <v>1.8</v>
      </c>
      <c r="E7" s="23"/>
      <c r="F7" s="23"/>
      <c r="G7" s="23"/>
      <c r="H7" s="23"/>
      <c r="I7" s="23"/>
      <c r="J7" s="23"/>
      <c r="K7" s="23"/>
      <c r="L7" s="49"/>
    </row>
    <row r="8" customFormat="false" ht="15" hidden="false" customHeight="false" outlineLevel="0" collapsed="false">
      <c r="A8" s="20" t="n">
        <v>3</v>
      </c>
      <c r="B8" s="6" t="s">
        <v>556</v>
      </c>
      <c r="C8" s="20" t="s">
        <v>55</v>
      </c>
      <c r="D8" s="9" t="n">
        <f aca="false">Допущения!$D$42</f>
        <v>3</v>
      </c>
      <c r="E8" s="23"/>
      <c r="F8" s="23"/>
      <c r="G8" s="23"/>
      <c r="H8" s="23"/>
      <c r="I8" s="23"/>
      <c r="J8" s="23"/>
      <c r="K8" s="23"/>
      <c r="L8" s="49"/>
    </row>
    <row r="9" customFormat="false" ht="15" hidden="false" customHeight="false" outlineLevel="0" collapsed="false">
      <c r="A9" s="20" t="n">
        <v>4</v>
      </c>
      <c r="B9" s="6" t="s">
        <v>557</v>
      </c>
      <c r="C9" s="20" t="s">
        <v>244</v>
      </c>
      <c r="D9" s="9" t="n">
        <f aca="false">Допущения!$D$43</f>
        <v>2</v>
      </c>
      <c r="E9" s="23"/>
      <c r="F9" s="23"/>
      <c r="G9" s="23"/>
      <c r="H9" s="23"/>
      <c r="I9" s="23"/>
      <c r="J9" s="23"/>
      <c r="K9" s="23"/>
      <c r="L9" s="49"/>
    </row>
    <row r="10" customFormat="false" ht="15" hidden="false" customHeight="false" outlineLevel="0" collapsed="false">
      <c r="A10" s="20" t="n">
        <v>5</v>
      </c>
      <c r="B10" s="6" t="s">
        <v>558</v>
      </c>
      <c r="C10" s="20" t="s">
        <v>55</v>
      </c>
      <c r="D10" s="9" t="n">
        <f aca="false">Допущения!$D$44</f>
        <v>1</v>
      </c>
      <c r="E10" s="23"/>
      <c r="F10" s="23"/>
      <c r="G10" s="23"/>
      <c r="H10" s="23"/>
      <c r="I10" s="23"/>
      <c r="J10" s="23"/>
      <c r="K10" s="23"/>
      <c r="L10" s="49"/>
    </row>
    <row r="11" customFormat="false" ht="15" hidden="false" customHeight="false" outlineLevel="0" collapsed="false">
      <c r="A11" s="20" t="n">
        <v>6</v>
      </c>
      <c r="B11" s="6" t="s">
        <v>559</v>
      </c>
      <c r="C11" s="20" t="s">
        <v>71</v>
      </c>
      <c r="D11" s="9" t="n">
        <f aca="false">Допущения!$D$45</f>
        <v>6</v>
      </c>
      <c r="E11" s="23"/>
      <c r="F11" s="23"/>
      <c r="G11" s="23"/>
      <c r="H11" s="23"/>
      <c r="I11" s="23"/>
      <c r="J11" s="23"/>
      <c r="K11" s="23"/>
      <c r="L11" s="49"/>
    </row>
    <row r="12" customFormat="false" ht="15" hidden="false" customHeight="false" outlineLevel="0" collapsed="false">
      <c r="A12" s="20" t="n">
        <v>7</v>
      </c>
      <c r="B12" s="6" t="s">
        <v>560</v>
      </c>
      <c r="C12" s="20" t="s">
        <v>71</v>
      </c>
      <c r="D12" s="9" t="n">
        <f aca="false">Допущения!$D$46</f>
        <v>1.5</v>
      </c>
      <c r="E12" s="23"/>
      <c r="F12" s="23"/>
      <c r="G12" s="23"/>
      <c r="H12" s="23"/>
      <c r="I12" s="23"/>
      <c r="J12" s="23"/>
      <c r="K12" s="23"/>
      <c r="L12" s="49"/>
    </row>
    <row r="13" customFormat="false" ht="15" hidden="false" customHeight="false" outlineLevel="0" collapsed="false">
      <c r="A13" s="20" t="n">
        <v>8</v>
      </c>
      <c r="B13" s="6" t="s">
        <v>260</v>
      </c>
      <c r="C13" s="20" t="s">
        <v>261</v>
      </c>
      <c r="D13" s="22" t="n">
        <f aca="false">Допущения!$D$47</f>
        <v>0.04</v>
      </c>
      <c r="E13" s="23"/>
      <c r="F13" s="23"/>
      <c r="G13" s="23"/>
      <c r="H13" s="23"/>
      <c r="I13" s="23"/>
      <c r="J13" s="23"/>
      <c r="K13" s="23"/>
      <c r="L13" s="49"/>
    </row>
    <row r="14" customFormat="false" ht="15" hidden="false" customHeight="false" outlineLevel="0" collapsed="false">
      <c r="A14" s="20" t="n">
        <v>9</v>
      </c>
      <c r="B14" s="6" t="s">
        <v>561</v>
      </c>
      <c r="C14" s="20" t="s">
        <v>261</v>
      </c>
      <c r="D14" s="22" t="n">
        <f aca="false">Допущения!$D$48</f>
        <v>0</v>
      </c>
      <c r="E14" s="23"/>
      <c r="F14" s="23"/>
      <c r="G14" s="23"/>
      <c r="H14" s="23"/>
      <c r="I14" s="23"/>
      <c r="J14" s="23"/>
      <c r="K14" s="23"/>
      <c r="L14" s="49"/>
    </row>
    <row r="15" customFormat="false" ht="15" hidden="false" customHeight="false" outlineLevel="0" collapsed="false">
      <c r="A15" s="20" t="n">
        <v>10</v>
      </c>
      <c r="B15" s="6" t="s">
        <v>274</v>
      </c>
      <c r="C15" s="20" t="s">
        <v>261</v>
      </c>
      <c r="D15" s="22" t="n">
        <f aca="false">Допущения!$D$51</f>
        <v>0.07</v>
      </c>
      <c r="E15" s="23"/>
      <c r="F15" s="23"/>
      <c r="G15" s="23"/>
      <c r="H15" s="23"/>
      <c r="I15" s="23"/>
      <c r="J15" s="23"/>
      <c r="K15" s="23"/>
      <c r="L15" s="49"/>
    </row>
    <row r="16" customFormat="false" ht="15" hidden="false" customHeight="false" outlineLevel="0" collapsed="false">
      <c r="A16" s="20" t="n">
        <v>11</v>
      </c>
      <c r="B16" s="6" t="s">
        <v>562</v>
      </c>
      <c r="C16" s="20" t="s">
        <v>68</v>
      </c>
      <c r="D16" s="22" t="n">
        <f aca="false">Допущения!$D$52</f>
        <v>0.15</v>
      </c>
      <c r="E16" s="23"/>
      <c r="F16" s="23"/>
      <c r="G16" s="23"/>
      <c r="H16" s="23"/>
      <c r="I16" s="23"/>
      <c r="J16" s="23"/>
      <c r="K16" s="23"/>
      <c r="L16" s="49"/>
    </row>
    <row r="17" customFormat="false" ht="15" hidden="false" customHeight="false" outlineLevel="0" collapsed="false">
      <c r="A17" s="20" t="n">
        <v>12</v>
      </c>
      <c r="B17" s="6" t="s">
        <v>563</v>
      </c>
      <c r="C17" s="20" t="s">
        <v>68</v>
      </c>
      <c r="D17" s="22" t="n">
        <f aca="false">Допущения!$D$53</f>
        <v>0.076</v>
      </c>
      <c r="E17" s="23"/>
      <c r="F17" s="23"/>
      <c r="G17" s="23"/>
      <c r="H17" s="23"/>
      <c r="I17" s="23"/>
      <c r="J17" s="23"/>
      <c r="K17" s="23"/>
      <c r="L17" s="49"/>
    </row>
    <row r="18" customFormat="false" ht="15" hidden="false" customHeight="false" outlineLevel="0" collapsed="false">
      <c r="A18" s="20" t="n">
        <v>13</v>
      </c>
      <c r="B18" s="6" t="s">
        <v>284</v>
      </c>
      <c r="C18" s="20" t="s">
        <v>68</v>
      </c>
      <c r="D18" s="22" t="n">
        <f aca="false">Допущения!$D$54</f>
        <v>0.002</v>
      </c>
      <c r="E18" s="23"/>
      <c r="F18" s="23"/>
      <c r="G18" s="23"/>
      <c r="H18" s="23"/>
      <c r="I18" s="23"/>
      <c r="J18" s="23"/>
      <c r="K18" s="23"/>
      <c r="L18" s="49"/>
    </row>
    <row r="19" customFormat="false" ht="15" hidden="false" customHeight="false" outlineLevel="0" collapsed="false">
      <c r="A19" s="20" t="n">
        <v>14</v>
      </c>
      <c r="B19" s="6" t="s">
        <v>564</v>
      </c>
      <c r="C19" s="20" t="s">
        <v>55</v>
      </c>
      <c r="D19" s="50" t="n">
        <f aca="false">Допущения!$D$55</f>
        <v>2.979</v>
      </c>
      <c r="E19" s="23"/>
      <c r="F19" s="23"/>
      <c r="G19" s="23"/>
      <c r="H19" s="23"/>
      <c r="I19" s="23"/>
      <c r="J19" s="23"/>
      <c r="K19" s="23"/>
      <c r="L19" s="49"/>
    </row>
    <row r="20" customFormat="false" ht="15" hidden="false" customHeight="false" outlineLevel="0" collapsed="false">
      <c r="A20" s="20" t="n">
        <v>15</v>
      </c>
      <c r="B20" s="6" t="s">
        <v>565</v>
      </c>
      <c r="C20" s="20" t="s">
        <v>261</v>
      </c>
      <c r="D20" s="22" t="n">
        <f aca="false">Допущения!$D$56</f>
        <v>0.08</v>
      </c>
      <c r="E20" s="23"/>
      <c r="F20" s="23"/>
      <c r="G20" s="23"/>
      <c r="H20" s="23"/>
      <c r="I20" s="23"/>
      <c r="J20" s="23"/>
      <c r="K20" s="23"/>
      <c r="L20" s="49"/>
    </row>
    <row r="21" customFormat="false" ht="15" hidden="false" customHeight="false" outlineLevel="0" collapsed="false">
      <c r="A21" s="20" t="n">
        <v>16</v>
      </c>
      <c r="B21" s="6" t="s">
        <v>566</v>
      </c>
      <c r="C21" s="20" t="s">
        <v>71</v>
      </c>
      <c r="D21" s="9" t="n">
        <f aca="false">Допущения!$D$58</f>
        <v>3</v>
      </c>
      <c r="E21" s="23"/>
      <c r="F21" s="23"/>
      <c r="G21" s="23"/>
      <c r="H21" s="23"/>
      <c r="I21" s="23"/>
      <c r="J21" s="23"/>
      <c r="K21" s="23"/>
      <c r="L21" s="49"/>
    </row>
    <row r="22" customFormat="false" ht="15" hidden="false" customHeight="false" outlineLevel="0" collapsed="false">
      <c r="A22" s="20" t="n">
        <v>17</v>
      </c>
      <c r="B22" s="6" t="s">
        <v>299</v>
      </c>
      <c r="C22" s="20" t="s">
        <v>55</v>
      </c>
      <c r="D22" s="9" t="n">
        <f aca="false">Допущения!$D$59</f>
        <v>1.2</v>
      </c>
      <c r="E22" s="23"/>
      <c r="F22" s="23"/>
      <c r="G22" s="23"/>
      <c r="H22" s="23"/>
      <c r="I22" s="23"/>
      <c r="J22" s="23"/>
      <c r="K22" s="23"/>
      <c r="L22" s="49"/>
    </row>
    <row r="23" customFormat="false" ht="15" hidden="false" customHeight="false" outlineLevel="0" collapsed="false">
      <c r="A23" s="20" t="n">
        <v>18</v>
      </c>
      <c r="B23" s="6" t="s">
        <v>302</v>
      </c>
      <c r="C23" s="20" t="s">
        <v>55</v>
      </c>
      <c r="D23" s="9" t="n">
        <f aca="false">Допущения!$D$60</f>
        <v>0.4</v>
      </c>
      <c r="E23" s="23"/>
      <c r="F23" s="23"/>
      <c r="G23" s="23"/>
      <c r="H23" s="23"/>
      <c r="I23" s="23"/>
      <c r="J23" s="23"/>
      <c r="K23" s="23"/>
      <c r="L23" s="49"/>
    </row>
    <row r="24" customFormat="false" ht="15" hidden="false" customHeight="false" outlineLevel="0" collapsed="false">
      <c r="A24" s="20" t="n">
        <v>19</v>
      </c>
      <c r="B24" s="6" t="s">
        <v>567</v>
      </c>
      <c r="C24" s="20" t="s">
        <v>55</v>
      </c>
      <c r="D24" s="45" t="n">
        <f aca="false">Допущения!$D$61</f>
        <v>0.12</v>
      </c>
      <c r="E24" s="23"/>
      <c r="F24" s="23"/>
      <c r="G24" s="23"/>
      <c r="H24" s="23"/>
      <c r="I24" s="23"/>
      <c r="J24" s="23"/>
      <c r="K24" s="23"/>
      <c r="L24" s="49"/>
    </row>
    <row r="25" customFormat="false" ht="15" hidden="false" customHeight="false" outlineLevel="0" collapsed="false">
      <c r="A25" s="20" t="n">
        <v>20</v>
      </c>
      <c r="B25" s="6" t="s">
        <v>568</v>
      </c>
      <c r="C25" s="20" t="s">
        <v>55</v>
      </c>
      <c r="D25" s="9" t="n">
        <f aca="false">Допущения!$D$62</f>
        <v>0.6</v>
      </c>
      <c r="E25" s="23"/>
      <c r="F25" s="23"/>
      <c r="G25" s="23"/>
      <c r="H25" s="23"/>
      <c r="I25" s="23"/>
      <c r="J25" s="23"/>
      <c r="K25" s="23"/>
      <c r="L25" s="49"/>
    </row>
    <row r="26" customFormat="false" ht="15" hidden="false" customHeight="false" outlineLevel="0" collapsed="false">
      <c r="A26" s="20" t="n">
        <v>21</v>
      </c>
      <c r="B26" s="6" t="s">
        <v>569</v>
      </c>
      <c r="C26" s="20" t="s">
        <v>71</v>
      </c>
      <c r="D26" s="9" t="n">
        <f aca="false">Допущения!$D$63</f>
        <v>0.3</v>
      </c>
      <c r="E26" s="23"/>
      <c r="F26" s="23"/>
      <c r="G26" s="23"/>
      <c r="H26" s="23"/>
      <c r="I26" s="23"/>
      <c r="J26" s="23"/>
      <c r="K26" s="23"/>
      <c r="L26" s="49"/>
    </row>
    <row r="27" customFormat="false" ht="15" hidden="false" customHeight="false" outlineLevel="0" collapsed="false">
      <c r="A27" s="20" t="n">
        <v>22</v>
      </c>
      <c r="B27" s="6" t="s">
        <v>314</v>
      </c>
      <c r="C27" s="20" t="s">
        <v>55</v>
      </c>
      <c r="D27" s="9" t="n">
        <f aca="false">Допущения!$D$64</f>
        <v>1</v>
      </c>
      <c r="E27" s="23"/>
      <c r="F27" s="23"/>
      <c r="G27" s="23"/>
      <c r="H27" s="23"/>
      <c r="I27" s="23"/>
      <c r="J27" s="23"/>
      <c r="K27" s="23"/>
      <c r="L27" s="49"/>
    </row>
    <row r="28" customFormat="false" ht="15" hidden="false" customHeight="false" outlineLevel="0" collapsed="false">
      <c r="A28" s="20" t="n">
        <v>23</v>
      </c>
      <c r="B28" s="6" t="s">
        <v>317</v>
      </c>
      <c r="C28" s="20" t="s">
        <v>55</v>
      </c>
      <c r="D28" s="45" t="n">
        <f aca="false">Допущения!$D$65</f>
        <v>0.08</v>
      </c>
      <c r="E28" s="23"/>
      <c r="F28" s="23"/>
      <c r="G28" s="23"/>
      <c r="H28" s="23"/>
      <c r="I28" s="23"/>
      <c r="J28" s="23"/>
      <c r="K28" s="23"/>
      <c r="L28" s="49"/>
    </row>
    <row r="29" customFormat="false" ht="15" hidden="false" customHeight="false" outlineLevel="0" collapsed="false">
      <c r="A29" s="20" t="n">
        <v>24</v>
      </c>
      <c r="B29" s="6" t="s">
        <v>320</v>
      </c>
      <c r="C29" s="20" t="s">
        <v>71</v>
      </c>
      <c r="D29" s="45" t="n">
        <f aca="false">Допущения!$D$66</f>
        <v>0.25</v>
      </c>
      <c r="E29" s="23"/>
      <c r="F29" s="23"/>
      <c r="G29" s="23"/>
      <c r="H29" s="23"/>
      <c r="I29" s="23"/>
      <c r="J29" s="23"/>
      <c r="K29" s="23"/>
      <c r="L29" s="49"/>
    </row>
    <row r="30" customFormat="false" ht="15" hidden="false" customHeight="false" outlineLevel="0" collapsed="false">
      <c r="A30" s="20" t="n">
        <v>25</v>
      </c>
      <c r="B30" s="6" t="s">
        <v>570</v>
      </c>
      <c r="C30" s="20" t="s">
        <v>71</v>
      </c>
      <c r="D30" s="9" t="n">
        <f aca="false">Допущения!$D$67</f>
        <v>0.3</v>
      </c>
      <c r="E30" s="23"/>
      <c r="F30" s="23"/>
      <c r="G30" s="23"/>
      <c r="H30" s="23"/>
      <c r="I30" s="23"/>
      <c r="J30" s="23"/>
      <c r="K30" s="23"/>
      <c r="L30" s="49"/>
    </row>
    <row r="31" customFormat="false" ht="15" hidden="false" customHeight="false" outlineLevel="0" collapsed="false">
      <c r="A31" s="20" t="n">
        <v>26</v>
      </c>
      <c r="B31" s="6" t="s">
        <v>326</v>
      </c>
      <c r="C31" s="20" t="s">
        <v>261</v>
      </c>
      <c r="D31" s="22" t="n">
        <f aca="false">Допущения!$D$68</f>
        <v>0.05</v>
      </c>
      <c r="E31" s="23"/>
      <c r="F31" s="23"/>
      <c r="G31" s="23"/>
      <c r="H31" s="23"/>
      <c r="I31" s="23"/>
      <c r="J31" s="23"/>
      <c r="K31" s="23"/>
      <c r="L31" s="49"/>
    </row>
    <row r="32" customFormat="false" ht="15" hidden="false" customHeight="false" outlineLevel="0" collapsed="false">
      <c r="A32" s="20" t="n">
        <v>27</v>
      </c>
      <c r="B32" s="6" t="s">
        <v>571</v>
      </c>
      <c r="C32" s="20" t="s">
        <v>330</v>
      </c>
      <c r="D32" s="22" t="n">
        <f aca="false">Допущения!$D$69</f>
        <v>0.1</v>
      </c>
      <c r="E32" s="23"/>
      <c r="F32" s="23"/>
      <c r="G32" s="23"/>
      <c r="H32" s="23"/>
      <c r="I32" s="23"/>
      <c r="J32" s="23"/>
      <c r="K32" s="23"/>
      <c r="L32" s="49"/>
    </row>
    <row r="33" customFormat="false" ht="15" hidden="false" customHeight="false" outlineLevel="0" collapsed="false">
      <c r="A33" s="20" t="n">
        <v>28</v>
      </c>
      <c r="B33" s="6" t="s">
        <v>572</v>
      </c>
      <c r="C33" s="20" t="s">
        <v>68</v>
      </c>
      <c r="D33" s="22" t="n">
        <f aca="false">Допущения!$D$71</f>
        <v>0.05</v>
      </c>
      <c r="E33" s="23"/>
      <c r="F33" s="23"/>
      <c r="G33" s="23"/>
      <c r="H33" s="23"/>
      <c r="I33" s="23"/>
      <c r="J33" s="23"/>
      <c r="K33" s="23"/>
      <c r="L33" s="49"/>
    </row>
    <row r="34" customFormat="false" ht="15" hidden="false" customHeight="false" outlineLevel="0" collapsed="false">
      <c r="A34" s="20" t="n">
        <v>29</v>
      </c>
      <c r="B34" s="6" t="s">
        <v>573</v>
      </c>
      <c r="C34" s="20" t="s">
        <v>68</v>
      </c>
      <c r="D34" s="22" t="n">
        <f aca="false">Допущения!$D$72</f>
        <v>0.5</v>
      </c>
      <c r="E34" s="23"/>
      <c r="F34" s="23"/>
      <c r="G34" s="23"/>
      <c r="H34" s="23"/>
      <c r="I34" s="23"/>
      <c r="J34" s="23"/>
      <c r="K34" s="23"/>
      <c r="L34" s="49"/>
    </row>
    <row r="35" customFormat="false" ht="15" hidden="false" customHeight="false" outlineLevel="0" collapsed="false">
      <c r="A35" s="20" t="n">
        <v>30</v>
      </c>
      <c r="B35" s="6" t="s">
        <v>574</v>
      </c>
      <c r="C35" s="20" t="s">
        <v>575</v>
      </c>
      <c r="D35" s="7" t="n">
        <f aca="false">Допущения!$D$73</f>
        <v>120</v>
      </c>
      <c r="E35" s="23"/>
      <c r="F35" s="23"/>
      <c r="G35" s="23"/>
      <c r="H35" s="23"/>
      <c r="I35" s="23"/>
      <c r="J35" s="23"/>
      <c r="K35" s="23"/>
      <c r="L35" s="49"/>
    </row>
    <row r="36" customFormat="false" ht="15" hidden="false" customHeight="false" outlineLevel="0" collapsed="false">
      <c r="A36" s="20" t="n">
        <v>31</v>
      </c>
      <c r="B36" s="6" t="s">
        <v>345</v>
      </c>
      <c r="C36" s="20" t="s">
        <v>68</v>
      </c>
      <c r="D36" s="22" t="n">
        <f aca="false">Допущения!$D$74</f>
        <v>0.3</v>
      </c>
      <c r="E36" s="23"/>
      <c r="F36" s="23"/>
      <c r="G36" s="23"/>
      <c r="H36" s="23"/>
      <c r="I36" s="23"/>
      <c r="J36" s="23"/>
      <c r="K36" s="23"/>
      <c r="L36" s="49"/>
    </row>
    <row r="37" customFormat="false" ht="15" hidden="false" customHeight="false" outlineLevel="0" collapsed="false">
      <c r="A37" s="20" t="n">
        <v>32</v>
      </c>
      <c r="B37" s="6" t="s">
        <v>576</v>
      </c>
      <c r="C37" s="20" t="s">
        <v>261</v>
      </c>
      <c r="D37" s="22" t="n">
        <f aca="false">Допущения!$D$75</f>
        <v>0.04</v>
      </c>
      <c r="E37" s="23"/>
      <c r="F37" s="23"/>
      <c r="G37" s="23"/>
      <c r="H37" s="23"/>
      <c r="I37" s="23"/>
      <c r="J37" s="23"/>
      <c r="K37" s="23"/>
      <c r="L37" s="49"/>
    </row>
    <row r="38" customFormat="false" ht="15" hidden="false" customHeight="false" outlineLevel="0" collapsed="false">
      <c r="A38" s="20" t="n">
        <v>33</v>
      </c>
      <c r="B38" s="6" t="s">
        <v>577</v>
      </c>
      <c r="C38" s="20" t="s">
        <v>68</v>
      </c>
      <c r="D38" s="22" t="n">
        <f aca="false">Допущения!$D$76</f>
        <v>0.2</v>
      </c>
      <c r="E38" s="23"/>
      <c r="F38" s="23"/>
      <c r="G38" s="23"/>
      <c r="H38" s="23"/>
      <c r="I38" s="23"/>
      <c r="J38" s="23"/>
      <c r="K38" s="23"/>
      <c r="L38" s="49"/>
    </row>
    <row r="39" customFormat="false" ht="15" hidden="false" customHeight="false" outlineLevel="0" collapsed="false">
      <c r="A39" s="20" t="n">
        <v>34</v>
      </c>
      <c r="B39" s="6" t="s">
        <v>578</v>
      </c>
      <c r="C39" s="20" t="s">
        <v>105</v>
      </c>
      <c r="D39" s="50" t="n">
        <f aca="false">Рынок!$D$30</f>
        <v>0.490909090909091</v>
      </c>
      <c r="E39" s="23"/>
      <c r="F39" s="23"/>
      <c r="G39" s="23"/>
      <c r="H39" s="23"/>
      <c r="I39" s="23"/>
      <c r="J39" s="23"/>
      <c r="K39" s="23"/>
      <c r="L39" s="49" t="s">
        <v>579</v>
      </c>
    </row>
    <row r="40" customFormat="false" ht="15" hidden="false" customHeight="false" outlineLevel="0" collapsed="false">
      <c r="A40" s="20" t="n">
        <v>35</v>
      </c>
      <c r="B40" s="6" t="s">
        <v>580</v>
      </c>
      <c r="C40" s="20" t="s">
        <v>105</v>
      </c>
      <c r="D40" s="50" t="n">
        <f aca="false">Рынок!$D$31</f>
        <v>0.028125</v>
      </c>
      <c r="E40" s="23"/>
      <c r="F40" s="23"/>
      <c r="G40" s="23"/>
      <c r="H40" s="23"/>
      <c r="I40" s="23"/>
      <c r="J40" s="23"/>
      <c r="K40" s="23"/>
      <c r="L40" s="49" t="s">
        <v>579</v>
      </c>
    </row>
    <row r="41" customFormat="false" ht="15" hidden="false" customHeight="false" outlineLevel="0" collapsed="false">
      <c r="A41" s="20" t="n">
        <v>36</v>
      </c>
      <c r="B41" s="6" t="s">
        <v>581</v>
      </c>
      <c r="C41" s="20" t="s">
        <v>142</v>
      </c>
      <c r="D41" s="7" t="n">
        <f aca="false">План!$D$8</f>
        <v>200</v>
      </c>
      <c r="E41" s="23"/>
      <c r="F41" s="23"/>
      <c r="G41" s="23"/>
      <c r="H41" s="23"/>
      <c r="I41" s="23"/>
      <c r="J41" s="23"/>
      <c r="K41" s="23"/>
      <c r="L41" s="49" t="s">
        <v>582</v>
      </c>
    </row>
    <row r="42" customFormat="false" ht="15" hidden="false" customHeight="false" outlineLevel="0" collapsed="false">
      <c r="A42" s="20" t="n">
        <v>37</v>
      </c>
      <c r="B42" s="6" t="s">
        <v>583</v>
      </c>
      <c r="C42" s="20" t="s">
        <v>142</v>
      </c>
      <c r="D42" s="7" t="n">
        <f aca="false">План!$D$9</f>
        <v>280</v>
      </c>
      <c r="E42" s="23"/>
      <c r="F42" s="23"/>
      <c r="G42" s="23"/>
      <c r="H42" s="23"/>
      <c r="I42" s="23"/>
      <c r="J42" s="23"/>
      <c r="K42" s="23"/>
      <c r="L42" s="49" t="s">
        <v>582</v>
      </c>
    </row>
    <row r="43" customFormat="false" ht="15" hidden="false" customHeight="false" outlineLevel="0" collapsed="false">
      <c r="A43" s="20" t="n">
        <v>38</v>
      </c>
      <c r="B43" s="6" t="s">
        <v>584</v>
      </c>
      <c r="C43" s="20" t="s">
        <v>142</v>
      </c>
      <c r="D43" s="7" t="n">
        <f aca="false">План!$D$10</f>
        <v>230</v>
      </c>
      <c r="E43" s="23"/>
      <c r="F43" s="23"/>
      <c r="G43" s="23"/>
      <c r="H43" s="23"/>
      <c r="I43" s="23"/>
      <c r="J43" s="23"/>
      <c r="K43" s="23"/>
      <c r="L43" s="49" t="s">
        <v>582</v>
      </c>
    </row>
    <row r="44" customFormat="false" ht="15" hidden="false" customHeight="false" outlineLevel="0" collapsed="false">
      <c r="A44" s="20" t="n">
        <v>39</v>
      </c>
      <c r="B44" s="6" t="s">
        <v>585</v>
      </c>
      <c r="C44" s="20" t="s">
        <v>142</v>
      </c>
      <c r="D44" s="7" t="n">
        <f aca="false">План!$D$11</f>
        <v>220</v>
      </c>
      <c r="E44" s="23"/>
      <c r="F44" s="23"/>
      <c r="G44" s="23"/>
      <c r="H44" s="23"/>
      <c r="I44" s="23"/>
      <c r="J44" s="23"/>
      <c r="K44" s="23"/>
      <c r="L44" s="49" t="s">
        <v>582</v>
      </c>
    </row>
    <row r="45" customFormat="false" ht="15" hidden="false" customHeight="false" outlineLevel="0" collapsed="false">
      <c r="A45" s="20" t="n">
        <v>40</v>
      </c>
      <c r="B45" s="6" t="s">
        <v>586</v>
      </c>
      <c r="C45" s="20" t="s">
        <v>142</v>
      </c>
      <c r="D45" s="7" t="n">
        <f aca="false">План!$D$12</f>
        <v>250</v>
      </c>
      <c r="E45" s="23"/>
      <c r="F45" s="23"/>
      <c r="G45" s="23"/>
      <c r="H45" s="23"/>
      <c r="I45" s="23"/>
      <c r="J45" s="23"/>
      <c r="K45" s="23"/>
      <c r="L45" s="49" t="s">
        <v>582</v>
      </c>
    </row>
    <row r="46" customFormat="false" ht="15" hidden="false" customHeight="false" outlineLevel="0" collapsed="false">
      <c r="A46" s="20" t="n">
        <v>41</v>
      </c>
      <c r="B46" s="6" t="s">
        <v>587</v>
      </c>
      <c r="C46" s="20" t="s">
        <v>142</v>
      </c>
      <c r="D46" s="7" t="n">
        <f aca="false">План!$D$13</f>
        <v>220</v>
      </c>
      <c r="E46" s="23"/>
      <c r="F46" s="23"/>
      <c r="G46" s="23"/>
      <c r="H46" s="23"/>
      <c r="I46" s="23"/>
      <c r="J46" s="23"/>
      <c r="K46" s="23"/>
      <c r="L46" s="49" t="s">
        <v>582</v>
      </c>
    </row>
    <row r="47" customFormat="false" ht="15" hidden="false" customHeight="false" outlineLevel="0" collapsed="false">
      <c r="A47" s="20" t="n">
        <v>42</v>
      </c>
      <c r="B47" s="6" t="s">
        <v>359</v>
      </c>
      <c r="C47" s="20" t="s">
        <v>76</v>
      </c>
      <c r="D47" s="23"/>
      <c r="E47" s="9" t="n">
        <f aca="false">План!E6</f>
        <v>0</v>
      </c>
      <c r="F47" s="9" t="n">
        <f aca="false">План!F6</f>
        <v>0</v>
      </c>
      <c r="G47" s="9" t="n">
        <f aca="false">План!G6</f>
        <v>0</v>
      </c>
      <c r="H47" s="9" t="n">
        <f aca="false">План!H6</f>
        <v>0</v>
      </c>
      <c r="I47" s="9" t="n">
        <f aca="false">План!I6</f>
        <v>0</v>
      </c>
      <c r="J47" s="9" t="n">
        <f aca="false">План!J6</f>
        <v>0</v>
      </c>
      <c r="K47" s="51" t="n">
        <f aca="false">SUM(F47:J47)</f>
        <v>0</v>
      </c>
      <c r="L47" s="49" t="s">
        <v>582</v>
      </c>
    </row>
    <row r="48" customFormat="false" ht="15" hidden="false" customHeight="false" outlineLevel="0" collapsed="false">
      <c r="A48" s="20" t="n">
        <v>43</v>
      </c>
      <c r="B48" s="6" t="s">
        <v>361</v>
      </c>
      <c r="C48" s="20" t="s">
        <v>76</v>
      </c>
      <c r="D48" s="23"/>
      <c r="E48" s="9" t="n">
        <f aca="false">План!E7</f>
        <v>0</v>
      </c>
      <c r="F48" s="9" t="n">
        <f aca="false">План!F7</f>
        <v>0</v>
      </c>
      <c r="G48" s="9" t="n">
        <f aca="false">План!G7</f>
        <v>0</v>
      </c>
      <c r="H48" s="9" t="n">
        <f aca="false">План!H7</f>
        <v>1</v>
      </c>
      <c r="I48" s="9" t="n">
        <f aca="false">План!I7</f>
        <v>1</v>
      </c>
      <c r="J48" s="9" t="n">
        <f aca="false">План!J7</f>
        <v>1</v>
      </c>
      <c r="K48" s="51" t="n">
        <f aca="false">SUM(F48:J48)</f>
        <v>3</v>
      </c>
      <c r="L48" s="49" t="s">
        <v>582</v>
      </c>
    </row>
    <row r="49" customFormat="false" ht="15" hidden="false" customHeight="false" outlineLevel="0" collapsed="false">
      <c r="A49" s="20" t="n">
        <v>44</v>
      </c>
      <c r="B49" s="6" t="s">
        <v>588</v>
      </c>
      <c r="C49" s="20" t="s">
        <v>53</v>
      </c>
      <c r="D49" s="23"/>
      <c r="E49" s="9" t="n">
        <f aca="false">План!E8</f>
        <v>2</v>
      </c>
      <c r="F49" s="9" t="n">
        <f aca="false">План!F8</f>
        <v>2</v>
      </c>
      <c r="G49" s="9" t="n">
        <f aca="false">План!G8</f>
        <v>2</v>
      </c>
      <c r="H49" s="9" t="n">
        <f aca="false">План!H8</f>
        <v>2</v>
      </c>
      <c r="I49" s="9" t="n">
        <f aca="false">План!I8</f>
        <v>2</v>
      </c>
      <c r="J49" s="9" t="n">
        <f aca="false">План!J8</f>
        <v>2</v>
      </c>
      <c r="K49" s="23"/>
      <c r="L49" s="49" t="s">
        <v>582</v>
      </c>
    </row>
    <row r="50" customFormat="false" ht="15" hidden="false" customHeight="false" outlineLevel="0" collapsed="false">
      <c r="A50" s="20" t="n">
        <v>45</v>
      </c>
      <c r="B50" s="6" t="s">
        <v>589</v>
      </c>
      <c r="C50" s="20" t="s">
        <v>53</v>
      </c>
      <c r="D50" s="23"/>
      <c r="E50" s="9" t="n">
        <f aca="false">План!E9</f>
        <v>0</v>
      </c>
      <c r="F50" s="9" t="n">
        <f aca="false">План!F9</f>
        <v>0</v>
      </c>
      <c r="G50" s="9" t="n">
        <f aca="false">План!G9</f>
        <v>1</v>
      </c>
      <c r="H50" s="9" t="n">
        <f aca="false">План!H9</f>
        <v>1</v>
      </c>
      <c r="I50" s="9" t="n">
        <f aca="false">План!I9</f>
        <v>1</v>
      </c>
      <c r="J50" s="9" t="n">
        <f aca="false">План!J9</f>
        <v>1</v>
      </c>
      <c r="K50" s="23"/>
      <c r="L50" s="49" t="s">
        <v>582</v>
      </c>
    </row>
    <row r="51" customFormat="false" ht="15" hidden="false" customHeight="false" outlineLevel="0" collapsed="false">
      <c r="A51" s="20" t="n">
        <v>46</v>
      </c>
      <c r="B51" s="6" t="s">
        <v>590</v>
      </c>
      <c r="C51" s="20" t="s">
        <v>53</v>
      </c>
      <c r="D51" s="23"/>
      <c r="E51" s="9" t="n">
        <f aca="false">План!E10</f>
        <v>0</v>
      </c>
      <c r="F51" s="9" t="n">
        <f aca="false">План!F10</f>
        <v>0.5</v>
      </c>
      <c r="G51" s="9" t="n">
        <f aca="false">План!G10</f>
        <v>0.5</v>
      </c>
      <c r="H51" s="9" t="n">
        <f aca="false">План!H10</f>
        <v>0.5</v>
      </c>
      <c r="I51" s="9" t="n">
        <f aca="false">План!I10</f>
        <v>0.5</v>
      </c>
      <c r="J51" s="9" t="n">
        <f aca="false">План!J10</f>
        <v>0.5</v>
      </c>
      <c r="K51" s="23"/>
      <c r="L51" s="49" t="s">
        <v>582</v>
      </c>
    </row>
    <row r="52" customFormat="false" ht="15" hidden="false" customHeight="false" outlineLevel="0" collapsed="false">
      <c r="A52" s="20" t="n">
        <v>47</v>
      </c>
      <c r="B52" s="6" t="s">
        <v>591</v>
      </c>
      <c r="C52" s="20" t="s">
        <v>53</v>
      </c>
      <c r="D52" s="23"/>
      <c r="E52" s="9" t="n">
        <f aca="false">План!E11</f>
        <v>0</v>
      </c>
      <c r="F52" s="9" t="n">
        <f aca="false">План!F11</f>
        <v>0</v>
      </c>
      <c r="G52" s="9" t="n">
        <f aca="false">План!G11</f>
        <v>0</v>
      </c>
      <c r="H52" s="9" t="n">
        <f aca="false">План!H11</f>
        <v>0.5</v>
      </c>
      <c r="I52" s="9" t="n">
        <f aca="false">План!I11</f>
        <v>0.5</v>
      </c>
      <c r="J52" s="9" t="n">
        <f aca="false">План!J11</f>
        <v>0.5</v>
      </c>
      <c r="K52" s="23"/>
      <c r="L52" s="49" t="s">
        <v>582</v>
      </c>
    </row>
    <row r="53" customFormat="false" ht="15" hidden="false" customHeight="false" outlineLevel="0" collapsed="false">
      <c r="A53" s="20" t="n">
        <v>48</v>
      </c>
      <c r="B53" s="6" t="s">
        <v>592</v>
      </c>
      <c r="C53" s="20" t="s">
        <v>53</v>
      </c>
      <c r="D53" s="23"/>
      <c r="E53" s="9" t="n">
        <f aca="false">План!E12</f>
        <v>0</v>
      </c>
      <c r="F53" s="9" t="n">
        <f aca="false">План!F12</f>
        <v>0</v>
      </c>
      <c r="G53" s="9" t="n">
        <f aca="false">План!G12</f>
        <v>0</v>
      </c>
      <c r="H53" s="9" t="n">
        <f aca="false">План!H12</f>
        <v>0</v>
      </c>
      <c r="I53" s="9" t="n">
        <f aca="false">План!I12</f>
        <v>0</v>
      </c>
      <c r="J53" s="9" t="n">
        <f aca="false">План!J12</f>
        <v>0</v>
      </c>
      <c r="K53" s="23"/>
      <c r="L53" s="49" t="s">
        <v>582</v>
      </c>
    </row>
    <row r="54" customFormat="false" ht="15" hidden="false" customHeight="false" outlineLevel="0" collapsed="false">
      <c r="A54" s="20" t="n">
        <v>49</v>
      </c>
      <c r="B54" s="6" t="s">
        <v>593</v>
      </c>
      <c r="C54" s="20" t="s">
        <v>53</v>
      </c>
      <c r="D54" s="23"/>
      <c r="E54" s="9" t="n">
        <f aca="false">План!E13</f>
        <v>0</v>
      </c>
      <c r="F54" s="9" t="n">
        <f aca="false">План!F13</f>
        <v>0</v>
      </c>
      <c r="G54" s="9" t="n">
        <f aca="false">План!G13</f>
        <v>0</v>
      </c>
      <c r="H54" s="9" t="n">
        <f aca="false">План!H13</f>
        <v>0</v>
      </c>
      <c r="I54" s="9" t="n">
        <f aca="false">План!I13</f>
        <v>0</v>
      </c>
      <c r="J54" s="9" t="n">
        <f aca="false">План!J13</f>
        <v>0</v>
      </c>
      <c r="K54" s="23"/>
      <c r="L54" s="49" t="s">
        <v>582</v>
      </c>
    </row>
    <row r="55" customFormat="false" ht="15" hidden="false" customHeight="false" outlineLevel="0" collapsed="false">
      <c r="A55" s="19" t="s">
        <v>594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false" outlineLevel="0" collapsed="false">
      <c r="A56" s="20" t="n">
        <v>50</v>
      </c>
      <c r="B56" s="6" t="s">
        <v>595</v>
      </c>
      <c r="C56" s="20"/>
      <c r="D56" s="23"/>
      <c r="E56" s="10" t="n">
        <f aca="false">Допущения!$D$3</f>
        <v>2026</v>
      </c>
      <c r="F56" s="52" t="n">
        <f aca="false">E56+1</f>
        <v>2027</v>
      </c>
      <c r="G56" s="52" t="n">
        <f aca="false">F56+1</f>
        <v>2028</v>
      </c>
      <c r="H56" s="52" t="n">
        <f aca="false">G56+1</f>
        <v>2029</v>
      </c>
      <c r="I56" s="52" t="n">
        <f aca="false">H56+1</f>
        <v>2030</v>
      </c>
      <c r="J56" s="52" t="n">
        <f aca="false">I56+1</f>
        <v>2031</v>
      </c>
      <c r="K56" s="23"/>
      <c r="L56" s="49" t="s">
        <v>596</v>
      </c>
    </row>
    <row r="57" customFormat="false" ht="15" hidden="false" customHeight="false" outlineLevel="0" collapsed="false">
      <c r="A57" s="20" t="n">
        <v>51</v>
      </c>
      <c r="B57" s="6" t="s">
        <v>597</v>
      </c>
      <c r="C57" s="20" t="s">
        <v>62</v>
      </c>
      <c r="D57" s="23"/>
      <c r="E57" s="23"/>
      <c r="F57" s="53" t="n">
        <f aca="false">(1+$D$13)^(F$56-$E$56-1)</f>
        <v>1</v>
      </c>
      <c r="G57" s="53" t="n">
        <f aca="false">(1+$D$13)^(G$56-$E$56-1)</f>
        <v>1.04</v>
      </c>
      <c r="H57" s="53" t="n">
        <f aca="false">(1+$D$13)^(H$56-$E$56-1)</f>
        <v>1.0816</v>
      </c>
      <c r="I57" s="53" t="n">
        <f aca="false">(1+$D$13)^(I$56-$E$56-1)</f>
        <v>1.124864</v>
      </c>
      <c r="J57" s="53" t="n">
        <f aca="false">(1+$D$13)^(J$56-$E$56-1)</f>
        <v>1.16985856</v>
      </c>
      <c r="K57" s="23"/>
      <c r="L57" s="49" t="s">
        <v>598</v>
      </c>
    </row>
    <row r="58" customFormat="false" ht="15" hidden="false" customHeight="false" outlineLevel="0" collapsed="false">
      <c r="A58" s="20" t="n">
        <v>52</v>
      </c>
      <c r="B58" s="6" t="s">
        <v>599</v>
      </c>
      <c r="C58" s="20" t="s">
        <v>62</v>
      </c>
      <c r="D58" s="23"/>
      <c r="E58" s="23"/>
      <c r="F58" s="53" t="n">
        <f aca="false">(1+$D$31)^(F$56-$E$56-1)</f>
        <v>1</v>
      </c>
      <c r="G58" s="53" t="n">
        <f aca="false">(1+$D$31)^(G$56-$E$56-1)</f>
        <v>1.05</v>
      </c>
      <c r="H58" s="53" t="n">
        <f aca="false">(1+$D$31)^(H$56-$E$56-1)</f>
        <v>1.1025</v>
      </c>
      <c r="I58" s="53" t="n">
        <f aca="false">(1+$D$31)^(I$56-$E$56-1)</f>
        <v>1.157625</v>
      </c>
      <c r="J58" s="53" t="n">
        <f aca="false">(1+$D$31)^(J$56-$E$56-1)</f>
        <v>1.21550625</v>
      </c>
      <c r="K58" s="23"/>
      <c r="L58" s="49" t="s">
        <v>600</v>
      </c>
    </row>
    <row r="59" customFormat="false" ht="15" hidden="false" customHeight="false" outlineLevel="0" collapsed="false">
      <c r="A59" s="20" t="n">
        <v>53</v>
      </c>
      <c r="B59" s="6" t="s">
        <v>601</v>
      </c>
      <c r="C59" s="20" t="s">
        <v>62</v>
      </c>
      <c r="D59" s="23"/>
      <c r="E59" s="23"/>
      <c r="F59" s="53" t="n">
        <f aca="false">(1+$D$15)^(F$56-$E$56-1)</f>
        <v>1</v>
      </c>
      <c r="G59" s="53" t="n">
        <f aca="false">(1+$D$15)^(G$56-$E$56-1)</f>
        <v>1.07</v>
      </c>
      <c r="H59" s="53" t="n">
        <f aca="false">(1+$D$15)^(H$56-$E$56-1)</f>
        <v>1.1449</v>
      </c>
      <c r="I59" s="53" t="n">
        <f aca="false">(1+$D$15)^(I$56-$E$56-1)</f>
        <v>1.225043</v>
      </c>
      <c r="J59" s="53" t="n">
        <f aca="false">(1+$D$15)^(J$56-$E$56-1)</f>
        <v>1.31079601</v>
      </c>
      <c r="K59" s="23"/>
      <c r="L59" s="49" t="s">
        <v>602</v>
      </c>
    </row>
    <row r="60" customFormat="false" ht="15" hidden="false" customHeight="false" outlineLevel="0" collapsed="false">
      <c r="A60" s="20" t="n">
        <v>54</v>
      </c>
      <c r="B60" s="6" t="s">
        <v>603</v>
      </c>
      <c r="C60" s="20" t="s">
        <v>55</v>
      </c>
      <c r="D60" s="23"/>
      <c r="E60" s="23"/>
      <c r="F60" s="46" t="n">
        <f aca="false">$D$19*(1+$D$20)^(F$56-$E$56)</f>
        <v>3.21732</v>
      </c>
      <c r="G60" s="46" t="n">
        <f aca="false">$D$19*(1+$D$20)^(G$56-$E$56)</f>
        <v>3.4747056</v>
      </c>
      <c r="H60" s="46" t="n">
        <f aca="false">$D$19*(1+$D$20)^(H$56-$E$56)</f>
        <v>3.752682048</v>
      </c>
      <c r="I60" s="46" t="n">
        <f aca="false">$D$19*(1+$D$20)^(I$56-$E$56)</f>
        <v>4.05289661184</v>
      </c>
      <c r="J60" s="46" t="n">
        <f aca="false">$D$19*(1+$D$20)^(J$56-$E$56)</f>
        <v>4.3771283407872</v>
      </c>
      <c r="K60" s="23"/>
      <c r="L60" s="49" t="s">
        <v>604</v>
      </c>
    </row>
    <row r="61" customFormat="false" ht="15" hidden="false" customHeight="false" outlineLevel="0" collapsed="false">
      <c r="A61" s="19" t="s">
        <v>605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customFormat="false" ht="15" hidden="false" customHeight="false" outlineLevel="0" collapsed="false">
      <c r="A62" s="20" t="n">
        <v>55</v>
      </c>
      <c r="B62" s="6" t="s">
        <v>606</v>
      </c>
      <c r="C62" s="20" t="s">
        <v>76</v>
      </c>
      <c r="D62" s="23"/>
      <c r="E62" s="23"/>
      <c r="F62" s="38" t="n">
        <f aca="false">IF(F$56=$D$6,1,0)</f>
        <v>0</v>
      </c>
      <c r="G62" s="38" t="n">
        <f aca="false">IF(G$56=$D$6,1,0)</f>
        <v>1</v>
      </c>
      <c r="H62" s="38" t="n">
        <f aca="false">IF(H$56=$D$6,1,0)</f>
        <v>0</v>
      </c>
      <c r="I62" s="38" t="n">
        <f aca="false">IF(I$56=$D$6,1,0)</f>
        <v>0</v>
      </c>
      <c r="J62" s="38" t="n">
        <f aca="false">IF(J$56=$D$6,1,0)</f>
        <v>0</v>
      </c>
      <c r="K62" s="23"/>
      <c r="L62" s="49" t="s">
        <v>607</v>
      </c>
    </row>
    <row r="63" customFormat="false" ht="15" hidden="false" customHeight="false" outlineLevel="0" collapsed="false">
      <c r="A63" s="20" t="n">
        <v>56</v>
      </c>
      <c r="B63" s="6" t="s">
        <v>608</v>
      </c>
      <c r="C63" s="20" t="s">
        <v>76</v>
      </c>
      <c r="D63" s="23"/>
      <c r="E63" s="38" t="n">
        <f aca="false">0</f>
        <v>0</v>
      </c>
      <c r="F63" s="38" t="n">
        <f aca="false">F62+F47</f>
        <v>0</v>
      </c>
      <c r="G63" s="38" t="n">
        <f aca="false">G62+G47</f>
        <v>1</v>
      </c>
      <c r="H63" s="38" t="n">
        <f aca="false">H62+H47</f>
        <v>0</v>
      </c>
      <c r="I63" s="38" t="n">
        <f aca="false">I62+I47</f>
        <v>0</v>
      </c>
      <c r="J63" s="38" t="n">
        <f aca="false">J62+J47</f>
        <v>0</v>
      </c>
      <c r="K63" s="54" t="n">
        <f aca="false">SUM(F63:J63)</f>
        <v>1</v>
      </c>
      <c r="L63" s="49" t="s">
        <v>609</v>
      </c>
    </row>
    <row r="64" customFormat="false" ht="15" hidden="false" customHeight="false" outlineLevel="0" collapsed="false">
      <c r="A64" s="20" t="n">
        <v>57</v>
      </c>
      <c r="B64" s="6" t="s">
        <v>610</v>
      </c>
      <c r="C64" s="20" t="s">
        <v>76</v>
      </c>
      <c r="D64" s="23"/>
      <c r="E64" s="38" t="n">
        <f aca="false">0</f>
        <v>0</v>
      </c>
      <c r="F64" s="38" t="n">
        <f aca="false">E64+F63</f>
        <v>0</v>
      </c>
      <c r="G64" s="38" t="n">
        <f aca="false">F64+G63</f>
        <v>1</v>
      </c>
      <c r="H64" s="38" t="n">
        <f aca="false">G64+H63</f>
        <v>1</v>
      </c>
      <c r="I64" s="38" t="n">
        <f aca="false">H64+I63</f>
        <v>1</v>
      </c>
      <c r="J64" s="38" t="n">
        <f aca="false">I64+J63</f>
        <v>1</v>
      </c>
      <c r="K64" s="23"/>
      <c r="L64" s="49" t="s">
        <v>611</v>
      </c>
    </row>
    <row r="65" customFormat="false" ht="15" hidden="false" customHeight="false" outlineLevel="0" collapsed="false">
      <c r="A65" s="20" t="n">
        <v>58</v>
      </c>
      <c r="B65" s="6" t="s">
        <v>612</v>
      </c>
      <c r="C65" s="20" t="s">
        <v>76</v>
      </c>
      <c r="D65" s="23"/>
      <c r="E65" s="38" t="n">
        <f aca="false">0</f>
        <v>0</v>
      </c>
      <c r="F65" s="38" t="n">
        <f aca="false">E65+F48</f>
        <v>0</v>
      </c>
      <c r="G65" s="38" t="n">
        <f aca="false">F65+G48</f>
        <v>0</v>
      </c>
      <c r="H65" s="38" t="n">
        <f aca="false">G65+H48</f>
        <v>1</v>
      </c>
      <c r="I65" s="38" t="n">
        <f aca="false">H65+I48</f>
        <v>2</v>
      </c>
      <c r="J65" s="38" t="n">
        <f aca="false">I65+J48</f>
        <v>3</v>
      </c>
      <c r="K65" s="23"/>
      <c r="L65" s="49" t="s">
        <v>611</v>
      </c>
    </row>
    <row r="66" customFormat="false" ht="15" hidden="false" customHeight="false" outlineLevel="0" collapsed="false">
      <c r="A66" s="20" t="n">
        <v>59</v>
      </c>
      <c r="B66" s="6" t="s">
        <v>613</v>
      </c>
      <c r="C66" s="20" t="s">
        <v>76</v>
      </c>
      <c r="D66" s="23"/>
      <c r="E66" s="38" t="n">
        <f aca="false">0</f>
        <v>0</v>
      </c>
      <c r="F66" s="38" t="n">
        <f aca="false">F64+F65</f>
        <v>0</v>
      </c>
      <c r="G66" s="38" t="n">
        <f aca="false">G64+G65</f>
        <v>1</v>
      </c>
      <c r="H66" s="38" t="n">
        <f aca="false">H64+H65</f>
        <v>2</v>
      </c>
      <c r="I66" s="38" t="n">
        <f aca="false">I64+I65</f>
        <v>3</v>
      </c>
      <c r="J66" s="38" t="n">
        <f aca="false">J64+J65</f>
        <v>4</v>
      </c>
      <c r="K66" s="23"/>
      <c r="L66" s="49" t="s">
        <v>614</v>
      </c>
    </row>
    <row r="67" customFormat="false" ht="15" hidden="false" customHeight="false" outlineLevel="0" collapsed="false">
      <c r="A67" s="20" t="n">
        <v>60</v>
      </c>
      <c r="B67" s="6" t="s">
        <v>615</v>
      </c>
      <c r="C67" s="20" t="s">
        <v>76</v>
      </c>
      <c r="D67" s="23"/>
      <c r="E67" s="23"/>
      <c r="F67" s="38" t="n">
        <f aca="false">F63+F48</f>
        <v>0</v>
      </c>
      <c r="G67" s="38" t="n">
        <f aca="false">G63+G48</f>
        <v>1</v>
      </c>
      <c r="H67" s="38" t="n">
        <f aca="false">H63+H48</f>
        <v>1</v>
      </c>
      <c r="I67" s="38" t="n">
        <f aca="false">I63+I48</f>
        <v>1</v>
      </c>
      <c r="J67" s="38" t="n">
        <f aca="false">J63+J48</f>
        <v>1</v>
      </c>
      <c r="K67" s="54" t="n">
        <f aca="false">SUM(F67:J67)</f>
        <v>4</v>
      </c>
      <c r="L67" s="49"/>
    </row>
    <row r="68" customFormat="false" ht="15" hidden="false" customHeight="false" outlineLevel="0" collapsed="false">
      <c r="A68" s="19" t="s">
        <v>616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15" hidden="false" customHeight="false" outlineLevel="0" collapsed="false">
      <c r="A69" s="20" t="n">
        <v>61</v>
      </c>
      <c r="B69" s="6" t="s">
        <v>617</v>
      </c>
      <c r="C69" s="20" t="s">
        <v>71</v>
      </c>
      <c r="D69" s="23"/>
      <c r="E69" s="23"/>
      <c r="F69" s="40" t="n">
        <f aca="false">IF(F$56&gt;$D$6,($D$8+$D$7*$D$9)*(1+$D$14)^(F$56-$D$6-1)*F57,0)</f>
        <v>0</v>
      </c>
      <c r="G69" s="40" t="n">
        <f aca="false">IF(G$56&gt;$D$6,($D$8+$D$7*$D$9)*(1+$D$14)^(G$56-$D$6-1)*G57,0)</f>
        <v>0</v>
      </c>
      <c r="H69" s="40" t="n">
        <f aca="false">IF(H$56&gt;$D$6,($D$8+$D$7*$D$9)*(1+$D$14)^(H$56-$D$6-1)*H57,0)</f>
        <v>7.13856</v>
      </c>
      <c r="I69" s="40" t="n">
        <f aca="false">IF(I$56&gt;$D$6,($D$8+$D$7*$D$9)*(1+$D$14)^(I$56-$D$6-1)*I57,0)</f>
        <v>7.4241024</v>
      </c>
      <c r="J69" s="40" t="n">
        <f aca="false">IF(J$56&gt;$D$6,($D$8+$D$7*$D$9)*(1+$D$14)^(J$56-$D$6-1)*J57,0)</f>
        <v>7.721066496</v>
      </c>
      <c r="K69" s="51" t="n">
        <f aca="false">SUM(F69:J69)</f>
        <v>22.283728896</v>
      </c>
      <c r="L69" s="49" t="s">
        <v>618</v>
      </c>
    </row>
    <row r="70" customFormat="false" ht="15" hidden="false" customHeight="false" outlineLevel="0" collapsed="false">
      <c r="A70" s="20" t="n">
        <v>62</v>
      </c>
      <c r="B70" s="6" t="s">
        <v>619</v>
      </c>
      <c r="C70" s="20" t="s">
        <v>71</v>
      </c>
      <c r="D70" s="23"/>
      <c r="E70" s="23"/>
      <c r="F70" s="40" t="n">
        <f aca="false">($D$8+$D$39*$D$9)*F57*SUMPRODUCT($E$47:E$47,(1+$D$14)^(F$56-$E$56:E$56-1))</f>
        <v>0</v>
      </c>
      <c r="G70" s="40" t="n">
        <f aca="false">($D$8+$D$39*$D$9)*G57*SUMPRODUCT($E$47:F$47,(1+$D$14)^(G$56-$E$56:F$56-1))</f>
        <v>0</v>
      </c>
      <c r="H70" s="40" t="n">
        <f aca="false">($D$8+$D$39*$D$9)*H57*SUMPRODUCT($E$47:G$47,(1+$D$14)^(H$56-$E$56:G$56-1))</f>
        <v>0</v>
      </c>
      <c r="I70" s="40" t="n">
        <f aca="false">($D$8+$D$39*$D$9)*I57*SUMPRODUCT($E$47:H$47,(1+$D$14)^(I$56-$E$56:H$56-1))</f>
        <v>0</v>
      </c>
      <c r="J70" s="40" t="n">
        <f aca="false">($D$8+$D$39*$D$9)*J57*SUMPRODUCT($E$47:I$47,(1+$D$14)^(J$56-$E$56:I$56-1))</f>
        <v>0</v>
      </c>
      <c r="K70" s="51" t="n">
        <f aca="false">SUM(F70:J70)</f>
        <v>0</v>
      </c>
      <c r="L70" s="49" t="s">
        <v>620</v>
      </c>
    </row>
    <row r="71" customFormat="false" ht="15" hidden="false" customHeight="false" outlineLevel="0" collapsed="false">
      <c r="A71" s="20" t="n">
        <v>63</v>
      </c>
      <c r="B71" s="6" t="s">
        <v>621</v>
      </c>
      <c r="C71" s="20" t="s">
        <v>71</v>
      </c>
      <c r="D71" s="23"/>
      <c r="E71" s="23"/>
      <c r="F71" s="40" t="n">
        <f aca="false">($D$10+$D$40*$D$9)*F57*SUMPRODUCT($E$48:E$48,(1+$D$14)^(F$56-$E$56:E$56-1))</f>
        <v>0</v>
      </c>
      <c r="G71" s="40" t="n">
        <f aca="false">($D$10+$D$40*$D$9)*G57*SUMPRODUCT($E$48:F$48,(1+$D$14)^(G$56-$E$56:F$56-1))</f>
        <v>0</v>
      </c>
      <c r="H71" s="40" t="n">
        <f aca="false">($D$10+$D$40*$D$9)*H57*SUMPRODUCT($E$48:G$48,(1+$D$14)^(H$56-$E$56:G$56-1))</f>
        <v>0</v>
      </c>
      <c r="I71" s="40" t="n">
        <f aca="false">($D$10+$D$40*$D$9)*I57*SUMPRODUCT($E$48:H$48,(1+$D$14)^(I$56-$E$56:H$56-1))</f>
        <v>1.1881376</v>
      </c>
      <c r="J71" s="40" t="n">
        <f aca="false">($D$10+$D$40*$D$9)*J57*SUMPRODUCT($E$48:I$48,(1+$D$14)^(J$56-$E$56:I$56-1))</f>
        <v>2.471326208</v>
      </c>
      <c r="K71" s="51" t="n">
        <f aca="false">SUM(F71:J71)</f>
        <v>3.659463808</v>
      </c>
      <c r="L71" s="49" t="s">
        <v>622</v>
      </c>
    </row>
    <row r="72" customFormat="false" ht="15" hidden="false" customHeight="false" outlineLevel="0" collapsed="false">
      <c r="A72" s="20" t="n">
        <v>64</v>
      </c>
      <c r="B72" s="6" t="s">
        <v>623</v>
      </c>
      <c r="C72" s="20" t="s">
        <v>71</v>
      </c>
      <c r="D72" s="23"/>
      <c r="E72" s="23"/>
      <c r="F72" s="40" t="n">
        <f aca="false">(F63*$D$11+F48*$D$12)*F57</f>
        <v>0</v>
      </c>
      <c r="G72" s="40" t="n">
        <f aca="false">(G63*$D$11+G48*$D$12)*G57</f>
        <v>6.24</v>
      </c>
      <c r="H72" s="40" t="n">
        <f aca="false">(H63*$D$11+H48*$D$12)*H57</f>
        <v>1.6224</v>
      </c>
      <c r="I72" s="40" t="n">
        <f aca="false">(I63*$D$11+I48*$D$12)*I57</f>
        <v>1.687296</v>
      </c>
      <c r="J72" s="40" t="n">
        <f aca="false">(J63*$D$11+J48*$D$12)*J57</f>
        <v>1.75478784</v>
      </c>
      <c r="K72" s="51" t="n">
        <f aca="false">SUM(F72:J72)</f>
        <v>11.30448384</v>
      </c>
      <c r="L72" s="49" t="s">
        <v>624</v>
      </c>
    </row>
    <row r="73" customFormat="false" ht="15" hidden="false" customHeight="false" outlineLevel="0" collapsed="false">
      <c r="A73" s="20" t="n">
        <v>65</v>
      </c>
      <c r="B73" s="6" t="s">
        <v>625</v>
      </c>
      <c r="C73" s="20" t="s">
        <v>71</v>
      </c>
      <c r="D73" s="23"/>
      <c r="E73" s="23"/>
      <c r="F73" s="40" t="n">
        <f aca="false">F69+F70+F71</f>
        <v>0</v>
      </c>
      <c r="G73" s="40" t="n">
        <f aca="false">G69+G70+G71</f>
        <v>0</v>
      </c>
      <c r="H73" s="40" t="n">
        <f aca="false">H69+H70+H71</f>
        <v>7.13856</v>
      </c>
      <c r="I73" s="40" t="n">
        <f aca="false">I69+I70+I71</f>
        <v>8.61224</v>
      </c>
      <c r="J73" s="40" t="n">
        <f aca="false">J69+J70+J71</f>
        <v>10.192392704</v>
      </c>
      <c r="K73" s="51" t="n">
        <f aca="false">SUM(F73:J73)</f>
        <v>25.943192704</v>
      </c>
      <c r="L73" s="49"/>
    </row>
    <row r="74" customFormat="false" ht="15" hidden="false" customHeight="false" outlineLevel="0" collapsed="false">
      <c r="A74" s="20" t="n">
        <v>66</v>
      </c>
      <c r="B74" s="6" t="s">
        <v>91</v>
      </c>
      <c r="C74" s="20" t="s">
        <v>71</v>
      </c>
      <c r="D74" s="23"/>
      <c r="E74" s="23"/>
      <c r="F74" s="40" t="n">
        <f aca="false">F73+F72</f>
        <v>0</v>
      </c>
      <c r="G74" s="40" t="n">
        <f aca="false">G73+G72</f>
        <v>6.24</v>
      </c>
      <c r="H74" s="40" t="n">
        <f aca="false">H73+H72</f>
        <v>8.76096</v>
      </c>
      <c r="I74" s="40" t="n">
        <f aca="false">I73+I72</f>
        <v>10.299536</v>
      </c>
      <c r="J74" s="40" t="n">
        <f aca="false">J73+J72</f>
        <v>11.947180544</v>
      </c>
      <c r="K74" s="51" t="n">
        <f aca="false">SUM(F74:J74)</f>
        <v>37.247676544</v>
      </c>
      <c r="L74" s="49" t="s">
        <v>626</v>
      </c>
    </row>
    <row r="75" customFormat="false" ht="15" hidden="false" customHeight="false" outlineLevel="0" collapsed="false">
      <c r="A75" s="20" t="n">
        <v>67</v>
      </c>
      <c r="B75" s="6" t="s">
        <v>627</v>
      </c>
      <c r="C75" s="20" t="s">
        <v>55</v>
      </c>
      <c r="D75" s="23"/>
      <c r="E75" s="23"/>
      <c r="F75" s="40" t="n">
        <f aca="false">IF(F$56&gt;=$D$6,($D$8+$D$7*$D$9)*(1+$D$14)^(F$56-$D$6)*F57,0)+($D$8+$D$39*$D$9)*F57*SUMPRODUCT($E$47:F$47,(1+$D$14)^(F$56-$E$56:F$56))+($D$10+$D$40*$D$9)*F57*SUMPRODUCT($E$48:F$48,(1+$D$14)^(F$56-$E$56:F$56))</f>
        <v>0</v>
      </c>
      <c r="G75" s="40" t="n">
        <f aca="false">IF(G$56&gt;=$D$6,($D$8+$D$7*$D$9)*(1+$D$14)^(G$56-$D$6)*G57,0)+($D$8+$D$39*$D$9)*G57*SUMPRODUCT($E$47:G$47,(1+$D$14)^(G$56-$E$56:G$56))+($D$10+$D$40*$D$9)*G57*SUMPRODUCT($E$48:G$48,(1+$D$14)^(G$56-$E$56:G$56))</f>
        <v>6.864</v>
      </c>
      <c r="H75" s="40" t="n">
        <f aca="false">IF(H$56&gt;=$D$6,($D$8+$D$7*$D$9)*(1+$D$14)^(H$56-$D$6)*H57,0)+($D$8+$D$39*$D$9)*H57*SUMPRODUCT($E$47:H$47,(1+$D$14)^(H$56-$E$56:H$56))+($D$10+$D$40*$D$9)*H57*SUMPRODUCT($E$48:H$48,(1+$D$14)^(H$56-$E$56:H$56))</f>
        <v>8.281</v>
      </c>
      <c r="I75" s="40" t="n">
        <f aca="false">IF(I$56&gt;=$D$6,($D$8+$D$7*$D$9)*(1+$D$14)^(I$56-$D$6)*I57,0)+($D$8+$D$39*$D$9)*I57*SUMPRODUCT($E$47:I$47,(1+$D$14)^(I$56-$E$56:I$56))+($D$10+$D$40*$D$9)*I57*SUMPRODUCT($E$48:I$48,(1+$D$14)^(I$56-$E$56:I$56))</f>
        <v>9.8003776</v>
      </c>
      <c r="J75" s="40" t="n">
        <f aca="false">IF(J$56&gt;=$D$6,($D$8+$D$7*$D$9)*(1+$D$14)^(J$56-$D$6)*J57,0)+($D$8+$D$39*$D$9)*J57*SUMPRODUCT($E$47:J$47,(1+$D$14)^(J$56-$E$56:J$56))+($D$10+$D$40*$D$9)*J57*SUMPRODUCT($E$48:J$48,(1+$D$14)^(J$56-$E$56:J$56))</f>
        <v>11.428055808</v>
      </c>
      <c r="K75" s="23"/>
      <c r="L75" s="49" t="s">
        <v>628</v>
      </c>
    </row>
    <row r="76" customFormat="false" ht="15" hidden="false" customHeight="false" outlineLevel="0" collapsed="false">
      <c r="A76" s="19" t="s">
        <v>629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customFormat="false" ht="15" hidden="false" customHeight="false" outlineLevel="0" collapsed="false">
      <c r="A77" s="20" t="n">
        <v>68</v>
      </c>
      <c r="B77" s="6" t="s">
        <v>630</v>
      </c>
      <c r="C77" s="20" t="s">
        <v>53</v>
      </c>
      <c r="D77" s="23"/>
      <c r="E77" s="40" t="n">
        <f aca="false">E49+E50+E51+E52+E53+E54</f>
        <v>2</v>
      </c>
      <c r="F77" s="40" t="n">
        <f aca="false">F49+F50+F51+F52+F53+F54</f>
        <v>2.5</v>
      </c>
      <c r="G77" s="40" t="n">
        <f aca="false">G49+G50+G51+G52+G53+G54</f>
        <v>3.5</v>
      </c>
      <c r="H77" s="40" t="n">
        <f aca="false">H49+H50+H51+H52+H53+H54</f>
        <v>4</v>
      </c>
      <c r="I77" s="40" t="n">
        <f aca="false">I49+I50+I51+I52+I53+I54</f>
        <v>4</v>
      </c>
      <c r="J77" s="40" t="n">
        <f aca="false">J49+J50+J51+J52+J53+J54</f>
        <v>4</v>
      </c>
      <c r="K77" s="23"/>
      <c r="L77" s="49" t="s">
        <v>631</v>
      </c>
    </row>
    <row r="78" customFormat="false" ht="15" hidden="false" customHeight="false" outlineLevel="0" collapsed="false">
      <c r="A78" s="20" t="n">
        <v>69</v>
      </c>
      <c r="B78" s="6" t="s">
        <v>632</v>
      </c>
      <c r="C78" s="20" t="s">
        <v>53</v>
      </c>
      <c r="D78" s="23"/>
      <c r="E78" s="23"/>
      <c r="F78" s="40" t="n">
        <f aca="false">MAX(0,F77-E77)</f>
        <v>0.5</v>
      </c>
      <c r="G78" s="40" t="n">
        <f aca="false">MAX(0,G77-F77)</f>
        <v>1</v>
      </c>
      <c r="H78" s="40" t="n">
        <f aca="false">MAX(0,H77-G77)</f>
        <v>0.5</v>
      </c>
      <c r="I78" s="40" t="n">
        <f aca="false">MAX(0,I77-H77)</f>
        <v>0</v>
      </c>
      <c r="J78" s="40" t="n">
        <f aca="false">MAX(0,J77-I77)</f>
        <v>0</v>
      </c>
      <c r="K78" s="23"/>
      <c r="L78" s="49" t="s">
        <v>633</v>
      </c>
    </row>
    <row r="79" customFormat="false" ht="15" hidden="false" customHeight="false" outlineLevel="0" collapsed="false">
      <c r="A79" s="20" t="n">
        <v>70</v>
      </c>
      <c r="B79" s="6" t="s">
        <v>634</v>
      </c>
      <c r="C79" s="20" t="s">
        <v>71</v>
      </c>
      <c r="D79" s="23"/>
      <c r="E79" s="23"/>
      <c r="F79" s="41" t="n">
        <f aca="false">$D$41*12/1000*F59</f>
        <v>2.4</v>
      </c>
      <c r="G79" s="41" t="n">
        <f aca="false">$D$41*12/1000*G59</f>
        <v>2.568</v>
      </c>
      <c r="H79" s="41" t="n">
        <f aca="false">$D$41*12/1000*H59</f>
        <v>2.74776</v>
      </c>
      <c r="I79" s="41" t="n">
        <f aca="false">$D$41*12/1000*I59</f>
        <v>2.9401032</v>
      </c>
      <c r="J79" s="41" t="n">
        <f aca="false">$D$41*12/1000*J59</f>
        <v>3.145910424</v>
      </c>
      <c r="K79" s="23"/>
      <c r="L79" s="49" t="s">
        <v>635</v>
      </c>
    </row>
    <row r="80" customFormat="false" ht="15" hidden="false" customHeight="false" outlineLevel="0" collapsed="false">
      <c r="A80" s="20" t="n">
        <v>71</v>
      </c>
      <c r="B80" s="6" t="s">
        <v>636</v>
      </c>
      <c r="C80" s="20" t="s">
        <v>71</v>
      </c>
      <c r="D80" s="23"/>
      <c r="E80" s="23"/>
      <c r="F80" s="41" t="n">
        <f aca="false">$D$42*12/1000*F59</f>
        <v>3.36</v>
      </c>
      <c r="G80" s="41" t="n">
        <f aca="false">$D$42*12/1000*G59</f>
        <v>3.5952</v>
      </c>
      <c r="H80" s="41" t="n">
        <f aca="false">$D$42*12/1000*H59</f>
        <v>3.846864</v>
      </c>
      <c r="I80" s="41" t="n">
        <f aca="false">$D$42*12/1000*I59</f>
        <v>4.11614448</v>
      </c>
      <c r="J80" s="41" t="n">
        <f aca="false">$D$42*12/1000*J59</f>
        <v>4.4042745936</v>
      </c>
      <c r="K80" s="23"/>
      <c r="L80" s="49" t="s">
        <v>635</v>
      </c>
    </row>
    <row r="81" customFormat="false" ht="15" hidden="false" customHeight="false" outlineLevel="0" collapsed="false">
      <c r="A81" s="20" t="n">
        <v>72</v>
      </c>
      <c r="B81" s="6" t="s">
        <v>637</v>
      </c>
      <c r="C81" s="20" t="s">
        <v>71</v>
      </c>
      <c r="D81" s="23"/>
      <c r="E81" s="23"/>
      <c r="F81" s="41" t="n">
        <f aca="false">$D$43*12/1000*F59</f>
        <v>2.76</v>
      </c>
      <c r="G81" s="41" t="n">
        <f aca="false">$D$43*12/1000*G59</f>
        <v>2.9532</v>
      </c>
      <c r="H81" s="41" t="n">
        <f aca="false">$D$43*12/1000*H59</f>
        <v>3.159924</v>
      </c>
      <c r="I81" s="41" t="n">
        <f aca="false">$D$43*12/1000*I59</f>
        <v>3.38111868</v>
      </c>
      <c r="J81" s="41" t="n">
        <f aca="false">$D$43*12/1000*J59</f>
        <v>3.6177969876</v>
      </c>
      <c r="K81" s="23"/>
      <c r="L81" s="49" t="s">
        <v>635</v>
      </c>
    </row>
    <row r="82" customFormat="false" ht="15" hidden="false" customHeight="false" outlineLevel="0" collapsed="false">
      <c r="A82" s="20" t="n">
        <v>73</v>
      </c>
      <c r="B82" s="6" t="s">
        <v>638</v>
      </c>
      <c r="C82" s="20" t="s">
        <v>71</v>
      </c>
      <c r="D82" s="23"/>
      <c r="E82" s="23"/>
      <c r="F82" s="41" t="n">
        <f aca="false">$D$44*12/1000*F59</f>
        <v>2.64</v>
      </c>
      <c r="G82" s="41" t="n">
        <f aca="false">$D$44*12/1000*G59</f>
        <v>2.8248</v>
      </c>
      <c r="H82" s="41" t="n">
        <f aca="false">$D$44*12/1000*H59</f>
        <v>3.022536</v>
      </c>
      <c r="I82" s="41" t="n">
        <f aca="false">$D$44*12/1000*I59</f>
        <v>3.23411352</v>
      </c>
      <c r="J82" s="41" t="n">
        <f aca="false">$D$44*12/1000*J59</f>
        <v>3.4605014664</v>
      </c>
      <c r="K82" s="23"/>
      <c r="L82" s="49" t="s">
        <v>635</v>
      </c>
    </row>
    <row r="83" customFormat="false" ht="15" hidden="false" customHeight="false" outlineLevel="0" collapsed="false">
      <c r="A83" s="20" t="n">
        <v>74</v>
      </c>
      <c r="B83" s="6" t="s">
        <v>639</v>
      </c>
      <c r="C83" s="20" t="s">
        <v>71</v>
      </c>
      <c r="D83" s="23"/>
      <c r="E83" s="23"/>
      <c r="F83" s="41" t="n">
        <f aca="false">$D$45*12/1000*F59</f>
        <v>3</v>
      </c>
      <c r="G83" s="41" t="n">
        <f aca="false">$D$45*12/1000*G59</f>
        <v>3.21</v>
      </c>
      <c r="H83" s="41" t="n">
        <f aca="false">$D$45*12/1000*H59</f>
        <v>3.4347</v>
      </c>
      <c r="I83" s="41" t="n">
        <f aca="false">$D$45*12/1000*I59</f>
        <v>3.675129</v>
      </c>
      <c r="J83" s="41" t="n">
        <f aca="false">$D$45*12/1000*J59</f>
        <v>3.93238803</v>
      </c>
      <c r="K83" s="23"/>
      <c r="L83" s="49" t="s">
        <v>635</v>
      </c>
    </row>
    <row r="84" customFormat="false" ht="15" hidden="false" customHeight="false" outlineLevel="0" collapsed="false">
      <c r="A84" s="20" t="n">
        <v>75</v>
      </c>
      <c r="B84" s="6" t="s">
        <v>640</v>
      </c>
      <c r="C84" s="20" t="s">
        <v>71</v>
      </c>
      <c r="D84" s="23"/>
      <c r="E84" s="23"/>
      <c r="F84" s="41" t="n">
        <f aca="false">$D$46*12/1000*F59</f>
        <v>2.64</v>
      </c>
      <c r="G84" s="41" t="n">
        <f aca="false">$D$46*12/1000*G59</f>
        <v>2.8248</v>
      </c>
      <c r="H84" s="41" t="n">
        <f aca="false">$D$46*12/1000*H59</f>
        <v>3.022536</v>
      </c>
      <c r="I84" s="41" t="n">
        <f aca="false">$D$46*12/1000*I59</f>
        <v>3.23411352</v>
      </c>
      <c r="J84" s="41" t="n">
        <f aca="false">$D$46*12/1000*J59</f>
        <v>3.4605014664</v>
      </c>
      <c r="K84" s="23"/>
      <c r="L84" s="49" t="s">
        <v>635</v>
      </c>
    </row>
    <row r="85" customFormat="false" ht="15" hidden="false" customHeight="false" outlineLevel="0" collapsed="false">
      <c r="A85" s="20" t="n">
        <v>76</v>
      </c>
      <c r="B85" s="6" t="s">
        <v>641</v>
      </c>
      <c r="C85" s="20" t="s">
        <v>71</v>
      </c>
      <c r="D85" s="23"/>
      <c r="E85" s="23"/>
      <c r="F85" s="40" t="n">
        <f aca="false">F49*F79</f>
        <v>4.8</v>
      </c>
      <c r="G85" s="40" t="n">
        <f aca="false">G49*G79</f>
        <v>5.136</v>
      </c>
      <c r="H85" s="40" t="n">
        <f aca="false">H49*H79</f>
        <v>5.49552</v>
      </c>
      <c r="I85" s="40" t="n">
        <f aca="false">I49*I79</f>
        <v>5.8802064</v>
      </c>
      <c r="J85" s="40" t="n">
        <f aca="false">J49*J79</f>
        <v>6.291820848</v>
      </c>
      <c r="K85" s="51" t="n">
        <f aca="false">SUM(F85:J85)</f>
        <v>27.603547248</v>
      </c>
      <c r="L85" s="49" t="s">
        <v>642</v>
      </c>
    </row>
    <row r="86" customFormat="false" ht="15" hidden="false" customHeight="false" outlineLevel="0" collapsed="false">
      <c r="A86" s="20" t="n">
        <v>77</v>
      </c>
      <c r="B86" s="6" t="s">
        <v>643</v>
      </c>
      <c r="C86" s="20" t="s">
        <v>71</v>
      </c>
      <c r="D86" s="23"/>
      <c r="E86" s="23"/>
      <c r="F86" s="40" t="n">
        <f aca="false">F50*F80</f>
        <v>0</v>
      </c>
      <c r="G86" s="40" t="n">
        <f aca="false">G50*G80</f>
        <v>3.5952</v>
      </c>
      <c r="H86" s="40" t="n">
        <f aca="false">H50*H80</f>
        <v>3.846864</v>
      </c>
      <c r="I86" s="40" t="n">
        <f aca="false">I50*I80</f>
        <v>4.11614448</v>
      </c>
      <c r="J86" s="40" t="n">
        <f aca="false">J50*J80</f>
        <v>4.4042745936</v>
      </c>
      <c r="K86" s="51" t="n">
        <f aca="false">SUM(F86:J86)</f>
        <v>15.9624830736</v>
      </c>
      <c r="L86" s="49" t="s">
        <v>642</v>
      </c>
    </row>
    <row r="87" customFormat="false" ht="15" hidden="false" customHeight="false" outlineLevel="0" collapsed="false">
      <c r="A87" s="20" t="n">
        <v>78</v>
      </c>
      <c r="B87" s="6" t="s">
        <v>644</v>
      </c>
      <c r="C87" s="20" t="s">
        <v>71</v>
      </c>
      <c r="D87" s="23"/>
      <c r="E87" s="23"/>
      <c r="F87" s="40" t="n">
        <f aca="false">F51*F81</f>
        <v>1.38</v>
      </c>
      <c r="G87" s="40" t="n">
        <f aca="false">G51*G81</f>
        <v>1.4766</v>
      </c>
      <c r="H87" s="40" t="n">
        <f aca="false">H51*H81</f>
        <v>1.579962</v>
      </c>
      <c r="I87" s="40" t="n">
        <f aca="false">I51*I81</f>
        <v>1.69055934</v>
      </c>
      <c r="J87" s="40" t="n">
        <f aca="false">J51*J81</f>
        <v>1.8088984938</v>
      </c>
      <c r="K87" s="51" t="n">
        <f aca="false">SUM(F87:J87)</f>
        <v>7.9360198338</v>
      </c>
      <c r="L87" s="49" t="s">
        <v>642</v>
      </c>
    </row>
    <row r="88" customFormat="false" ht="15" hidden="false" customHeight="false" outlineLevel="0" collapsed="false">
      <c r="A88" s="20" t="n">
        <v>79</v>
      </c>
      <c r="B88" s="6" t="s">
        <v>645</v>
      </c>
      <c r="C88" s="20" t="s">
        <v>71</v>
      </c>
      <c r="D88" s="23"/>
      <c r="E88" s="23"/>
      <c r="F88" s="40" t="n">
        <f aca="false">F52*F82</f>
        <v>0</v>
      </c>
      <c r="G88" s="40" t="n">
        <f aca="false">G52*G82</f>
        <v>0</v>
      </c>
      <c r="H88" s="40" t="n">
        <f aca="false">H52*H82</f>
        <v>1.511268</v>
      </c>
      <c r="I88" s="40" t="n">
        <f aca="false">I52*I82</f>
        <v>1.61705676</v>
      </c>
      <c r="J88" s="40" t="n">
        <f aca="false">J52*J82</f>
        <v>1.7302507332</v>
      </c>
      <c r="K88" s="51" t="n">
        <f aca="false">SUM(F88:J88)</f>
        <v>4.8585754932</v>
      </c>
      <c r="L88" s="49" t="s">
        <v>642</v>
      </c>
    </row>
    <row r="89" customFormat="false" ht="15" hidden="false" customHeight="false" outlineLevel="0" collapsed="false">
      <c r="A89" s="20" t="n">
        <v>80</v>
      </c>
      <c r="B89" s="6" t="s">
        <v>646</v>
      </c>
      <c r="C89" s="20" t="s">
        <v>71</v>
      </c>
      <c r="D89" s="23"/>
      <c r="E89" s="23"/>
      <c r="F89" s="40" t="n">
        <f aca="false">F53*F83</f>
        <v>0</v>
      </c>
      <c r="G89" s="40" t="n">
        <f aca="false">G53*G83</f>
        <v>0</v>
      </c>
      <c r="H89" s="40" t="n">
        <f aca="false">H53*H83</f>
        <v>0</v>
      </c>
      <c r="I89" s="40" t="n">
        <f aca="false">I53*I83</f>
        <v>0</v>
      </c>
      <c r="J89" s="40" t="n">
        <f aca="false">J53*J83</f>
        <v>0</v>
      </c>
      <c r="K89" s="51" t="n">
        <f aca="false">SUM(F89:J89)</f>
        <v>0</v>
      </c>
      <c r="L89" s="49" t="s">
        <v>642</v>
      </c>
    </row>
    <row r="90" customFormat="false" ht="15" hidden="false" customHeight="false" outlineLevel="0" collapsed="false">
      <c r="A90" s="20" t="n">
        <v>81</v>
      </c>
      <c r="B90" s="6" t="s">
        <v>647</v>
      </c>
      <c r="C90" s="20" t="s">
        <v>71</v>
      </c>
      <c r="D90" s="23"/>
      <c r="E90" s="23"/>
      <c r="F90" s="40" t="n">
        <f aca="false">F54*F84</f>
        <v>0</v>
      </c>
      <c r="G90" s="40" t="n">
        <f aca="false">G54*G84</f>
        <v>0</v>
      </c>
      <c r="H90" s="40" t="n">
        <f aca="false">H54*H84</f>
        <v>0</v>
      </c>
      <c r="I90" s="40" t="n">
        <f aca="false">I54*I84</f>
        <v>0</v>
      </c>
      <c r="J90" s="40" t="n">
        <f aca="false">J54*J84</f>
        <v>0</v>
      </c>
      <c r="K90" s="51" t="n">
        <f aca="false">SUM(F90:J90)</f>
        <v>0</v>
      </c>
      <c r="L90" s="49" t="s">
        <v>642</v>
      </c>
    </row>
    <row r="91" customFormat="false" ht="15" hidden="false" customHeight="false" outlineLevel="0" collapsed="false">
      <c r="A91" s="20" t="n">
        <v>82</v>
      </c>
      <c r="B91" s="6" t="s">
        <v>648</v>
      </c>
      <c r="C91" s="20" t="s">
        <v>71</v>
      </c>
      <c r="D91" s="23"/>
      <c r="E91" s="23"/>
      <c r="F91" s="40" t="n">
        <f aca="false">F85+F86+F87+F88+F89+F90</f>
        <v>6.18</v>
      </c>
      <c r="G91" s="40" t="n">
        <f aca="false">G85+G86+G87+G88+G89+G90</f>
        <v>10.2078</v>
      </c>
      <c r="H91" s="40" t="n">
        <f aca="false">H85+H86+H87+H88+H89+H90</f>
        <v>12.433614</v>
      </c>
      <c r="I91" s="40" t="n">
        <f aca="false">I85+I86+I87+I88+I89+I90</f>
        <v>13.30396698</v>
      </c>
      <c r="J91" s="40" t="n">
        <f aca="false">J85+J86+J87+J88+J89+J90</f>
        <v>14.2352446686</v>
      </c>
      <c r="K91" s="51" t="n">
        <f aca="false">SUM(F91:J91)</f>
        <v>56.3606256486</v>
      </c>
      <c r="L91" s="49"/>
    </row>
    <row r="92" customFormat="false" ht="15" hidden="false" customHeight="false" outlineLevel="0" collapsed="false">
      <c r="A92" s="20" t="n">
        <v>83</v>
      </c>
      <c r="B92" s="6" t="s">
        <v>649</v>
      </c>
      <c r="C92" s="20" t="s">
        <v>71</v>
      </c>
      <c r="D92" s="23"/>
      <c r="E92" s="23"/>
      <c r="F92" s="40" t="n">
        <f aca="false">F49*(MIN(F79,F60)*$D$16+MAX(0,F79-F60)*$D$17+F79*$D$18)+F50*(MIN(F80,F60)*$D$16+MAX(0,F80-F60)*$D$17+F80*$D$18)+F51*(MIN(F81,F60)*$D$16+MAX(0,F81-F60)*$D$17+F81*$D$18)+F52*(MIN(F82,F60)*$D$16+MAX(0,F82-F60)*$D$17+F82*$D$18)+F53*(MIN(F83,F60)*$D$16+MAX(0,F83-F60)*$D$17+F83*$D$18)+F54*(MIN(F84,F60)*$D$16+MAX(0,F84-F60)*$D$17+F84*$D$18)</f>
        <v>0.93936</v>
      </c>
      <c r="G92" s="40" t="n">
        <f aca="false">G49*(MIN(G79,G60)*$D$16+MAX(0,G79-G60)*$D$17+G79*$D$18)+G50*(MIN(G80,G60)*$D$16+MAX(0,G80-G60)*$D$17+G80*$D$18)+G51*(MIN(G81,G60)*$D$16+MAX(0,G81-G60)*$D$17+G81*$D$18)+G52*(MIN(G82,G60)*$D$16+MAX(0,G82-G60)*$D$17+G82*$D$18)+G53*(MIN(G83,G60)*$D$16+MAX(0,G83-G60)*$D$17+G83*$D$18)+G54*(MIN(G84,G60)*$D$16+MAX(0,G84-G60)*$D$17+G84*$D$18)</f>
        <v>1.5426690144</v>
      </c>
      <c r="H92" s="40" t="n">
        <f aca="false">H49*(MIN(H79,H60)*$D$16+MAX(0,H79-H60)*$D$17+H79*$D$18)+H50*(MIN(H80,H60)*$D$16+MAX(0,H80-H60)*$D$17+H80*$D$18)+H51*(MIN(H81,H60)*$D$16+MAX(0,H81-H60)*$D$17+H81*$D$18)+H52*(MIN(H82,H60)*$D$16+MAX(0,H82-H60)*$D$17+H82*$D$18)+H53*(MIN(H83,H60)*$D$16+MAX(0,H83-H60)*$D$17+H83*$D$18)+H54*(MIN(H84,H60)*$D$16+MAX(0,H84-H60)*$D$17+H84*$D$18)</f>
        <v>1.882939863552</v>
      </c>
      <c r="I92" s="40" t="n">
        <f aca="false">I49*(MIN(I79,I60)*$D$16+MAX(0,I79-I60)*$D$17+I79*$D$18)+I50*(MIN(I80,I60)*$D$16+MAX(0,I80-I60)*$D$17+I80*$D$18)+I51*(MIN(I81,I60)*$D$16+MAX(0,I81-I60)*$D$17+I81*$D$18)+I52*(MIN(I82,I60)*$D$16+MAX(0,I82-I60)*$D$17+I82*$D$18)+I53*(MIN(I83,I60)*$D$16+MAX(0,I83-I60)*$D$17+I83*$D$18)+I54*(MIN(I84,I60)*$D$16+MAX(0,I84-I60)*$D$17+I84*$D$18)</f>
        <v>2.01752263871616</v>
      </c>
      <c r="J92" s="40" t="n">
        <f aca="false">J49*(MIN(J79,J60)*$D$16+MAX(0,J79-J60)*$D$17+J79*$D$18)+J50*(MIN(J80,J60)*$D$16+MAX(0,J80-J60)*$D$17+J80*$D$18)+J51*(MIN(J81,J60)*$D$16+MAX(0,J81-J60)*$D$17+J81*$D$18)+J52*(MIN(J82,J60)*$D$16+MAX(0,J82-J60)*$D$17+J82*$D$18)+J53*(MIN(J83,J60)*$D$16+MAX(0,J83-J60)*$D$17+J83*$D$18)+J54*(MIN(J84,J60)*$D$16+MAX(0,J84-J60)*$D$17+J84*$D$18)</f>
        <v>2.16174836691905</v>
      </c>
      <c r="K92" s="51" t="n">
        <f aca="false">SUM(F92:J92)</f>
        <v>8.54423988358721</v>
      </c>
      <c r="L92" s="49" t="s">
        <v>650</v>
      </c>
    </row>
    <row r="93" customFormat="false" ht="15" hidden="false" customHeight="false" outlineLevel="0" collapsed="false">
      <c r="A93" s="20" t="n">
        <v>84</v>
      </c>
      <c r="B93" s="6" t="s">
        <v>651</v>
      </c>
      <c r="C93" s="20"/>
      <c r="D93" s="23"/>
      <c r="E93" s="23"/>
      <c r="F93" s="38" t="n">
        <f aca="false">IF(AND(F66&gt;0,E66=0),1,0)</f>
        <v>0</v>
      </c>
      <c r="G93" s="38" t="n">
        <f aca="false">IF(AND(G66&gt;0,F66=0),1,0)</f>
        <v>1</v>
      </c>
      <c r="H93" s="38" t="n">
        <f aca="false">IF(AND(H66&gt;0,G66=0),1,0)</f>
        <v>0</v>
      </c>
      <c r="I93" s="38" t="n">
        <f aca="false">IF(AND(I66&gt;0,H66=0),1,0)</f>
        <v>0</v>
      </c>
      <c r="J93" s="38" t="n">
        <f aca="false">IF(AND(J66&gt;0,I66=0),1,0)</f>
        <v>0</v>
      </c>
      <c r="K93" s="23"/>
      <c r="L93" s="49"/>
    </row>
    <row r="94" customFormat="false" ht="15" hidden="false" customHeight="false" outlineLevel="0" collapsed="false">
      <c r="A94" s="20" t="n">
        <v>85</v>
      </c>
      <c r="B94" s="6" t="s">
        <v>652</v>
      </c>
      <c r="C94" s="20" t="s">
        <v>71</v>
      </c>
      <c r="D94" s="23"/>
      <c r="E94" s="23"/>
      <c r="F94" s="40" t="n">
        <f aca="false">(F93*$D$21+IF(E66&gt;0,1,0)*$D$22)*F58</f>
        <v>0</v>
      </c>
      <c r="G94" s="40" t="n">
        <f aca="false">(G93*$D$21+IF(F66&gt;0,1,0)*$D$22)*G58</f>
        <v>3.15</v>
      </c>
      <c r="H94" s="40" t="n">
        <f aca="false">(H93*$D$21+IF(G66&gt;0,1,0)*$D$22)*H58</f>
        <v>1.323</v>
      </c>
      <c r="I94" s="40" t="n">
        <f aca="false">(I93*$D$21+IF(H66&gt;0,1,0)*$D$22)*I58</f>
        <v>1.38915</v>
      </c>
      <c r="J94" s="40" t="n">
        <f aca="false">(J93*$D$21+IF(I66&gt;0,1,0)*$D$22)*J58</f>
        <v>1.4586075</v>
      </c>
      <c r="K94" s="51" t="n">
        <f aca="false">SUM(F94:J94)</f>
        <v>7.3207575</v>
      </c>
      <c r="L94" s="49" t="s">
        <v>653</v>
      </c>
    </row>
    <row r="95" customFormat="false" ht="15" hidden="false" customHeight="false" outlineLevel="0" collapsed="false">
      <c r="A95" s="20" t="n">
        <v>86</v>
      </c>
      <c r="B95" s="6" t="s">
        <v>302</v>
      </c>
      <c r="C95" s="20" t="s">
        <v>71</v>
      </c>
      <c r="D95" s="23"/>
      <c r="E95" s="23"/>
      <c r="F95" s="40" t="n">
        <f aca="false">$D$23*F58</f>
        <v>0.4</v>
      </c>
      <c r="G95" s="40" t="n">
        <f aca="false">$D$23*G58</f>
        <v>0.42</v>
      </c>
      <c r="H95" s="40" t="n">
        <f aca="false">$D$23*H58</f>
        <v>0.441</v>
      </c>
      <c r="I95" s="40" t="n">
        <f aca="false">$D$23*I58</f>
        <v>0.46305</v>
      </c>
      <c r="J95" s="40" t="n">
        <f aca="false">$D$23*J58</f>
        <v>0.4862025</v>
      </c>
      <c r="K95" s="51" t="n">
        <f aca="false">SUM(F95:J95)</f>
        <v>2.2102525</v>
      </c>
      <c r="L95" s="49"/>
    </row>
    <row r="96" customFormat="false" ht="15" hidden="false" customHeight="false" outlineLevel="0" collapsed="false">
      <c r="A96" s="20" t="n">
        <v>87</v>
      </c>
      <c r="B96" s="6" t="s">
        <v>654</v>
      </c>
      <c r="C96" s="20" t="s">
        <v>71</v>
      </c>
      <c r="D96" s="23"/>
      <c r="E96" s="23"/>
      <c r="F96" s="40" t="n">
        <f aca="false">$D$24*F77*F58</f>
        <v>0.3</v>
      </c>
      <c r="G96" s="40" t="n">
        <f aca="false">$D$24*G77*G58</f>
        <v>0.441</v>
      </c>
      <c r="H96" s="40" t="n">
        <f aca="false">$D$24*H77*H58</f>
        <v>0.5292</v>
      </c>
      <c r="I96" s="40" t="n">
        <f aca="false">$D$24*I77*I58</f>
        <v>0.55566</v>
      </c>
      <c r="J96" s="40" t="n">
        <f aca="false">$D$24*J77*J58</f>
        <v>0.583443</v>
      </c>
      <c r="K96" s="51" t="n">
        <f aca="false">SUM(F96:J96)</f>
        <v>2.409303</v>
      </c>
      <c r="L96" s="49" t="s">
        <v>655</v>
      </c>
    </row>
    <row r="97" customFormat="false" ht="15" hidden="false" customHeight="false" outlineLevel="0" collapsed="false">
      <c r="A97" s="20" t="n">
        <v>88</v>
      </c>
      <c r="B97" s="6" t="s">
        <v>656</v>
      </c>
      <c r="C97" s="20" t="s">
        <v>71</v>
      </c>
      <c r="D97" s="23"/>
      <c r="E97" s="23"/>
      <c r="F97" s="40" t="n">
        <f aca="false">($D$25+$D$26*F67)*F58</f>
        <v>0.6</v>
      </c>
      <c r="G97" s="40" t="n">
        <f aca="false">($D$25+$D$26*G67)*G58</f>
        <v>0.945</v>
      </c>
      <c r="H97" s="40" t="n">
        <f aca="false">($D$25+$D$26*H67)*H58</f>
        <v>0.99225</v>
      </c>
      <c r="I97" s="40" t="n">
        <f aca="false">($D$25+$D$26*I67)*I58</f>
        <v>1.0418625</v>
      </c>
      <c r="J97" s="40" t="n">
        <f aca="false">($D$25+$D$26*J67)*J58</f>
        <v>1.093955625</v>
      </c>
      <c r="K97" s="51" t="n">
        <f aca="false">SUM(F97:J97)</f>
        <v>4.673068125</v>
      </c>
      <c r="L97" s="49" t="s">
        <v>657</v>
      </c>
    </row>
    <row r="98" customFormat="false" ht="15" hidden="false" customHeight="false" outlineLevel="0" collapsed="false">
      <c r="A98" s="20" t="n">
        <v>89</v>
      </c>
      <c r="B98" s="6" t="s">
        <v>658</v>
      </c>
      <c r="C98" s="20" t="s">
        <v>71</v>
      </c>
      <c r="D98" s="23"/>
      <c r="E98" s="23"/>
      <c r="F98" s="40" t="n">
        <f aca="false">($D$27+$D$28*F77)*F58</f>
        <v>1.2</v>
      </c>
      <c r="G98" s="40" t="n">
        <f aca="false">($D$27+$D$28*G77)*G58</f>
        <v>1.344</v>
      </c>
      <c r="H98" s="40" t="n">
        <f aca="false">($D$27+$D$28*H77)*H58</f>
        <v>1.4553</v>
      </c>
      <c r="I98" s="40" t="n">
        <f aca="false">($D$27+$D$28*I77)*I58</f>
        <v>1.528065</v>
      </c>
      <c r="J98" s="40" t="n">
        <f aca="false">($D$27+$D$28*J77)*J58</f>
        <v>1.60446825</v>
      </c>
      <c r="K98" s="51" t="n">
        <f aca="false">SUM(F98:J98)</f>
        <v>7.13183325</v>
      </c>
      <c r="L98" s="49" t="s">
        <v>659</v>
      </c>
    </row>
    <row r="99" customFormat="false" ht="15" hidden="false" customHeight="false" outlineLevel="0" collapsed="false">
      <c r="A99" s="20" t="n">
        <v>90</v>
      </c>
      <c r="B99" s="6" t="s">
        <v>660</v>
      </c>
      <c r="C99" s="20" t="s">
        <v>71</v>
      </c>
      <c r="D99" s="23"/>
      <c r="E99" s="23"/>
      <c r="F99" s="40" t="n">
        <f aca="false">$D$29*F78*F58</f>
        <v>0.125</v>
      </c>
      <c r="G99" s="40" t="n">
        <f aca="false">$D$29*G78*G58</f>
        <v>0.2625</v>
      </c>
      <c r="H99" s="40" t="n">
        <f aca="false">$D$29*H78*H58</f>
        <v>0.1378125</v>
      </c>
      <c r="I99" s="40" t="n">
        <f aca="false">$D$29*I78*I58</f>
        <v>0</v>
      </c>
      <c r="J99" s="40" t="n">
        <f aca="false">$D$29*J78*J58</f>
        <v>0</v>
      </c>
      <c r="K99" s="51" t="n">
        <f aca="false">SUM(F99:J99)</f>
        <v>0.5253125</v>
      </c>
      <c r="L99" s="49" t="s">
        <v>661</v>
      </c>
    </row>
    <row r="100" customFormat="false" ht="15" hidden="false" customHeight="false" outlineLevel="0" collapsed="false">
      <c r="A100" s="20" t="n">
        <v>91</v>
      </c>
      <c r="B100" s="6" t="s">
        <v>570</v>
      </c>
      <c r="C100" s="20" t="s">
        <v>71</v>
      </c>
      <c r="D100" s="23"/>
      <c r="E100" s="23"/>
      <c r="F100" s="40" t="n">
        <f aca="false">IF(F$56=$F$56,$D$30,0)</f>
        <v>0.3</v>
      </c>
      <c r="G100" s="40" t="n">
        <f aca="false">IF(G$56=$F$56,$D$30,0)</f>
        <v>0</v>
      </c>
      <c r="H100" s="40" t="n">
        <f aca="false">IF(H$56=$F$56,$D$30,0)</f>
        <v>0</v>
      </c>
      <c r="I100" s="40" t="n">
        <f aca="false">IF(I$56=$F$56,$D$30,0)</f>
        <v>0</v>
      </c>
      <c r="J100" s="40" t="n">
        <f aca="false">IF(J$56=$F$56,$D$30,0)</f>
        <v>0</v>
      </c>
      <c r="K100" s="51" t="n">
        <f aca="false">SUM(F100:J100)</f>
        <v>0.3</v>
      </c>
      <c r="L100" s="49" t="s">
        <v>662</v>
      </c>
    </row>
    <row r="101" customFormat="false" ht="15" hidden="false" customHeight="false" outlineLevel="0" collapsed="false">
      <c r="A101" s="20" t="n">
        <v>92</v>
      </c>
      <c r="B101" s="6" t="s">
        <v>663</v>
      </c>
      <c r="C101" s="20" t="s">
        <v>71</v>
      </c>
      <c r="D101" s="23"/>
      <c r="E101" s="23"/>
      <c r="F101" s="40" t="n">
        <f aca="false">F91+F92+F94+F95+F96+F97+F98+F99+F100</f>
        <v>10.04436</v>
      </c>
      <c r="G101" s="40" t="n">
        <f aca="false">G91+G92+G94+G95+G96+G97+G98+G99+G100</f>
        <v>18.3129690144</v>
      </c>
      <c r="H101" s="40" t="n">
        <f aca="false">H91+H92+H94+H95+H96+H97+H98+H99+H100</f>
        <v>19.195116363552</v>
      </c>
      <c r="I101" s="40" t="n">
        <f aca="false">I91+I92+I94+I95+I96+I97+I98+I99+I100</f>
        <v>20.2992771187162</v>
      </c>
      <c r="J101" s="40" t="n">
        <f aca="false">J91+J92+J94+J95+J96+J97+J98+J99+J100</f>
        <v>21.6236699105191</v>
      </c>
      <c r="K101" s="51" t="n">
        <f aca="false">SUM(F101:J101)</f>
        <v>89.4753924071872</v>
      </c>
      <c r="L101" s="49"/>
    </row>
    <row r="102" customFormat="false" ht="15" hidden="false" customHeight="false" outlineLevel="0" collapsed="false">
      <c r="A102" s="20" t="n">
        <v>93</v>
      </c>
      <c r="B102" s="6" t="s">
        <v>329</v>
      </c>
      <c r="C102" s="20" t="s">
        <v>71</v>
      </c>
      <c r="D102" s="23"/>
      <c r="E102" s="23"/>
      <c r="F102" s="40" t="n">
        <f aca="false">F101*$D$32</f>
        <v>1.004436</v>
      </c>
      <c r="G102" s="40" t="n">
        <f aca="false">G101*$D$32</f>
        <v>1.83129690144</v>
      </c>
      <c r="H102" s="40" t="n">
        <f aca="false">H101*$D$32</f>
        <v>1.9195116363552</v>
      </c>
      <c r="I102" s="40" t="n">
        <f aca="false">I101*$D$32</f>
        <v>2.02992771187162</v>
      </c>
      <c r="J102" s="40" t="n">
        <f aca="false">J101*$D$32</f>
        <v>2.16236699105191</v>
      </c>
      <c r="K102" s="51" t="n">
        <f aca="false">SUM(F102:J102)</f>
        <v>8.94753924071872</v>
      </c>
      <c r="L102" s="49"/>
    </row>
    <row r="103" customFormat="false" ht="15" hidden="false" customHeight="false" outlineLevel="0" collapsed="false">
      <c r="A103" s="20" t="n">
        <v>94</v>
      </c>
      <c r="B103" s="6" t="s">
        <v>664</v>
      </c>
      <c r="C103" s="20" t="s">
        <v>71</v>
      </c>
      <c r="D103" s="23"/>
      <c r="E103" s="23"/>
      <c r="F103" s="40" t="n">
        <f aca="false">F101+F102</f>
        <v>11.048796</v>
      </c>
      <c r="G103" s="40" t="n">
        <f aca="false">G101+G102</f>
        <v>20.14426591584</v>
      </c>
      <c r="H103" s="40" t="n">
        <f aca="false">H101+H102</f>
        <v>21.1146279999072</v>
      </c>
      <c r="I103" s="40" t="n">
        <f aca="false">I101+I102</f>
        <v>22.3292048305878</v>
      </c>
      <c r="J103" s="40" t="n">
        <f aca="false">J101+J102</f>
        <v>23.786036901571</v>
      </c>
      <c r="K103" s="51" t="n">
        <f aca="false">SUM(F103:J103)</f>
        <v>98.4229316479059</v>
      </c>
      <c r="L103" s="49"/>
    </row>
    <row r="104" customFormat="false" ht="15" hidden="false" customHeight="false" outlineLevel="0" collapsed="false">
      <c r="A104" s="19" t="s">
        <v>665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customFormat="false" ht="15" hidden="false" customHeight="false" outlineLevel="0" collapsed="false">
      <c r="A105" s="20" t="n">
        <v>95</v>
      </c>
      <c r="B105" s="6" t="s">
        <v>666</v>
      </c>
      <c r="C105" s="20" t="s">
        <v>71</v>
      </c>
      <c r="D105" s="23"/>
      <c r="E105" s="23"/>
      <c r="F105" s="40" t="n">
        <f aca="false">F74-F103</f>
        <v>-11.048796</v>
      </c>
      <c r="G105" s="40" t="n">
        <f aca="false">G74-G103</f>
        <v>-13.90426591584</v>
      </c>
      <c r="H105" s="40" t="n">
        <f aca="false">H74-H103</f>
        <v>-12.3536679999072</v>
      </c>
      <c r="I105" s="40" t="n">
        <f aca="false">I74-I103</f>
        <v>-12.0296688305878</v>
      </c>
      <c r="J105" s="40" t="n">
        <f aca="false">J74-J103</f>
        <v>-11.838856357571</v>
      </c>
      <c r="K105" s="51" t="n">
        <f aca="false">SUM(F105:J105)</f>
        <v>-61.1752551039059</v>
      </c>
      <c r="L105" s="49" t="s">
        <v>667</v>
      </c>
    </row>
    <row r="106" customFormat="false" ht="15" hidden="false" customHeight="false" outlineLevel="0" collapsed="false">
      <c r="A106" s="20" t="n">
        <v>96</v>
      </c>
      <c r="B106" s="6" t="s">
        <v>668</v>
      </c>
      <c r="C106" s="20" t="s">
        <v>68</v>
      </c>
      <c r="D106" s="23"/>
      <c r="E106" s="23"/>
      <c r="F106" s="44" t="n">
        <f aca="false">IF(F74&gt;0,F105/F74,0)</f>
        <v>0</v>
      </c>
      <c r="G106" s="44" t="n">
        <f aca="false">IF(G74&gt;0,G105/G74,0)</f>
        <v>-2.22824774292308</v>
      </c>
      <c r="H106" s="44" t="n">
        <f aca="false">IF(H74&gt;0,H105/H74,0)</f>
        <v>-1.41008154356454</v>
      </c>
      <c r="I106" s="44" t="n">
        <f aca="false">IF(I74&gt;0,I105/I74,0)</f>
        <v>-1.16798162854985</v>
      </c>
      <c r="J106" s="44" t="n">
        <f aca="false">IF(J74&gt;0,J105/J74,0)</f>
        <v>-0.990933075295037</v>
      </c>
      <c r="K106" s="23"/>
      <c r="L106" s="49"/>
    </row>
    <row r="107" customFormat="false" ht="15" hidden="false" customHeight="false" outlineLevel="0" collapsed="false">
      <c r="A107" s="20" t="n">
        <v>97</v>
      </c>
      <c r="B107" s="6" t="s">
        <v>669</v>
      </c>
      <c r="C107" s="20" t="s">
        <v>71</v>
      </c>
      <c r="D107" s="23"/>
      <c r="E107" s="23"/>
      <c r="F107" s="40" t="n">
        <f aca="false">E111</f>
        <v>0</v>
      </c>
      <c r="G107" s="40" t="n">
        <f aca="false">F111</f>
        <v>11.048796</v>
      </c>
      <c r="H107" s="40" t="n">
        <f aca="false">G111</f>
        <v>24.95306191584</v>
      </c>
      <c r="I107" s="40" t="n">
        <f aca="false">H111</f>
        <v>37.3067299157472</v>
      </c>
      <c r="J107" s="40" t="n">
        <f aca="false">I111</f>
        <v>49.336398746335</v>
      </c>
      <c r="K107" s="23"/>
      <c r="L107" s="49"/>
    </row>
    <row r="108" customFormat="false" ht="15" hidden="false" customHeight="false" outlineLevel="0" collapsed="false">
      <c r="A108" s="20" t="n">
        <v>98</v>
      </c>
      <c r="B108" s="6" t="s">
        <v>670</v>
      </c>
      <c r="C108" s="20" t="s">
        <v>71</v>
      </c>
      <c r="D108" s="23"/>
      <c r="E108" s="23"/>
      <c r="F108" s="40" t="n">
        <f aca="false">MIN(F107,MAX(0,F105)*$D$34)</f>
        <v>0</v>
      </c>
      <c r="G108" s="40" t="n">
        <f aca="false">MIN(G107,MAX(0,G105)*$D$34)</f>
        <v>0</v>
      </c>
      <c r="H108" s="40" t="n">
        <f aca="false">MIN(H107,MAX(0,H105)*$D$34)</f>
        <v>0</v>
      </c>
      <c r="I108" s="40" t="n">
        <f aca="false">MIN(I107,MAX(0,I105)*$D$34)</f>
        <v>0</v>
      </c>
      <c r="J108" s="40" t="n">
        <f aca="false">MIN(J107,MAX(0,J105)*$D$34)</f>
        <v>0</v>
      </c>
      <c r="K108" s="23"/>
      <c r="L108" s="49" t="s">
        <v>671</v>
      </c>
    </row>
    <row r="109" customFormat="false" ht="15" hidden="false" customHeight="false" outlineLevel="0" collapsed="false">
      <c r="A109" s="20" t="n">
        <v>99</v>
      </c>
      <c r="B109" s="6" t="s">
        <v>672</v>
      </c>
      <c r="C109" s="20" t="s">
        <v>71</v>
      </c>
      <c r="D109" s="23"/>
      <c r="E109" s="23"/>
      <c r="F109" s="40" t="n">
        <f aca="false">MAX(0,F105)-F108</f>
        <v>0</v>
      </c>
      <c r="G109" s="40" t="n">
        <f aca="false">MAX(0,G105)-G108</f>
        <v>0</v>
      </c>
      <c r="H109" s="40" t="n">
        <f aca="false">MAX(0,H105)-H108</f>
        <v>0</v>
      </c>
      <c r="I109" s="40" t="n">
        <f aca="false">MAX(0,I105)-I108</f>
        <v>0</v>
      </c>
      <c r="J109" s="40" t="n">
        <f aca="false">MAX(0,J105)-J108</f>
        <v>0</v>
      </c>
      <c r="K109" s="23"/>
      <c r="L109" s="49"/>
    </row>
    <row r="110" customFormat="false" ht="15" hidden="false" customHeight="false" outlineLevel="0" collapsed="false">
      <c r="A110" s="20" t="n">
        <v>100</v>
      </c>
      <c r="B110" s="6" t="s">
        <v>572</v>
      </c>
      <c r="C110" s="20" t="s">
        <v>71</v>
      </c>
      <c r="D110" s="23"/>
      <c r="E110" s="23"/>
      <c r="F110" s="40" t="n">
        <f aca="false">F109*$D$33</f>
        <v>0</v>
      </c>
      <c r="G110" s="40" t="n">
        <f aca="false">G109*$D$33</f>
        <v>0</v>
      </c>
      <c r="H110" s="40" t="n">
        <f aca="false">H109*$D$33</f>
        <v>0</v>
      </c>
      <c r="I110" s="40" t="n">
        <f aca="false">I109*$D$33</f>
        <v>0</v>
      </c>
      <c r="J110" s="40" t="n">
        <f aca="false">J109*$D$33</f>
        <v>0</v>
      </c>
      <c r="K110" s="51" t="n">
        <f aca="false">SUM(F110:J110)</f>
        <v>0</v>
      </c>
      <c r="L110" s="49"/>
    </row>
    <row r="111" customFormat="false" ht="15" hidden="false" customHeight="false" outlineLevel="0" collapsed="false">
      <c r="A111" s="20" t="n">
        <v>101</v>
      </c>
      <c r="B111" s="6" t="s">
        <v>673</v>
      </c>
      <c r="C111" s="20" t="s">
        <v>71</v>
      </c>
      <c r="D111" s="23"/>
      <c r="E111" s="40" t="n">
        <f aca="false">0</f>
        <v>0</v>
      </c>
      <c r="F111" s="40" t="n">
        <f aca="false">F107-F108+MAX(0,-F105)</f>
        <v>11.048796</v>
      </c>
      <c r="G111" s="40" t="n">
        <f aca="false">G107-G108+MAX(0,-G105)</f>
        <v>24.95306191584</v>
      </c>
      <c r="H111" s="40" t="n">
        <f aca="false">H107-H108+MAX(0,-H105)</f>
        <v>37.3067299157472</v>
      </c>
      <c r="I111" s="40" t="n">
        <f aca="false">I107-I108+MAX(0,-I105)</f>
        <v>49.336398746335</v>
      </c>
      <c r="J111" s="40" t="n">
        <f aca="false">J107-J108+MAX(0,-J105)</f>
        <v>61.1752551039059</v>
      </c>
      <c r="K111" s="23"/>
      <c r="L111" s="49"/>
    </row>
    <row r="112" customFormat="false" ht="15" hidden="false" customHeight="false" outlineLevel="0" collapsed="false">
      <c r="A112" s="20" t="n">
        <v>102</v>
      </c>
      <c r="B112" s="6" t="s">
        <v>674</v>
      </c>
      <c r="C112" s="20" t="s">
        <v>71</v>
      </c>
      <c r="D112" s="23"/>
      <c r="E112" s="23"/>
      <c r="F112" s="40" t="n">
        <f aca="false">F105-F110</f>
        <v>-11.048796</v>
      </c>
      <c r="G112" s="40" t="n">
        <f aca="false">G105-G110</f>
        <v>-13.90426591584</v>
      </c>
      <c r="H112" s="40" t="n">
        <f aca="false">H105-H110</f>
        <v>-12.3536679999072</v>
      </c>
      <c r="I112" s="40" t="n">
        <f aca="false">I105-I110</f>
        <v>-12.0296688305878</v>
      </c>
      <c r="J112" s="40" t="n">
        <f aca="false">J105-J110</f>
        <v>-11.838856357571</v>
      </c>
      <c r="K112" s="51" t="n">
        <f aca="false">SUM(F112:J112)</f>
        <v>-61.1752551039059</v>
      </c>
      <c r="L112" s="49"/>
    </row>
    <row r="113" customFormat="false" ht="15" hidden="false" customHeight="false" outlineLevel="0" collapsed="false">
      <c r="A113" s="19" t="s">
        <v>675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customFormat="false" ht="15" hidden="false" customHeight="false" outlineLevel="0" collapsed="false">
      <c r="A114" s="20" t="n">
        <v>103</v>
      </c>
      <c r="B114" s="6" t="s">
        <v>676</v>
      </c>
      <c r="C114" s="20" t="s">
        <v>71</v>
      </c>
      <c r="D114" s="23"/>
      <c r="E114" s="40" t="n">
        <f aca="false">0</f>
        <v>0</v>
      </c>
      <c r="F114" s="40" t="n">
        <f aca="false">F74*$D$35/365</f>
        <v>0</v>
      </c>
      <c r="G114" s="40" t="n">
        <f aca="false">G74*$D$35/365</f>
        <v>2.05150684931507</v>
      </c>
      <c r="H114" s="40" t="n">
        <f aca="false">H74*$D$35/365</f>
        <v>2.88031561643836</v>
      </c>
      <c r="I114" s="40" t="n">
        <f aca="false">I74*$D$35/365</f>
        <v>3.38614882191781</v>
      </c>
      <c r="J114" s="40" t="n">
        <f aca="false">J74*$D$35/365</f>
        <v>3.92784017884932</v>
      </c>
      <c r="K114" s="23"/>
      <c r="L114" s="49" t="s">
        <v>677</v>
      </c>
    </row>
    <row r="115" customFormat="false" ht="15" hidden="false" customHeight="false" outlineLevel="0" collapsed="false">
      <c r="A115" s="20" t="n">
        <v>104</v>
      </c>
      <c r="B115" s="6" t="s">
        <v>678</v>
      </c>
      <c r="C115" s="20" t="s">
        <v>71</v>
      </c>
      <c r="D115" s="23"/>
      <c r="E115" s="23"/>
      <c r="F115" s="40" t="n">
        <f aca="false">F114-E114</f>
        <v>0</v>
      </c>
      <c r="G115" s="40" t="n">
        <f aca="false">G114-F114</f>
        <v>2.05150684931507</v>
      </c>
      <c r="H115" s="40" t="n">
        <f aca="false">H114-G114</f>
        <v>0.828808767123288</v>
      </c>
      <c r="I115" s="40" t="n">
        <f aca="false">I114-H114</f>
        <v>0.505833205479452</v>
      </c>
      <c r="J115" s="40" t="n">
        <f aca="false">J114-I114</f>
        <v>0.541691356931508</v>
      </c>
      <c r="K115" s="51" t="n">
        <f aca="false">SUM(F115:J115)</f>
        <v>3.92784017884932</v>
      </c>
      <c r="L115" s="49"/>
    </row>
    <row r="116" customFormat="false" ht="15" hidden="false" customHeight="false" outlineLevel="0" collapsed="false">
      <c r="A116" s="20" t="n">
        <v>105</v>
      </c>
      <c r="B116" s="6" t="s">
        <v>679</v>
      </c>
      <c r="C116" s="20" t="s">
        <v>71</v>
      </c>
      <c r="D116" s="23"/>
      <c r="E116" s="23"/>
      <c r="F116" s="40" t="n">
        <f aca="false">F112-F115</f>
        <v>-11.048796</v>
      </c>
      <c r="G116" s="40" t="n">
        <f aca="false">G112-G115</f>
        <v>-15.9557727651551</v>
      </c>
      <c r="H116" s="40" t="n">
        <f aca="false">H112-H115</f>
        <v>-13.1824767670305</v>
      </c>
      <c r="I116" s="40" t="n">
        <f aca="false">I112-I115</f>
        <v>-12.5355020360672</v>
      </c>
      <c r="J116" s="40" t="n">
        <f aca="false">J112-J115</f>
        <v>-12.3805477145025</v>
      </c>
      <c r="K116" s="51" t="n">
        <f aca="false">SUM(F116:J116)</f>
        <v>-65.1030952827553</v>
      </c>
      <c r="L116" s="49" t="s">
        <v>680</v>
      </c>
    </row>
    <row r="117" customFormat="false" ht="15" hidden="false" customHeight="false" outlineLevel="0" collapsed="false">
      <c r="A117" s="20" t="n">
        <v>106</v>
      </c>
      <c r="B117" s="6" t="s">
        <v>93</v>
      </c>
      <c r="C117" s="20" t="s">
        <v>71</v>
      </c>
      <c r="D117" s="23"/>
      <c r="E117" s="40" t="n">
        <f aca="false">0</f>
        <v>0</v>
      </c>
      <c r="F117" s="40" t="n">
        <f aca="false">E117+F116</f>
        <v>-11.048796</v>
      </c>
      <c r="G117" s="40" t="n">
        <f aca="false">F117+G116</f>
        <v>-27.0045687651551</v>
      </c>
      <c r="H117" s="40" t="n">
        <f aca="false">G117+H116</f>
        <v>-40.1870455321856</v>
      </c>
      <c r="I117" s="40" t="n">
        <f aca="false">H117+I116</f>
        <v>-52.7225475682528</v>
      </c>
      <c r="J117" s="40" t="n">
        <f aca="false">I117+J116</f>
        <v>-65.1030952827553</v>
      </c>
      <c r="K117" s="23"/>
      <c r="L117" s="49" t="s">
        <v>681</v>
      </c>
    </row>
    <row r="118" customFormat="false" ht="15" hidden="false" customHeight="false" outlineLevel="0" collapsed="false">
      <c r="A118" s="20" t="n">
        <v>107</v>
      </c>
      <c r="B118" s="6" t="s">
        <v>682</v>
      </c>
      <c r="C118" s="20"/>
      <c r="D118" s="23"/>
      <c r="E118" s="23"/>
      <c r="F118" s="53" t="n">
        <f aca="false">1/(1+$D$36)^(F$56-$E$56)</f>
        <v>0.769230769230769</v>
      </c>
      <c r="G118" s="53" t="n">
        <f aca="false">1/(1+$D$36)^(G$56-$E$56)</f>
        <v>0.591715976331361</v>
      </c>
      <c r="H118" s="53" t="n">
        <f aca="false">1/(1+$D$36)^(H$56-$E$56)</f>
        <v>0.455166135639508</v>
      </c>
      <c r="I118" s="53" t="n">
        <f aca="false">1/(1+$D$36)^(I$56-$E$56)</f>
        <v>0.350127796645776</v>
      </c>
      <c r="J118" s="53" t="n">
        <f aca="false">1/(1+$D$36)^(J$56-$E$56)</f>
        <v>0.269329074342904</v>
      </c>
      <c r="K118" s="23"/>
      <c r="L118" s="49" t="s">
        <v>683</v>
      </c>
    </row>
    <row r="119" customFormat="false" ht="15" hidden="false" customHeight="false" outlineLevel="0" collapsed="false">
      <c r="A119" s="20" t="n">
        <v>108</v>
      </c>
      <c r="B119" s="6" t="s">
        <v>684</v>
      </c>
      <c r="C119" s="20" t="s">
        <v>71</v>
      </c>
      <c r="D119" s="23"/>
      <c r="E119" s="23"/>
      <c r="F119" s="40" t="n">
        <f aca="false">F116*F118</f>
        <v>-8.49907384615385</v>
      </c>
      <c r="G119" s="40" t="n">
        <f aca="false">G116*G118</f>
        <v>-9.44128565985507</v>
      </c>
      <c r="H119" s="40" t="n">
        <f aca="false">H116*H118</f>
        <v>-6.00021700820687</v>
      </c>
      <c r="I119" s="40" t="n">
        <f aca="false">I116*I118</f>
        <v>-4.38902770773685</v>
      </c>
      <c r="J119" s="40" t="n">
        <f aca="false">J116*J118</f>
        <v>-3.33444145580511</v>
      </c>
      <c r="K119" s="51" t="n">
        <f aca="false">SUM(F119:J119)</f>
        <v>-31.6640456777577</v>
      </c>
      <c r="L119" s="49"/>
    </row>
    <row r="120" customFormat="false" ht="15" hidden="false" customHeight="false" outlineLevel="0" collapsed="false">
      <c r="A120" s="20" t="n">
        <v>109</v>
      </c>
      <c r="B120" s="6" t="s">
        <v>685</v>
      </c>
      <c r="C120" s="20" t="s">
        <v>71</v>
      </c>
      <c r="D120" s="23"/>
      <c r="E120" s="23"/>
      <c r="F120" s="40" t="n">
        <f aca="false">IF(F$56=$J$56,MAX(0,F116)*(1+$D$37)/($D$36-$D$37),0)</f>
        <v>0</v>
      </c>
      <c r="G120" s="40" t="n">
        <f aca="false">IF(G$56=$J$56,MAX(0,G116)*(1+$D$37)/($D$36-$D$37),0)</f>
        <v>0</v>
      </c>
      <c r="H120" s="40" t="n">
        <f aca="false">IF(H$56=$J$56,MAX(0,H116)*(1+$D$37)/($D$36-$D$37),0)</f>
        <v>0</v>
      </c>
      <c r="I120" s="40" t="n">
        <f aca="false">IF(I$56=$J$56,MAX(0,I116)*(1+$D$37)/($D$36-$D$37),0)</f>
        <v>0</v>
      </c>
      <c r="J120" s="40" t="n">
        <f aca="false">IF(J$56=$J$56,MAX(0,J116)*(1+$D$37)/($D$36-$D$37),0)</f>
        <v>0</v>
      </c>
      <c r="K120" s="23"/>
      <c r="L120" s="49" t="s">
        <v>686</v>
      </c>
    </row>
    <row r="121" customFormat="false" ht="15" hidden="false" customHeight="false" outlineLevel="0" collapsed="false">
      <c r="A121" s="20" t="n">
        <v>110</v>
      </c>
      <c r="B121" s="6" t="s">
        <v>687</v>
      </c>
      <c r="C121" s="20" t="s">
        <v>71</v>
      </c>
      <c r="D121" s="23"/>
      <c r="E121" s="23"/>
      <c r="F121" s="40" t="n">
        <f aca="false">F120*F118</f>
        <v>0</v>
      </c>
      <c r="G121" s="40" t="n">
        <f aca="false">G120*G118</f>
        <v>0</v>
      </c>
      <c r="H121" s="40" t="n">
        <f aca="false">H120*H118</f>
        <v>0</v>
      </c>
      <c r="I121" s="40" t="n">
        <f aca="false">I120*I118</f>
        <v>0</v>
      </c>
      <c r="J121" s="40" t="n">
        <f aca="false">J120*J118</f>
        <v>0</v>
      </c>
      <c r="K121" s="51" t="n">
        <f aca="false">SUM(F121:J121)</f>
        <v>0</v>
      </c>
      <c r="L121" s="49"/>
    </row>
    <row r="122" customFormat="false" ht="15" hidden="false" customHeight="false" outlineLevel="0" collapsed="false">
      <c r="A122" s="20" t="n">
        <v>111</v>
      </c>
      <c r="B122" s="6" t="s">
        <v>688</v>
      </c>
      <c r="C122" s="20" t="s">
        <v>71</v>
      </c>
      <c r="D122" s="23"/>
      <c r="E122" s="23"/>
      <c r="F122" s="40" t="n">
        <f aca="false">F116+F120</f>
        <v>-11.048796</v>
      </c>
      <c r="G122" s="40" t="n">
        <f aca="false">G116+G120</f>
        <v>-15.9557727651551</v>
      </c>
      <c r="H122" s="40" t="n">
        <f aca="false">H116+H120</f>
        <v>-13.1824767670305</v>
      </c>
      <c r="I122" s="40" t="n">
        <f aca="false">I116+I120</f>
        <v>-12.5355020360672</v>
      </c>
      <c r="J122" s="40" t="n">
        <f aca="false">J116+J120</f>
        <v>-12.3805477145025</v>
      </c>
      <c r="K122" s="23"/>
      <c r="L122" s="49" t="s">
        <v>689</v>
      </c>
    </row>
    <row r="123" customFormat="false" ht="15" hidden="false" customHeight="false" outlineLevel="0" collapsed="false">
      <c r="A123" s="20" t="n">
        <v>112</v>
      </c>
      <c r="B123" s="6" t="s">
        <v>690</v>
      </c>
      <c r="C123" s="20"/>
      <c r="D123" s="23"/>
      <c r="E123" s="23"/>
      <c r="F123" s="52" t="str">
        <f aca="false">IF(AND(F105&gt;0,COUNTIF($F$105:F$105,"&gt;0")=1),F$56,"")</f>
        <v/>
      </c>
      <c r="G123" s="52" t="str">
        <f aca="false">IF(AND(G105&gt;0,COUNTIF($F$105:G$105,"&gt;0")=1),G$56,"")</f>
        <v/>
      </c>
      <c r="H123" s="52" t="str">
        <f aca="false">IF(AND(H105&gt;0,COUNTIF($F$105:H$105,"&gt;0")=1),H$56,"")</f>
        <v/>
      </c>
      <c r="I123" s="52" t="str">
        <f aca="false">IF(AND(I105&gt;0,COUNTIF($F$105:I$105,"&gt;0")=1),I$56,"")</f>
        <v/>
      </c>
      <c r="J123" s="52" t="str">
        <f aca="false">IF(AND(J105&gt;0,COUNTIF($F$105:J$105,"&gt;0")=1),J$56,"")</f>
        <v/>
      </c>
      <c r="K123" s="23"/>
      <c r="L123" s="49" t="s">
        <v>691</v>
      </c>
    </row>
    <row r="124" customFormat="false" ht="15" hidden="false" customHeight="false" outlineLevel="0" collapsed="false">
      <c r="A124" s="20" t="n">
        <v>113</v>
      </c>
      <c r="B124" s="6" t="s">
        <v>692</v>
      </c>
      <c r="C124" s="20"/>
      <c r="D124" s="23"/>
      <c r="E124" s="23"/>
      <c r="F124" s="52" t="str">
        <f aca="false">IF(AND(F117&gt;0,COUNTIF($F$117:F$117,"&gt;0")=1),F$56,"")</f>
        <v/>
      </c>
      <c r="G124" s="52" t="str">
        <f aca="false">IF(AND(G117&gt;0,COUNTIF($F$117:G$117,"&gt;0")=1),G$56,"")</f>
        <v/>
      </c>
      <c r="H124" s="52" t="str">
        <f aca="false">IF(AND(H117&gt;0,COUNTIF($F$117:H$117,"&gt;0")=1),H$56,"")</f>
        <v/>
      </c>
      <c r="I124" s="52" t="str">
        <f aca="false">IF(AND(I117&gt;0,COUNTIF($F$117:I$117,"&gt;0")=1),I$56,"")</f>
        <v/>
      </c>
      <c r="J124" s="52" t="str">
        <f aca="false">IF(AND(J117&gt;0,COUNTIF($F$117:J$117,"&gt;0")=1),J$56,"")</f>
        <v/>
      </c>
      <c r="K124" s="23"/>
      <c r="L124" s="49" t="s">
        <v>691</v>
      </c>
    </row>
    <row r="125" customFormat="false" ht="15" hidden="false" customHeight="false" outlineLevel="0" collapsed="false">
      <c r="A125" s="19" t="s">
        <v>693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customFormat="false" ht="15" hidden="false" customHeight="false" outlineLevel="0" collapsed="false">
      <c r="A126" s="20" t="n">
        <v>114</v>
      </c>
      <c r="B126" s="6" t="s">
        <v>70</v>
      </c>
      <c r="C126" s="20" t="s">
        <v>71</v>
      </c>
      <c r="D126" s="51" t="n">
        <f aca="false">SUM(F74:J74)</f>
        <v>37.247676544</v>
      </c>
      <c r="E126" s="23"/>
      <c r="F126" s="23"/>
      <c r="G126" s="23"/>
      <c r="H126" s="23"/>
      <c r="I126" s="23"/>
      <c r="J126" s="23"/>
      <c r="K126" s="23"/>
      <c r="L126" s="49"/>
    </row>
    <row r="127" customFormat="false" ht="15" hidden="false" customHeight="false" outlineLevel="0" collapsed="false">
      <c r="A127" s="20" t="n">
        <v>115</v>
      </c>
      <c r="B127" s="6" t="s">
        <v>694</v>
      </c>
      <c r="C127" s="20" t="s">
        <v>71</v>
      </c>
      <c r="D127" s="51" t="n">
        <f aca="false">J74</f>
        <v>11.947180544</v>
      </c>
      <c r="E127" s="23"/>
      <c r="F127" s="23"/>
      <c r="G127" s="23"/>
      <c r="H127" s="23"/>
      <c r="I127" s="23"/>
      <c r="J127" s="23"/>
      <c r="K127" s="23"/>
      <c r="L127" s="49"/>
    </row>
    <row r="128" customFormat="false" ht="15" hidden="false" customHeight="false" outlineLevel="0" collapsed="false">
      <c r="A128" s="20" t="n">
        <v>116</v>
      </c>
      <c r="B128" s="6" t="s">
        <v>695</v>
      </c>
      <c r="C128" s="20" t="s">
        <v>71</v>
      </c>
      <c r="D128" s="51" t="n">
        <f aca="false">J75</f>
        <v>11.428055808</v>
      </c>
      <c r="E128" s="23"/>
      <c r="F128" s="23"/>
      <c r="G128" s="23"/>
      <c r="H128" s="23"/>
      <c r="I128" s="23"/>
      <c r="J128" s="23"/>
      <c r="K128" s="23"/>
      <c r="L128" s="49"/>
    </row>
    <row r="129" customFormat="false" ht="15" hidden="false" customHeight="false" outlineLevel="0" collapsed="false">
      <c r="A129" s="20" t="n">
        <v>117</v>
      </c>
      <c r="B129" s="6" t="s">
        <v>696</v>
      </c>
      <c r="C129" s="20" t="s">
        <v>71</v>
      </c>
      <c r="D129" s="51" t="n">
        <f aca="false">J105</f>
        <v>-11.838856357571</v>
      </c>
      <c r="E129" s="23"/>
      <c r="F129" s="23"/>
      <c r="G129" s="23"/>
      <c r="H129" s="23"/>
      <c r="I129" s="23"/>
      <c r="J129" s="23"/>
      <c r="K129" s="23"/>
      <c r="L129" s="49"/>
    </row>
    <row r="130" customFormat="false" ht="15" hidden="false" customHeight="false" outlineLevel="0" collapsed="false">
      <c r="A130" s="20" t="n">
        <v>118</v>
      </c>
      <c r="B130" s="6" t="s">
        <v>697</v>
      </c>
      <c r="C130" s="20" t="s">
        <v>76</v>
      </c>
      <c r="D130" s="54" t="n">
        <f aca="false">J66</f>
        <v>4</v>
      </c>
      <c r="E130" s="23"/>
      <c r="F130" s="23"/>
      <c r="G130" s="23"/>
      <c r="H130" s="23"/>
      <c r="I130" s="23"/>
      <c r="J130" s="23"/>
      <c r="K130" s="23"/>
      <c r="L130" s="49"/>
    </row>
    <row r="131" customFormat="false" ht="15" hidden="false" customHeight="false" outlineLevel="0" collapsed="false">
      <c r="A131" s="20" t="n">
        <v>119</v>
      </c>
      <c r="B131" s="6" t="s">
        <v>698</v>
      </c>
      <c r="C131" s="20" t="s">
        <v>53</v>
      </c>
      <c r="D131" s="51" t="n">
        <f aca="false">J77</f>
        <v>4</v>
      </c>
      <c r="E131" s="23"/>
      <c r="F131" s="23"/>
      <c r="G131" s="23"/>
      <c r="H131" s="23"/>
      <c r="I131" s="23"/>
      <c r="J131" s="23"/>
      <c r="K131" s="23"/>
      <c r="L131" s="49"/>
    </row>
    <row r="132" customFormat="false" ht="15" hidden="false" customHeight="false" outlineLevel="0" collapsed="false">
      <c r="A132" s="20" t="n">
        <v>120</v>
      </c>
      <c r="B132" s="6" t="s">
        <v>699</v>
      </c>
      <c r="C132" s="20" t="s">
        <v>71</v>
      </c>
      <c r="D132" s="51" t="n">
        <f aca="false">MIN(0,MIN(F117:J117))</f>
        <v>-65.1030952827553</v>
      </c>
      <c r="E132" s="23"/>
      <c r="F132" s="23"/>
      <c r="G132" s="23"/>
      <c r="H132" s="23"/>
      <c r="I132" s="23"/>
      <c r="J132" s="23"/>
      <c r="K132" s="23"/>
      <c r="L132" s="49"/>
    </row>
    <row r="133" customFormat="false" ht="15" hidden="false" customHeight="false" outlineLevel="0" collapsed="false">
      <c r="A133" s="20" t="n">
        <v>121</v>
      </c>
      <c r="B133" s="6" t="s">
        <v>700</v>
      </c>
      <c r="C133" s="20" t="s">
        <v>71</v>
      </c>
      <c r="D133" s="51" t="n">
        <f aca="false">-$D$132*(1+$D$38)</f>
        <v>78.1237143393063</v>
      </c>
      <c r="E133" s="23"/>
      <c r="F133" s="23"/>
      <c r="G133" s="23"/>
      <c r="H133" s="23"/>
      <c r="I133" s="23"/>
      <c r="J133" s="23"/>
      <c r="K133" s="23"/>
      <c r="L133" s="49"/>
    </row>
    <row r="134" customFormat="false" ht="15" hidden="false" customHeight="false" outlineLevel="0" collapsed="false">
      <c r="A134" s="20" t="n">
        <v>122</v>
      </c>
      <c r="B134" s="6" t="s">
        <v>701</v>
      </c>
      <c r="C134" s="20" t="s">
        <v>71</v>
      </c>
      <c r="D134" s="51" t="n">
        <f aca="false">J117</f>
        <v>-65.1030952827553</v>
      </c>
      <c r="E134" s="23"/>
      <c r="F134" s="23"/>
      <c r="G134" s="23"/>
      <c r="H134" s="23"/>
      <c r="I134" s="23"/>
      <c r="J134" s="23"/>
      <c r="K134" s="23"/>
      <c r="L134" s="49"/>
    </row>
    <row r="135" customFormat="false" ht="15" hidden="false" customHeight="false" outlineLevel="0" collapsed="false">
      <c r="A135" s="20" t="n">
        <v>123</v>
      </c>
      <c r="B135" s="6" t="s">
        <v>702</v>
      </c>
      <c r="C135" s="20" t="s">
        <v>71</v>
      </c>
      <c r="D135" s="51" t="n">
        <f aca="false">SUM(F119:J119)</f>
        <v>-31.6640456777577</v>
      </c>
      <c r="E135" s="23"/>
      <c r="F135" s="23"/>
      <c r="G135" s="23"/>
      <c r="H135" s="23"/>
      <c r="I135" s="23"/>
      <c r="J135" s="23"/>
      <c r="K135" s="23"/>
      <c r="L135" s="49"/>
    </row>
    <row r="136" customFormat="false" ht="15" hidden="false" customHeight="false" outlineLevel="0" collapsed="false">
      <c r="A136" s="20" t="n">
        <v>124</v>
      </c>
      <c r="B136" s="6" t="s">
        <v>82</v>
      </c>
      <c r="C136" s="20" t="s">
        <v>71</v>
      </c>
      <c r="D136" s="51" t="n">
        <f aca="false">SUM(F119:J119)+SUM(F121:J121)</f>
        <v>-31.6640456777577</v>
      </c>
      <c r="E136" s="23"/>
      <c r="F136" s="23"/>
      <c r="G136" s="23"/>
      <c r="H136" s="23"/>
      <c r="I136" s="23"/>
      <c r="J136" s="23"/>
      <c r="K136" s="23"/>
      <c r="L136" s="49"/>
    </row>
    <row r="137" customFormat="false" ht="15" hidden="false" customHeight="false" outlineLevel="0" collapsed="false">
      <c r="A137" s="20" t="n">
        <v>125</v>
      </c>
      <c r="B137" s="6" t="s">
        <v>83</v>
      </c>
      <c r="C137" s="20" t="s">
        <v>68</v>
      </c>
      <c r="D137" s="55" t="str">
        <f aca="false">IFERROR(IRR(F122:J122),"н/д")</f>
        <v>н/д</v>
      </c>
      <c r="E137" s="23"/>
      <c r="F137" s="23"/>
      <c r="G137" s="23"/>
      <c r="H137" s="23"/>
      <c r="I137" s="23"/>
      <c r="J137" s="23"/>
      <c r="K137" s="23"/>
      <c r="L137" s="49"/>
    </row>
    <row r="138" customFormat="false" ht="15" hidden="false" customHeight="false" outlineLevel="0" collapsed="false">
      <c r="A138" s="20" t="n">
        <v>126</v>
      </c>
      <c r="B138" s="6" t="s">
        <v>13</v>
      </c>
      <c r="C138" s="20" t="s">
        <v>79</v>
      </c>
      <c r="D138" s="56" t="str">
        <f aca="false">IF(COUNT(F123:J123)=0,"после 2031",MIN(F123:J123))</f>
        <v>после 2031</v>
      </c>
      <c r="E138" s="23"/>
      <c r="F138" s="23"/>
      <c r="G138" s="23"/>
      <c r="H138" s="23"/>
      <c r="I138" s="23"/>
      <c r="J138" s="23"/>
      <c r="K138" s="23"/>
      <c r="L138" s="49"/>
    </row>
    <row r="139" customFormat="false" ht="15" hidden="false" customHeight="false" outlineLevel="0" collapsed="false">
      <c r="A139" s="20" t="n">
        <v>127</v>
      </c>
      <c r="B139" s="6" t="s">
        <v>703</v>
      </c>
      <c r="C139" s="20" t="s">
        <v>79</v>
      </c>
      <c r="D139" s="56" t="str">
        <f aca="false">IF(COUNT(F124:J124)=0,"после 2031",MIN(F124:J124))</f>
        <v>после 2031</v>
      </c>
      <c r="E139" s="23"/>
      <c r="F139" s="23"/>
      <c r="G139" s="23"/>
      <c r="H139" s="23"/>
      <c r="I139" s="23"/>
      <c r="J139" s="23"/>
      <c r="K139" s="23"/>
      <c r="L139" s="49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L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10" min="6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7" t="s">
        <v>704</v>
      </c>
    </row>
    <row r="2" customFormat="false" ht="15" hidden="false" customHeight="false" outlineLevel="0" collapsed="false">
      <c r="A2" s="18" t="s">
        <v>550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551</v>
      </c>
      <c r="E4" s="5" t="s">
        <v>356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552</v>
      </c>
      <c r="L4" s="5" t="s">
        <v>393</v>
      </c>
    </row>
    <row r="5" customFormat="false" ht="15" hidden="false" customHeight="false" outlineLevel="0" collapsed="false">
      <c r="A5" s="19" t="s">
        <v>553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customFormat="false" ht="15" hidden="false" customHeight="false" outlineLevel="0" collapsed="false">
      <c r="A6" s="20" t="n">
        <v>1</v>
      </c>
      <c r="B6" s="6" t="s">
        <v>554</v>
      </c>
      <c r="C6" s="20" t="s">
        <v>79</v>
      </c>
      <c r="D6" s="10" t="n">
        <f aca="false">Допущения!$E$49</f>
        <v>2027</v>
      </c>
      <c r="E6" s="23"/>
      <c r="F6" s="23"/>
      <c r="G6" s="23"/>
      <c r="H6" s="23"/>
      <c r="I6" s="23"/>
      <c r="J6" s="23"/>
      <c r="K6" s="23"/>
      <c r="L6" s="49"/>
    </row>
    <row r="7" customFormat="false" ht="15" hidden="false" customHeight="false" outlineLevel="0" collapsed="false">
      <c r="A7" s="20" t="n">
        <v>2</v>
      </c>
      <c r="B7" s="6" t="s">
        <v>555</v>
      </c>
      <c r="C7" s="20" t="s">
        <v>105</v>
      </c>
      <c r="D7" s="45" t="n">
        <f aca="false">Допущения!$E$7</f>
        <v>1.8</v>
      </c>
      <c r="E7" s="23"/>
      <c r="F7" s="23"/>
      <c r="G7" s="23"/>
      <c r="H7" s="23"/>
      <c r="I7" s="23"/>
      <c r="J7" s="23"/>
      <c r="K7" s="23"/>
      <c r="L7" s="49"/>
    </row>
    <row r="8" customFormat="false" ht="15" hidden="false" customHeight="false" outlineLevel="0" collapsed="false">
      <c r="A8" s="20" t="n">
        <v>3</v>
      </c>
      <c r="B8" s="6" t="s">
        <v>556</v>
      </c>
      <c r="C8" s="20" t="s">
        <v>55</v>
      </c>
      <c r="D8" s="9" t="n">
        <f aca="false">Допущения!$E$42</f>
        <v>6</v>
      </c>
      <c r="E8" s="23"/>
      <c r="F8" s="23"/>
      <c r="G8" s="23"/>
      <c r="H8" s="23"/>
      <c r="I8" s="23"/>
      <c r="J8" s="23"/>
      <c r="K8" s="23"/>
      <c r="L8" s="49"/>
    </row>
    <row r="9" customFormat="false" ht="15" hidden="false" customHeight="false" outlineLevel="0" collapsed="false">
      <c r="A9" s="20" t="n">
        <v>4</v>
      </c>
      <c r="B9" s="6" t="s">
        <v>557</v>
      </c>
      <c r="C9" s="20" t="s">
        <v>244</v>
      </c>
      <c r="D9" s="9" t="n">
        <f aca="false">Допущения!$E$43</f>
        <v>5</v>
      </c>
      <c r="E9" s="23"/>
      <c r="F9" s="23"/>
      <c r="G9" s="23"/>
      <c r="H9" s="23"/>
      <c r="I9" s="23"/>
      <c r="J9" s="23"/>
      <c r="K9" s="23"/>
      <c r="L9" s="49"/>
    </row>
    <row r="10" customFormat="false" ht="15" hidden="false" customHeight="false" outlineLevel="0" collapsed="false">
      <c r="A10" s="20" t="n">
        <v>5</v>
      </c>
      <c r="B10" s="6" t="s">
        <v>558</v>
      </c>
      <c r="C10" s="20" t="s">
        <v>55</v>
      </c>
      <c r="D10" s="9" t="n">
        <f aca="false">Допущения!$E$44</f>
        <v>1.5</v>
      </c>
      <c r="E10" s="23"/>
      <c r="F10" s="23"/>
      <c r="G10" s="23"/>
      <c r="H10" s="23"/>
      <c r="I10" s="23"/>
      <c r="J10" s="23"/>
      <c r="K10" s="23"/>
      <c r="L10" s="49"/>
    </row>
    <row r="11" customFormat="false" ht="15" hidden="false" customHeight="false" outlineLevel="0" collapsed="false">
      <c r="A11" s="20" t="n">
        <v>6</v>
      </c>
      <c r="B11" s="6" t="s">
        <v>559</v>
      </c>
      <c r="C11" s="20" t="s">
        <v>71</v>
      </c>
      <c r="D11" s="9" t="n">
        <f aca="false">Допущения!$E$45</f>
        <v>8</v>
      </c>
      <c r="E11" s="23"/>
      <c r="F11" s="23"/>
      <c r="G11" s="23"/>
      <c r="H11" s="23"/>
      <c r="I11" s="23"/>
      <c r="J11" s="23"/>
      <c r="K11" s="23"/>
      <c r="L11" s="49"/>
    </row>
    <row r="12" customFormat="false" ht="15" hidden="false" customHeight="false" outlineLevel="0" collapsed="false">
      <c r="A12" s="20" t="n">
        <v>7</v>
      </c>
      <c r="B12" s="6" t="s">
        <v>560</v>
      </c>
      <c r="C12" s="20" t="s">
        <v>71</v>
      </c>
      <c r="D12" s="9" t="n">
        <f aca="false">Допущения!$E$46</f>
        <v>2</v>
      </c>
      <c r="E12" s="23"/>
      <c r="F12" s="23"/>
      <c r="G12" s="23"/>
      <c r="H12" s="23"/>
      <c r="I12" s="23"/>
      <c r="J12" s="23"/>
      <c r="K12" s="23"/>
      <c r="L12" s="49"/>
    </row>
    <row r="13" customFormat="false" ht="15" hidden="false" customHeight="false" outlineLevel="0" collapsed="false">
      <c r="A13" s="20" t="n">
        <v>8</v>
      </c>
      <c r="B13" s="6" t="s">
        <v>260</v>
      </c>
      <c r="C13" s="20" t="s">
        <v>261</v>
      </c>
      <c r="D13" s="22" t="n">
        <f aca="false">Допущения!$E$47</f>
        <v>0.05</v>
      </c>
      <c r="E13" s="23"/>
      <c r="F13" s="23"/>
      <c r="G13" s="23"/>
      <c r="H13" s="23"/>
      <c r="I13" s="23"/>
      <c r="J13" s="23"/>
      <c r="K13" s="23"/>
      <c r="L13" s="49"/>
    </row>
    <row r="14" customFormat="false" ht="15" hidden="false" customHeight="false" outlineLevel="0" collapsed="false">
      <c r="A14" s="20" t="n">
        <v>9</v>
      </c>
      <c r="B14" s="6" t="s">
        <v>561</v>
      </c>
      <c r="C14" s="20" t="s">
        <v>261</v>
      </c>
      <c r="D14" s="22" t="n">
        <f aca="false">Допущения!$E$48</f>
        <v>0.15</v>
      </c>
      <c r="E14" s="23"/>
      <c r="F14" s="23"/>
      <c r="G14" s="23"/>
      <c r="H14" s="23"/>
      <c r="I14" s="23"/>
      <c r="J14" s="23"/>
      <c r="K14" s="23"/>
      <c r="L14" s="49"/>
    </row>
    <row r="15" customFormat="false" ht="15" hidden="false" customHeight="false" outlineLevel="0" collapsed="false">
      <c r="A15" s="20" t="n">
        <v>10</v>
      </c>
      <c r="B15" s="6" t="s">
        <v>274</v>
      </c>
      <c r="C15" s="20" t="s">
        <v>261</v>
      </c>
      <c r="D15" s="22" t="n">
        <f aca="false">Допущения!$E$51</f>
        <v>0.07</v>
      </c>
      <c r="E15" s="23"/>
      <c r="F15" s="23"/>
      <c r="G15" s="23"/>
      <c r="H15" s="23"/>
      <c r="I15" s="23"/>
      <c r="J15" s="23"/>
      <c r="K15" s="23"/>
      <c r="L15" s="49"/>
    </row>
    <row r="16" customFormat="false" ht="15" hidden="false" customHeight="false" outlineLevel="0" collapsed="false">
      <c r="A16" s="20" t="n">
        <v>11</v>
      </c>
      <c r="B16" s="6" t="s">
        <v>562</v>
      </c>
      <c r="C16" s="20" t="s">
        <v>68</v>
      </c>
      <c r="D16" s="22" t="n">
        <f aca="false">Допущения!$E$52</f>
        <v>0.15</v>
      </c>
      <c r="E16" s="23"/>
      <c r="F16" s="23"/>
      <c r="G16" s="23"/>
      <c r="H16" s="23"/>
      <c r="I16" s="23"/>
      <c r="J16" s="23"/>
      <c r="K16" s="23"/>
      <c r="L16" s="49"/>
    </row>
    <row r="17" customFormat="false" ht="15" hidden="false" customHeight="false" outlineLevel="0" collapsed="false">
      <c r="A17" s="20" t="n">
        <v>12</v>
      </c>
      <c r="B17" s="6" t="s">
        <v>563</v>
      </c>
      <c r="C17" s="20" t="s">
        <v>68</v>
      </c>
      <c r="D17" s="22" t="n">
        <f aca="false">Допущения!$E$53</f>
        <v>0.076</v>
      </c>
      <c r="E17" s="23"/>
      <c r="F17" s="23"/>
      <c r="G17" s="23"/>
      <c r="H17" s="23"/>
      <c r="I17" s="23"/>
      <c r="J17" s="23"/>
      <c r="K17" s="23"/>
      <c r="L17" s="49"/>
    </row>
    <row r="18" customFormat="false" ht="15" hidden="false" customHeight="false" outlineLevel="0" collapsed="false">
      <c r="A18" s="20" t="n">
        <v>13</v>
      </c>
      <c r="B18" s="6" t="s">
        <v>284</v>
      </c>
      <c r="C18" s="20" t="s">
        <v>68</v>
      </c>
      <c r="D18" s="22" t="n">
        <f aca="false">Допущения!$E$54</f>
        <v>0.002</v>
      </c>
      <c r="E18" s="23"/>
      <c r="F18" s="23"/>
      <c r="G18" s="23"/>
      <c r="H18" s="23"/>
      <c r="I18" s="23"/>
      <c r="J18" s="23"/>
      <c r="K18" s="23"/>
      <c r="L18" s="49"/>
    </row>
    <row r="19" customFormat="false" ht="15" hidden="false" customHeight="false" outlineLevel="0" collapsed="false">
      <c r="A19" s="20" t="n">
        <v>14</v>
      </c>
      <c r="B19" s="6" t="s">
        <v>564</v>
      </c>
      <c r="C19" s="20" t="s">
        <v>55</v>
      </c>
      <c r="D19" s="50" t="n">
        <f aca="false">Допущения!$E$55</f>
        <v>2.979</v>
      </c>
      <c r="E19" s="23"/>
      <c r="F19" s="23"/>
      <c r="G19" s="23"/>
      <c r="H19" s="23"/>
      <c r="I19" s="23"/>
      <c r="J19" s="23"/>
      <c r="K19" s="23"/>
      <c r="L19" s="49"/>
    </row>
    <row r="20" customFormat="false" ht="15" hidden="false" customHeight="false" outlineLevel="0" collapsed="false">
      <c r="A20" s="20" t="n">
        <v>15</v>
      </c>
      <c r="B20" s="6" t="s">
        <v>565</v>
      </c>
      <c r="C20" s="20" t="s">
        <v>261</v>
      </c>
      <c r="D20" s="22" t="n">
        <f aca="false">Допущения!$E$56</f>
        <v>0.08</v>
      </c>
      <c r="E20" s="23"/>
      <c r="F20" s="23"/>
      <c r="G20" s="23"/>
      <c r="H20" s="23"/>
      <c r="I20" s="23"/>
      <c r="J20" s="23"/>
      <c r="K20" s="23"/>
      <c r="L20" s="49"/>
    </row>
    <row r="21" customFormat="false" ht="15" hidden="false" customHeight="false" outlineLevel="0" collapsed="false">
      <c r="A21" s="20" t="n">
        <v>16</v>
      </c>
      <c r="B21" s="6" t="s">
        <v>566</v>
      </c>
      <c r="C21" s="20" t="s">
        <v>71</v>
      </c>
      <c r="D21" s="9" t="n">
        <f aca="false">Допущения!$E$58</f>
        <v>2.5</v>
      </c>
      <c r="E21" s="23"/>
      <c r="F21" s="23"/>
      <c r="G21" s="23"/>
      <c r="H21" s="23"/>
      <c r="I21" s="23"/>
      <c r="J21" s="23"/>
      <c r="K21" s="23"/>
      <c r="L21" s="49"/>
    </row>
    <row r="22" customFormat="false" ht="15" hidden="false" customHeight="false" outlineLevel="0" collapsed="false">
      <c r="A22" s="20" t="n">
        <v>17</v>
      </c>
      <c r="B22" s="6" t="s">
        <v>299</v>
      </c>
      <c r="C22" s="20" t="s">
        <v>55</v>
      </c>
      <c r="D22" s="9" t="n">
        <f aca="false">Допущения!$E$59</f>
        <v>1</v>
      </c>
      <c r="E22" s="23"/>
      <c r="F22" s="23"/>
      <c r="G22" s="23"/>
      <c r="H22" s="23"/>
      <c r="I22" s="23"/>
      <c r="J22" s="23"/>
      <c r="K22" s="23"/>
      <c r="L22" s="49"/>
    </row>
    <row r="23" customFormat="false" ht="15" hidden="false" customHeight="false" outlineLevel="0" collapsed="false">
      <c r="A23" s="20" t="n">
        <v>18</v>
      </c>
      <c r="B23" s="6" t="s">
        <v>302</v>
      </c>
      <c r="C23" s="20" t="s">
        <v>55</v>
      </c>
      <c r="D23" s="9" t="n">
        <f aca="false">Допущения!$E$60</f>
        <v>0.6</v>
      </c>
      <c r="E23" s="23"/>
      <c r="F23" s="23"/>
      <c r="G23" s="23"/>
      <c r="H23" s="23"/>
      <c r="I23" s="23"/>
      <c r="J23" s="23"/>
      <c r="K23" s="23"/>
      <c r="L23" s="49"/>
    </row>
    <row r="24" customFormat="false" ht="15" hidden="false" customHeight="false" outlineLevel="0" collapsed="false">
      <c r="A24" s="20" t="n">
        <v>19</v>
      </c>
      <c r="B24" s="6" t="s">
        <v>567</v>
      </c>
      <c r="C24" s="20" t="s">
        <v>55</v>
      </c>
      <c r="D24" s="45" t="n">
        <f aca="false">Допущения!$E$61</f>
        <v>0.15</v>
      </c>
      <c r="E24" s="23"/>
      <c r="F24" s="23"/>
      <c r="G24" s="23"/>
      <c r="H24" s="23"/>
      <c r="I24" s="23"/>
      <c r="J24" s="23"/>
      <c r="K24" s="23"/>
      <c r="L24" s="49"/>
    </row>
    <row r="25" customFormat="false" ht="15" hidden="false" customHeight="false" outlineLevel="0" collapsed="false">
      <c r="A25" s="20" t="n">
        <v>20</v>
      </c>
      <c r="B25" s="6" t="s">
        <v>568</v>
      </c>
      <c r="C25" s="20" t="s">
        <v>55</v>
      </c>
      <c r="D25" s="9" t="n">
        <f aca="false">Допущения!$E$62</f>
        <v>1</v>
      </c>
      <c r="E25" s="23"/>
      <c r="F25" s="23"/>
      <c r="G25" s="23"/>
      <c r="H25" s="23"/>
      <c r="I25" s="23"/>
      <c r="J25" s="23"/>
      <c r="K25" s="23"/>
      <c r="L25" s="49"/>
    </row>
    <row r="26" customFormat="false" ht="15" hidden="false" customHeight="false" outlineLevel="0" collapsed="false">
      <c r="A26" s="20" t="n">
        <v>21</v>
      </c>
      <c r="B26" s="6" t="s">
        <v>569</v>
      </c>
      <c r="C26" s="20" t="s">
        <v>71</v>
      </c>
      <c r="D26" s="9" t="n">
        <f aca="false">Допущения!$E$63</f>
        <v>0.4</v>
      </c>
      <c r="E26" s="23"/>
      <c r="F26" s="23"/>
      <c r="G26" s="23"/>
      <c r="H26" s="23"/>
      <c r="I26" s="23"/>
      <c r="J26" s="23"/>
      <c r="K26" s="23"/>
      <c r="L26" s="49"/>
    </row>
    <row r="27" customFormat="false" ht="15" hidden="false" customHeight="false" outlineLevel="0" collapsed="false">
      <c r="A27" s="20" t="n">
        <v>22</v>
      </c>
      <c r="B27" s="6" t="s">
        <v>314</v>
      </c>
      <c r="C27" s="20" t="s">
        <v>55</v>
      </c>
      <c r="D27" s="9" t="n">
        <f aca="false">Допущения!$E$64</f>
        <v>1.2</v>
      </c>
      <c r="E27" s="23"/>
      <c r="F27" s="23"/>
      <c r="G27" s="23"/>
      <c r="H27" s="23"/>
      <c r="I27" s="23"/>
      <c r="J27" s="23"/>
      <c r="K27" s="23"/>
      <c r="L27" s="49"/>
    </row>
    <row r="28" customFormat="false" ht="15" hidden="false" customHeight="false" outlineLevel="0" collapsed="false">
      <c r="A28" s="20" t="n">
        <v>23</v>
      </c>
      <c r="B28" s="6" t="s">
        <v>317</v>
      </c>
      <c r="C28" s="20" t="s">
        <v>55</v>
      </c>
      <c r="D28" s="45" t="n">
        <f aca="false">Допущения!$E$65</f>
        <v>0.1</v>
      </c>
      <c r="E28" s="23"/>
      <c r="F28" s="23"/>
      <c r="G28" s="23"/>
      <c r="H28" s="23"/>
      <c r="I28" s="23"/>
      <c r="J28" s="23"/>
      <c r="K28" s="23"/>
      <c r="L28" s="49"/>
    </row>
    <row r="29" customFormat="false" ht="15" hidden="false" customHeight="false" outlineLevel="0" collapsed="false">
      <c r="A29" s="20" t="n">
        <v>24</v>
      </c>
      <c r="B29" s="6" t="s">
        <v>320</v>
      </c>
      <c r="C29" s="20" t="s">
        <v>71</v>
      </c>
      <c r="D29" s="45" t="n">
        <f aca="false">Допущения!$E$66</f>
        <v>0.25</v>
      </c>
      <c r="E29" s="23"/>
      <c r="F29" s="23"/>
      <c r="G29" s="23"/>
      <c r="H29" s="23"/>
      <c r="I29" s="23"/>
      <c r="J29" s="23"/>
      <c r="K29" s="23"/>
      <c r="L29" s="49"/>
    </row>
    <row r="30" customFormat="false" ht="15" hidden="false" customHeight="false" outlineLevel="0" collapsed="false">
      <c r="A30" s="20" t="n">
        <v>25</v>
      </c>
      <c r="B30" s="6" t="s">
        <v>570</v>
      </c>
      <c r="C30" s="20" t="s">
        <v>71</v>
      </c>
      <c r="D30" s="9" t="n">
        <f aca="false">Допущения!$E$67</f>
        <v>0.3</v>
      </c>
      <c r="E30" s="23"/>
      <c r="F30" s="23"/>
      <c r="G30" s="23"/>
      <c r="H30" s="23"/>
      <c r="I30" s="23"/>
      <c r="J30" s="23"/>
      <c r="K30" s="23"/>
      <c r="L30" s="49"/>
    </row>
    <row r="31" customFormat="false" ht="15" hidden="false" customHeight="false" outlineLevel="0" collapsed="false">
      <c r="A31" s="20" t="n">
        <v>26</v>
      </c>
      <c r="B31" s="6" t="s">
        <v>326</v>
      </c>
      <c r="C31" s="20" t="s">
        <v>261</v>
      </c>
      <c r="D31" s="22" t="n">
        <f aca="false">Допущения!$E$68</f>
        <v>0.05</v>
      </c>
      <c r="E31" s="23"/>
      <c r="F31" s="23"/>
      <c r="G31" s="23"/>
      <c r="H31" s="23"/>
      <c r="I31" s="23"/>
      <c r="J31" s="23"/>
      <c r="K31" s="23"/>
      <c r="L31" s="49"/>
    </row>
    <row r="32" customFormat="false" ht="15" hidden="false" customHeight="false" outlineLevel="0" collapsed="false">
      <c r="A32" s="20" t="n">
        <v>27</v>
      </c>
      <c r="B32" s="6" t="s">
        <v>571</v>
      </c>
      <c r="C32" s="20" t="s">
        <v>330</v>
      </c>
      <c r="D32" s="22" t="n">
        <f aca="false">Допущения!$E$69</f>
        <v>0.1</v>
      </c>
      <c r="E32" s="23"/>
      <c r="F32" s="23"/>
      <c r="G32" s="23"/>
      <c r="H32" s="23"/>
      <c r="I32" s="23"/>
      <c r="J32" s="23"/>
      <c r="K32" s="23"/>
      <c r="L32" s="49"/>
    </row>
    <row r="33" customFormat="false" ht="15" hidden="false" customHeight="false" outlineLevel="0" collapsed="false">
      <c r="A33" s="20" t="n">
        <v>28</v>
      </c>
      <c r="B33" s="6" t="s">
        <v>572</v>
      </c>
      <c r="C33" s="20" t="s">
        <v>68</v>
      </c>
      <c r="D33" s="22" t="n">
        <f aca="false">Допущения!$E$71</f>
        <v>0.05</v>
      </c>
      <c r="E33" s="23"/>
      <c r="F33" s="23"/>
      <c r="G33" s="23"/>
      <c r="H33" s="23"/>
      <c r="I33" s="23"/>
      <c r="J33" s="23"/>
      <c r="K33" s="23"/>
      <c r="L33" s="49"/>
    </row>
    <row r="34" customFormat="false" ht="15" hidden="false" customHeight="false" outlineLevel="0" collapsed="false">
      <c r="A34" s="20" t="n">
        <v>29</v>
      </c>
      <c r="B34" s="6" t="s">
        <v>573</v>
      </c>
      <c r="C34" s="20" t="s">
        <v>68</v>
      </c>
      <c r="D34" s="22" t="n">
        <f aca="false">Допущения!$E$72</f>
        <v>0.5</v>
      </c>
      <c r="E34" s="23"/>
      <c r="F34" s="23"/>
      <c r="G34" s="23"/>
      <c r="H34" s="23"/>
      <c r="I34" s="23"/>
      <c r="J34" s="23"/>
      <c r="K34" s="23"/>
      <c r="L34" s="49"/>
    </row>
    <row r="35" customFormat="false" ht="15" hidden="false" customHeight="false" outlineLevel="0" collapsed="false">
      <c r="A35" s="20" t="n">
        <v>30</v>
      </c>
      <c r="B35" s="6" t="s">
        <v>574</v>
      </c>
      <c r="C35" s="20" t="s">
        <v>575</v>
      </c>
      <c r="D35" s="7" t="n">
        <f aca="false">Допущения!$E$73</f>
        <v>90</v>
      </c>
      <c r="E35" s="23"/>
      <c r="F35" s="23"/>
      <c r="G35" s="23"/>
      <c r="H35" s="23"/>
      <c r="I35" s="23"/>
      <c r="J35" s="23"/>
      <c r="K35" s="23"/>
      <c r="L35" s="49"/>
    </row>
    <row r="36" customFormat="false" ht="15" hidden="false" customHeight="false" outlineLevel="0" collapsed="false">
      <c r="A36" s="20" t="n">
        <v>31</v>
      </c>
      <c r="B36" s="6" t="s">
        <v>345</v>
      </c>
      <c r="C36" s="20" t="s">
        <v>68</v>
      </c>
      <c r="D36" s="22" t="n">
        <f aca="false">Допущения!$E$74</f>
        <v>0.3</v>
      </c>
      <c r="E36" s="23"/>
      <c r="F36" s="23"/>
      <c r="G36" s="23"/>
      <c r="H36" s="23"/>
      <c r="I36" s="23"/>
      <c r="J36" s="23"/>
      <c r="K36" s="23"/>
      <c r="L36" s="49"/>
    </row>
    <row r="37" customFormat="false" ht="15" hidden="false" customHeight="false" outlineLevel="0" collapsed="false">
      <c r="A37" s="20" t="n">
        <v>32</v>
      </c>
      <c r="B37" s="6" t="s">
        <v>576</v>
      </c>
      <c r="C37" s="20" t="s">
        <v>261</v>
      </c>
      <c r="D37" s="22" t="n">
        <f aca="false">Допущения!$E$75</f>
        <v>0.04</v>
      </c>
      <c r="E37" s="23"/>
      <c r="F37" s="23"/>
      <c r="G37" s="23"/>
      <c r="H37" s="23"/>
      <c r="I37" s="23"/>
      <c r="J37" s="23"/>
      <c r="K37" s="23"/>
      <c r="L37" s="49"/>
    </row>
    <row r="38" customFormat="false" ht="15" hidden="false" customHeight="false" outlineLevel="0" collapsed="false">
      <c r="A38" s="20" t="n">
        <v>33</v>
      </c>
      <c r="B38" s="6" t="s">
        <v>577</v>
      </c>
      <c r="C38" s="20" t="s">
        <v>68</v>
      </c>
      <c r="D38" s="22" t="n">
        <f aca="false">Допущения!$E$76</f>
        <v>0.2</v>
      </c>
      <c r="E38" s="23"/>
      <c r="F38" s="23"/>
      <c r="G38" s="23"/>
      <c r="H38" s="23"/>
      <c r="I38" s="23"/>
      <c r="J38" s="23"/>
      <c r="K38" s="23"/>
      <c r="L38" s="49"/>
    </row>
    <row r="39" customFormat="false" ht="15" hidden="false" customHeight="false" outlineLevel="0" collapsed="false">
      <c r="A39" s="20" t="n">
        <v>34</v>
      </c>
      <c r="B39" s="6" t="s">
        <v>578</v>
      </c>
      <c r="C39" s="20" t="s">
        <v>105</v>
      </c>
      <c r="D39" s="50" t="n">
        <f aca="false">Рынок!$E$30</f>
        <v>0.490909090909091</v>
      </c>
      <c r="E39" s="23"/>
      <c r="F39" s="23"/>
      <c r="G39" s="23"/>
      <c r="H39" s="23"/>
      <c r="I39" s="23"/>
      <c r="J39" s="23"/>
      <c r="K39" s="23"/>
      <c r="L39" s="49" t="s">
        <v>579</v>
      </c>
    </row>
    <row r="40" customFormat="false" ht="15" hidden="false" customHeight="false" outlineLevel="0" collapsed="false">
      <c r="A40" s="20" t="n">
        <v>35</v>
      </c>
      <c r="B40" s="6" t="s">
        <v>580</v>
      </c>
      <c r="C40" s="20" t="s">
        <v>105</v>
      </c>
      <c r="D40" s="50" t="n">
        <f aca="false">Рынок!$E$31</f>
        <v>0.028125</v>
      </c>
      <c r="E40" s="23"/>
      <c r="F40" s="23"/>
      <c r="G40" s="23"/>
      <c r="H40" s="23"/>
      <c r="I40" s="23"/>
      <c r="J40" s="23"/>
      <c r="K40" s="23"/>
      <c r="L40" s="49" t="s">
        <v>579</v>
      </c>
    </row>
    <row r="41" customFormat="false" ht="15" hidden="false" customHeight="false" outlineLevel="0" collapsed="false">
      <c r="A41" s="20" t="n">
        <v>36</v>
      </c>
      <c r="B41" s="6" t="s">
        <v>581</v>
      </c>
      <c r="C41" s="20" t="s">
        <v>142</v>
      </c>
      <c r="D41" s="7" t="n">
        <f aca="false">План!$D$18</f>
        <v>200</v>
      </c>
      <c r="E41" s="23"/>
      <c r="F41" s="23"/>
      <c r="G41" s="23"/>
      <c r="H41" s="23"/>
      <c r="I41" s="23"/>
      <c r="J41" s="23"/>
      <c r="K41" s="23"/>
      <c r="L41" s="49" t="s">
        <v>582</v>
      </c>
    </row>
    <row r="42" customFormat="false" ht="15" hidden="false" customHeight="false" outlineLevel="0" collapsed="false">
      <c r="A42" s="20" t="n">
        <v>37</v>
      </c>
      <c r="B42" s="6" t="s">
        <v>583</v>
      </c>
      <c r="C42" s="20" t="s">
        <v>142</v>
      </c>
      <c r="D42" s="7" t="n">
        <f aca="false">План!$D$19</f>
        <v>280</v>
      </c>
      <c r="E42" s="23"/>
      <c r="F42" s="23"/>
      <c r="G42" s="23"/>
      <c r="H42" s="23"/>
      <c r="I42" s="23"/>
      <c r="J42" s="23"/>
      <c r="K42" s="23"/>
      <c r="L42" s="49" t="s">
        <v>582</v>
      </c>
    </row>
    <row r="43" customFormat="false" ht="15" hidden="false" customHeight="false" outlineLevel="0" collapsed="false">
      <c r="A43" s="20" t="n">
        <v>38</v>
      </c>
      <c r="B43" s="6" t="s">
        <v>584</v>
      </c>
      <c r="C43" s="20" t="s">
        <v>142</v>
      </c>
      <c r="D43" s="7" t="n">
        <f aca="false">План!$D$20</f>
        <v>230</v>
      </c>
      <c r="E43" s="23"/>
      <c r="F43" s="23"/>
      <c r="G43" s="23"/>
      <c r="H43" s="23"/>
      <c r="I43" s="23"/>
      <c r="J43" s="23"/>
      <c r="K43" s="23"/>
      <c r="L43" s="49" t="s">
        <v>582</v>
      </c>
    </row>
    <row r="44" customFormat="false" ht="15" hidden="false" customHeight="false" outlineLevel="0" collapsed="false">
      <c r="A44" s="20" t="n">
        <v>39</v>
      </c>
      <c r="B44" s="6" t="s">
        <v>585</v>
      </c>
      <c r="C44" s="20" t="s">
        <v>142</v>
      </c>
      <c r="D44" s="7" t="n">
        <f aca="false">План!$D$21</f>
        <v>220</v>
      </c>
      <c r="E44" s="23"/>
      <c r="F44" s="23"/>
      <c r="G44" s="23"/>
      <c r="H44" s="23"/>
      <c r="I44" s="23"/>
      <c r="J44" s="23"/>
      <c r="K44" s="23"/>
      <c r="L44" s="49" t="s">
        <v>582</v>
      </c>
    </row>
    <row r="45" customFormat="false" ht="15" hidden="false" customHeight="false" outlineLevel="0" collapsed="false">
      <c r="A45" s="20" t="n">
        <v>40</v>
      </c>
      <c r="B45" s="6" t="s">
        <v>586</v>
      </c>
      <c r="C45" s="20" t="s">
        <v>142</v>
      </c>
      <c r="D45" s="7" t="n">
        <f aca="false">План!$D$22</f>
        <v>250</v>
      </c>
      <c r="E45" s="23"/>
      <c r="F45" s="23"/>
      <c r="G45" s="23"/>
      <c r="H45" s="23"/>
      <c r="I45" s="23"/>
      <c r="J45" s="23"/>
      <c r="K45" s="23"/>
      <c r="L45" s="49" t="s">
        <v>582</v>
      </c>
    </row>
    <row r="46" customFormat="false" ht="15" hidden="false" customHeight="false" outlineLevel="0" collapsed="false">
      <c r="A46" s="20" t="n">
        <v>41</v>
      </c>
      <c r="B46" s="6" t="s">
        <v>587</v>
      </c>
      <c r="C46" s="20" t="s">
        <v>142</v>
      </c>
      <c r="D46" s="7" t="n">
        <f aca="false">План!$D$23</f>
        <v>220</v>
      </c>
      <c r="E46" s="23"/>
      <c r="F46" s="23"/>
      <c r="G46" s="23"/>
      <c r="H46" s="23"/>
      <c r="I46" s="23"/>
      <c r="J46" s="23"/>
      <c r="K46" s="23"/>
      <c r="L46" s="49" t="s">
        <v>582</v>
      </c>
    </row>
    <row r="47" customFormat="false" ht="15" hidden="false" customHeight="false" outlineLevel="0" collapsed="false">
      <c r="A47" s="20" t="n">
        <v>42</v>
      </c>
      <c r="B47" s="6" t="s">
        <v>359</v>
      </c>
      <c r="C47" s="20" t="s">
        <v>76</v>
      </c>
      <c r="D47" s="23"/>
      <c r="E47" s="9" t="n">
        <f aca="false">План!E16</f>
        <v>0</v>
      </c>
      <c r="F47" s="9" t="n">
        <f aca="false">План!F16</f>
        <v>0</v>
      </c>
      <c r="G47" s="9" t="n">
        <f aca="false">План!G16</f>
        <v>0</v>
      </c>
      <c r="H47" s="9" t="n">
        <f aca="false">План!H16</f>
        <v>1</v>
      </c>
      <c r="I47" s="9" t="n">
        <f aca="false">План!I16</f>
        <v>0</v>
      </c>
      <c r="J47" s="9" t="n">
        <f aca="false">План!J16</f>
        <v>1</v>
      </c>
      <c r="K47" s="51" t="n">
        <f aca="false">SUM(F47:J47)</f>
        <v>2</v>
      </c>
      <c r="L47" s="49" t="s">
        <v>582</v>
      </c>
    </row>
    <row r="48" customFormat="false" ht="15" hidden="false" customHeight="false" outlineLevel="0" collapsed="false">
      <c r="A48" s="20" t="n">
        <v>43</v>
      </c>
      <c r="B48" s="6" t="s">
        <v>361</v>
      </c>
      <c r="C48" s="20" t="s">
        <v>76</v>
      </c>
      <c r="D48" s="23"/>
      <c r="E48" s="9" t="n">
        <f aca="false">План!E17</f>
        <v>0</v>
      </c>
      <c r="F48" s="9" t="n">
        <f aca="false">План!F17</f>
        <v>0</v>
      </c>
      <c r="G48" s="9" t="n">
        <f aca="false">План!G17</f>
        <v>1</v>
      </c>
      <c r="H48" s="9" t="n">
        <f aca="false">План!H17</f>
        <v>2</v>
      </c>
      <c r="I48" s="9" t="n">
        <f aca="false">План!I17</f>
        <v>2</v>
      </c>
      <c r="J48" s="9" t="n">
        <f aca="false">План!J17</f>
        <v>3</v>
      </c>
      <c r="K48" s="51" t="n">
        <f aca="false">SUM(F48:J48)</f>
        <v>8</v>
      </c>
      <c r="L48" s="49" t="s">
        <v>582</v>
      </c>
    </row>
    <row r="49" customFormat="false" ht="15" hidden="false" customHeight="false" outlineLevel="0" collapsed="false">
      <c r="A49" s="20" t="n">
        <v>44</v>
      </c>
      <c r="B49" s="6" t="s">
        <v>588</v>
      </c>
      <c r="C49" s="20" t="s">
        <v>53</v>
      </c>
      <c r="D49" s="23"/>
      <c r="E49" s="9" t="n">
        <f aca="false">План!E18</f>
        <v>2</v>
      </c>
      <c r="F49" s="9" t="n">
        <f aca="false">План!F18</f>
        <v>2</v>
      </c>
      <c r="G49" s="9" t="n">
        <f aca="false">План!G18</f>
        <v>2</v>
      </c>
      <c r="H49" s="9" t="n">
        <f aca="false">План!H18</f>
        <v>2</v>
      </c>
      <c r="I49" s="9" t="n">
        <f aca="false">План!I18</f>
        <v>2</v>
      </c>
      <c r="J49" s="9" t="n">
        <f aca="false">План!J18</f>
        <v>2</v>
      </c>
      <c r="K49" s="23"/>
      <c r="L49" s="49" t="s">
        <v>582</v>
      </c>
    </row>
    <row r="50" customFormat="false" ht="15" hidden="false" customHeight="false" outlineLevel="0" collapsed="false">
      <c r="A50" s="20" t="n">
        <v>45</v>
      </c>
      <c r="B50" s="6" t="s">
        <v>589</v>
      </c>
      <c r="C50" s="20" t="s">
        <v>53</v>
      </c>
      <c r="D50" s="23"/>
      <c r="E50" s="9" t="n">
        <f aca="false">План!E19</f>
        <v>0</v>
      </c>
      <c r="F50" s="9" t="n">
        <f aca="false">План!F19</f>
        <v>1</v>
      </c>
      <c r="G50" s="9" t="n">
        <f aca="false">План!G19</f>
        <v>1</v>
      </c>
      <c r="H50" s="9" t="n">
        <f aca="false">План!H19</f>
        <v>1</v>
      </c>
      <c r="I50" s="9" t="n">
        <f aca="false">План!I19</f>
        <v>2</v>
      </c>
      <c r="J50" s="9" t="n">
        <f aca="false">План!J19</f>
        <v>2</v>
      </c>
      <c r="K50" s="23"/>
      <c r="L50" s="49" t="s">
        <v>582</v>
      </c>
    </row>
    <row r="51" customFormat="false" ht="15" hidden="false" customHeight="false" outlineLevel="0" collapsed="false">
      <c r="A51" s="20" t="n">
        <v>46</v>
      </c>
      <c r="B51" s="6" t="s">
        <v>590</v>
      </c>
      <c r="C51" s="20" t="s">
        <v>53</v>
      </c>
      <c r="D51" s="23"/>
      <c r="E51" s="9" t="n">
        <f aca="false">План!E20</f>
        <v>0</v>
      </c>
      <c r="F51" s="9" t="n">
        <f aca="false">План!F20</f>
        <v>1</v>
      </c>
      <c r="G51" s="9" t="n">
        <f aca="false">План!G20</f>
        <v>1</v>
      </c>
      <c r="H51" s="9" t="n">
        <f aca="false">План!H20</f>
        <v>1</v>
      </c>
      <c r="I51" s="9" t="n">
        <f aca="false">План!I20</f>
        <v>1</v>
      </c>
      <c r="J51" s="9" t="n">
        <f aca="false">План!J20</f>
        <v>1</v>
      </c>
      <c r="K51" s="23"/>
      <c r="L51" s="49" t="s">
        <v>582</v>
      </c>
    </row>
    <row r="52" customFormat="false" ht="15" hidden="false" customHeight="false" outlineLevel="0" collapsed="false">
      <c r="A52" s="20" t="n">
        <v>47</v>
      </c>
      <c r="B52" s="6" t="s">
        <v>591</v>
      </c>
      <c r="C52" s="20" t="s">
        <v>53</v>
      </c>
      <c r="D52" s="23"/>
      <c r="E52" s="9" t="n">
        <f aca="false">План!E21</f>
        <v>0</v>
      </c>
      <c r="F52" s="9" t="n">
        <f aca="false">План!F21</f>
        <v>0</v>
      </c>
      <c r="G52" s="9" t="n">
        <f aca="false">План!G21</f>
        <v>1</v>
      </c>
      <c r="H52" s="9" t="n">
        <f aca="false">План!H21</f>
        <v>1</v>
      </c>
      <c r="I52" s="9" t="n">
        <f aca="false">План!I21</f>
        <v>1</v>
      </c>
      <c r="J52" s="9" t="n">
        <f aca="false">План!J21</f>
        <v>1</v>
      </c>
      <c r="K52" s="23"/>
      <c r="L52" s="49" t="s">
        <v>582</v>
      </c>
    </row>
    <row r="53" customFormat="false" ht="15" hidden="false" customHeight="false" outlineLevel="0" collapsed="false">
      <c r="A53" s="20" t="n">
        <v>48</v>
      </c>
      <c r="B53" s="6" t="s">
        <v>592</v>
      </c>
      <c r="C53" s="20" t="s">
        <v>53</v>
      </c>
      <c r="D53" s="23"/>
      <c r="E53" s="9" t="n">
        <f aca="false">План!E22</f>
        <v>0</v>
      </c>
      <c r="F53" s="9" t="n">
        <f aca="false">План!F22</f>
        <v>0</v>
      </c>
      <c r="G53" s="9" t="n">
        <f aca="false">План!G22</f>
        <v>0</v>
      </c>
      <c r="H53" s="9" t="n">
        <f aca="false">План!H22</f>
        <v>1</v>
      </c>
      <c r="I53" s="9" t="n">
        <f aca="false">План!I22</f>
        <v>1</v>
      </c>
      <c r="J53" s="9" t="n">
        <f aca="false">План!J22</f>
        <v>1</v>
      </c>
      <c r="K53" s="23"/>
      <c r="L53" s="49" t="s">
        <v>582</v>
      </c>
    </row>
    <row r="54" customFormat="false" ht="15" hidden="false" customHeight="false" outlineLevel="0" collapsed="false">
      <c r="A54" s="20" t="n">
        <v>49</v>
      </c>
      <c r="B54" s="6" t="s">
        <v>593</v>
      </c>
      <c r="C54" s="20" t="s">
        <v>53</v>
      </c>
      <c r="D54" s="23"/>
      <c r="E54" s="9" t="n">
        <f aca="false">План!E23</f>
        <v>0</v>
      </c>
      <c r="F54" s="9" t="n">
        <f aca="false">План!F23</f>
        <v>0</v>
      </c>
      <c r="G54" s="9" t="n">
        <f aca="false">План!G23</f>
        <v>0</v>
      </c>
      <c r="H54" s="9" t="n">
        <f aca="false">План!H23</f>
        <v>0</v>
      </c>
      <c r="I54" s="9" t="n">
        <f aca="false">План!I23</f>
        <v>0</v>
      </c>
      <c r="J54" s="9" t="n">
        <f aca="false">План!J23</f>
        <v>1</v>
      </c>
      <c r="K54" s="23"/>
      <c r="L54" s="49" t="s">
        <v>582</v>
      </c>
    </row>
    <row r="55" customFormat="false" ht="15" hidden="false" customHeight="false" outlineLevel="0" collapsed="false">
      <c r="A55" s="19" t="s">
        <v>594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false" outlineLevel="0" collapsed="false">
      <c r="A56" s="20" t="n">
        <v>50</v>
      </c>
      <c r="B56" s="6" t="s">
        <v>595</v>
      </c>
      <c r="C56" s="20"/>
      <c r="D56" s="23"/>
      <c r="E56" s="10" t="n">
        <f aca="false">Допущения!$D$3</f>
        <v>2026</v>
      </c>
      <c r="F56" s="52" t="n">
        <f aca="false">E56+1</f>
        <v>2027</v>
      </c>
      <c r="G56" s="52" t="n">
        <f aca="false">F56+1</f>
        <v>2028</v>
      </c>
      <c r="H56" s="52" t="n">
        <f aca="false">G56+1</f>
        <v>2029</v>
      </c>
      <c r="I56" s="52" t="n">
        <f aca="false">H56+1</f>
        <v>2030</v>
      </c>
      <c r="J56" s="52" t="n">
        <f aca="false">I56+1</f>
        <v>2031</v>
      </c>
      <c r="K56" s="23"/>
      <c r="L56" s="49" t="s">
        <v>596</v>
      </c>
    </row>
    <row r="57" customFormat="false" ht="15" hidden="false" customHeight="false" outlineLevel="0" collapsed="false">
      <c r="A57" s="20" t="n">
        <v>51</v>
      </c>
      <c r="B57" s="6" t="s">
        <v>597</v>
      </c>
      <c r="C57" s="20" t="s">
        <v>62</v>
      </c>
      <c r="D57" s="23"/>
      <c r="E57" s="23"/>
      <c r="F57" s="53" t="n">
        <f aca="false">(1+$D$13)^(F$56-$E$56-1)</f>
        <v>1</v>
      </c>
      <c r="G57" s="53" t="n">
        <f aca="false">(1+$D$13)^(G$56-$E$56-1)</f>
        <v>1.05</v>
      </c>
      <c r="H57" s="53" t="n">
        <f aca="false">(1+$D$13)^(H$56-$E$56-1)</f>
        <v>1.1025</v>
      </c>
      <c r="I57" s="53" t="n">
        <f aca="false">(1+$D$13)^(I$56-$E$56-1)</f>
        <v>1.157625</v>
      </c>
      <c r="J57" s="53" t="n">
        <f aca="false">(1+$D$13)^(J$56-$E$56-1)</f>
        <v>1.21550625</v>
      </c>
      <c r="K57" s="23"/>
      <c r="L57" s="49" t="s">
        <v>598</v>
      </c>
    </row>
    <row r="58" customFormat="false" ht="15" hidden="false" customHeight="false" outlineLevel="0" collapsed="false">
      <c r="A58" s="20" t="n">
        <v>52</v>
      </c>
      <c r="B58" s="6" t="s">
        <v>599</v>
      </c>
      <c r="C58" s="20" t="s">
        <v>62</v>
      </c>
      <c r="D58" s="23"/>
      <c r="E58" s="23"/>
      <c r="F58" s="53" t="n">
        <f aca="false">(1+$D$31)^(F$56-$E$56-1)</f>
        <v>1</v>
      </c>
      <c r="G58" s="53" t="n">
        <f aca="false">(1+$D$31)^(G$56-$E$56-1)</f>
        <v>1.05</v>
      </c>
      <c r="H58" s="53" t="n">
        <f aca="false">(1+$D$31)^(H$56-$E$56-1)</f>
        <v>1.1025</v>
      </c>
      <c r="I58" s="53" t="n">
        <f aca="false">(1+$D$31)^(I$56-$E$56-1)</f>
        <v>1.157625</v>
      </c>
      <c r="J58" s="53" t="n">
        <f aca="false">(1+$D$31)^(J$56-$E$56-1)</f>
        <v>1.21550625</v>
      </c>
      <c r="K58" s="23"/>
      <c r="L58" s="49" t="s">
        <v>600</v>
      </c>
    </row>
    <row r="59" customFormat="false" ht="15" hidden="false" customHeight="false" outlineLevel="0" collapsed="false">
      <c r="A59" s="20" t="n">
        <v>53</v>
      </c>
      <c r="B59" s="6" t="s">
        <v>601</v>
      </c>
      <c r="C59" s="20" t="s">
        <v>62</v>
      </c>
      <c r="D59" s="23"/>
      <c r="E59" s="23"/>
      <c r="F59" s="53" t="n">
        <f aca="false">(1+$D$15)^(F$56-$E$56-1)</f>
        <v>1</v>
      </c>
      <c r="G59" s="53" t="n">
        <f aca="false">(1+$D$15)^(G$56-$E$56-1)</f>
        <v>1.07</v>
      </c>
      <c r="H59" s="53" t="n">
        <f aca="false">(1+$D$15)^(H$56-$E$56-1)</f>
        <v>1.1449</v>
      </c>
      <c r="I59" s="53" t="n">
        <f aca="false">(1+$D$15)^(I$56-$E$56-1)</f>
        <v>1.225043</v>
      </c>
      <c r="J59" s="53" t="n">
        <f aca="false">(1+$D$15)^(J$56-$E$56-1)</f>
        <v>1.31079601</v>
      </c>
      <c r="K59" s="23"/>
      <c r="L59" s="49" t="s">
        <v>602</v>
      </c>
    </row>
    <row r="60" customFormat="false" ht="15" hidden="false" customHeight="false" outlineLevel="0" collapsed="false">
      <c r="A60" s="20" t="n">
        <v>54</v>
      </c>
      <c r="B60" s="6" t="s">
        <v>603</v>
      </c>
      <c r="C60" s="20" t="s">
        <v>55</v>
      </c>
      <c r="D60" s="23"/>
      <c r="E60" s="23"/>
      <c r="F60" s="46" t="n">
        <f aca="false">$D$19*(1+$D$20)^(F$56-$E$56)</f>
        <v>3.21732</v>
      </c>
      <c r="G60" s="46" t="n">
        <f aca="false">$D$19*(1+$D$20)^(G$56-$E$56)</f>
        <v>3.4747056</v>
      </c>
      <c r="H60" s="46" t="n">
        <f aca="false">$D$19*(1+$D$20)^(H$56-$E$56)</f>
        <v>3.752682048</v>
      </c>
      <c r="I60" s="46" t="n">
        <f aca="false">$D$19*(1+$D$20)^(I$56-$E$56)</f>
        <v>4.05289661184</v>
      </c>
      <c r="J60" s="46" t="n">
        <f aca="false">$D$19*(1+$D$20)^(J$56-$E$56)</f>
        <v>4.3771283407872</v>
      </c>
      <c r="K60" s="23"/>
      <c r="L60" s="49" t="s">
        <v>604</v>
      </c>
    </row>
    <row r="61" customFormat="false" ht="15" hidden="false" customHeight="false" outlineLevel="0" collapsed="false">
      <c r="A61" s="19" t="s">
        <v>605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customFormat="false" ht="15" hidden="false" customHeight="false" outlineLevel="0" collapsed="false">
      <c r="A62" s="20" t="n">
        <v>55</v>
      </c>
      <c r="B62" s="6" t="s">
        <v>606</v>
      </c>
      <c r="C62" s="20" t="s">
        <v>76</v>
      </c>
      <c r="D62" s="23"/>
      <c r="E62" s="23"/>
      <c r="F62" s="38" t="n">
        <f aca="false">IF(F$56=$D$6,1,0)</f>
        <v>1</v>
      </c>
      <c r="G62" s="38" t="n">
        <f aca="false">IF(G$56=$D$6,1,0)</f>
        <v>0</v>
      </c>
      <c r="H62" s="38" t="n">
        <f aca="false">IF(H$56=$D$6,1,0)</f>
        <v>0</v>
      </c>
      <c r="I62" s="38" t="n">
        <f aca="false">IF(I$56=$D$6,1,0)</f>
        <v>0</v>
      </c>
      <c r="J62" s="38" t="n">
        <f aca="false">IF(J$56=$D$6,1,0)</f>
        <v>0</v>
      </c>
      <c r="K62" s="23"/>
      <c r="L62" s="49" t="s">
        <v>607</v>
      </c>
    </row>
    <row r="63" customFormat="false" ht="15" hidden="false" customHeight="false" outlineLevel="0" collapsed="false">
      <c r="A63" s="20" t="n">
        <v>56</v>
      </c>
      <c r="B63" s="6" t="s">
        <v>608</v>
      </c>
      <c r="C63" s="20" t="s">
        <v>76</v>
      </c>
      <c r="D63" s="23"/>
      <c r="E63" s="38" t="n">
        <f aca="false">0</f>
        <v>0</v>
      </c>
      <c r="F63" s="38" t="n">
        <f aca="false">F62+F47</f>
        <v>1</v>
      </c>
      <c r="G63" s="38" t="n">
        <f aca="false">G62+G47</f>
        <v>0</v>
      </c>
      <c r="H63" s="38" t="n">
        <f aca="false">H62+H47</f>
        <v>1</v>
      </c>
      <c r="I63" s="38" t="n">
        <f aca="false">I62+I47</f>
        <v>0</v>
      </c>
      <c r="J63" s="38" t="n">
        <f aca="false">J62+J47</f>
        <v>1</v>
      </c>
      <c r="K63" s="54" t="n">
        <f aca="false">SUM(F63:J63)</f>
        <v>3</v>
      </c>
      <c r="L63" s="49" t="s">
        <v>609</v>
      </c>
    </row>
    <row r="64" customFormat="false" ht="15" hidden="false" customHeight="false" outlineLevel="0" collapsed="false">
      <c r="A64" s="20" t="n">
        <v>57</v>
      </c>
      <c r="B64" s="6" t="s">
        <v>610</v>
      </c>
      <c r="C64" s="20" t="s">
        <v>76</v>
      </c>
      <c r="D64" s="23"/>
      <c r="E64" s="38" t="n">
        <f aca="false">0</f>
        <v>0</v>
      </c>
      <c r="F64" s="38" t="n">
        <f aca="false">E64+F63</f>
        <v>1</v>
      </c>
      <c r="G64" s="38" t="n">
        <f aca="false">F64+G63</f>
        <v>1</v>
      </c>
      <c r="H64" s="38" t="n">
        <f aca="false">G64+H63</f>
        <v>2</v>
      </c>
      <c r="I64" s="38" t="n">
        <f aca="false">H64+I63</f>
        <v>2</v>
      </c>
      <c r="J64" s="38" t="n">
        <f aca="false">I64+J63</f>
        <v>3</v>
      </c>
      <c r="K64" s="23"/>
      <c r="L64" s="49" t="s">
        <v>611</v>
      </c>
    </row>
    <row r="65" customFormat="false" ht="15" hidden="false" customHeight="false" outlineLevel="0" collapsed="false">
      <c r="A65" s="20" t="n">
        <v>58</v>
      </c>
      <c r="B65" s="6" t="s">
        <v>612</v>
      </c>
      <c r="C65" s="20" t="s">
        <v>76</v>
      </c>
      <c r="D65" s="23"/>
      <c r="E65" s="38" t="n">
        <f aca="false">0</f>
        <v>0</v>
      </c>
      <c r="F65" s="38" t="n">
        <f aca="false">E65+F48</f>
        <v>0</v>
      </c>
      <c r="G65" s="38" t="n">
        <f aca="false">F65+G48</f>
        <v>1</v>
      </c>
      <c r="H65" s="38" t="n">
        <f aca="false">G65+H48</f>
        <v>3</v>
      </c>
      <c r="I65" s="38" t="n">
        <f aca="false">H65+I48</f>
        <v>5</v>
      </c>
      <c r="J65" s="38" t="n">
        <f aca="false">I65+J48</f>
        <v>8</v>
      </c>
      <c r="K65" s="23"/>
      <c r="L65" s="49" t="s">
        <v>611</v>
      </c>
    </row>
    <row r="66" customFormat="false" ht="15" hidden="false" customHeight="false" outlineLevel="0" collapsed="false">
      <c r="A66" s="20" t="n">
        <v>59</v>
      </c>
      <c r="B66" s="6" t="s">
        <v>613</v>
      </c>
      <c r="C66" s="20" t="s">
        <v>76</v>
      </c>
      <c r="D66" s="23"/>
      <c r="E66" s="38" t="n">
        <f aca="false">0</f>
        <v>0</v>
      </c>
      <c r="F66" s="38" t="n">
        <f aca="false">F64+F65</f>
        <v>1</v>
      </c>
      <c r="G66" s="38" t="n">
        <f aca="false">G64+G65</f>
        <v>2</v>
      </c>
      <c r="H66" s="38" t="n">
        <f aca="false">H64+H65</f>
        <v>5</v>
      </c>
      <c r="I66" s="38" t="n">
        <f aca="false">I64+I65</f>
        <v>7</v>
      </c>
      <c r="J66" s="38" t="n">
        <f aca="false">J64+J65</f>
        <v>11</v>
      </c>
      <c r="K66" s="23"/>
      <c r="L66" s="49" t="s">
        <v>614</v>
      </c>
    </row>
    <row r="67" customFormat="false" ht="15" hidden="false" customHeight="false" outlineLevel="0" collapsed="false">
      <c r="A67" s="20" t="n">
        <v>60</v>
      </c>
      <c r="B67" s="6" t="s">
        <v>615</v>
      </c>
      <c r="C67" s="20" t="s">
        <v>76</v>
      </c>
      <c r="D67" s="23"/>
      <c r="E67" s="23"/>
      <c r="F67" s="38" t="n">
        <f aca="false">F63+F48</f>
        <v>1</v>
      </c>
      <c r="G67" s="38" t="n">
        <f aca="false">G63+G48</f>
        <v>1</v>
      </c>
      <c r="H67" s="38" t="n">
        <f aca="false">H63+H48</f>
        <v>3</v>
      </c>
      <c r="I67" s="38" t="n">
        <f aca="false">I63+I48</f>
        <v>2</v>
      </c>
      <c r="J67" s="38" t="n">
        <f aca="false">J63+J48</f>
        <v>4</v>
      </c>
      <c r="K67" s="54" t="n">
        <f aca="false">SUM(F67:J67)</f>
        <v>11</v>
      </c>
      <c r="L67" s="49"/>
    </row>
    <row r="68" customFormat="false" ht="15" hidden="false" customHeight="false" outlineLevel="0" collapsed="false">
      <c r="A68" s="19" t="s">
        <v>616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15" hidden="false" customHeight="false" outlineLevel="0" collapsed="false">
      <c r="A69" s="20" t="n">
        <v>61</v>
      </c>
      <c r="B69" s="6" t="s">
        <v>617</v>
      </c>
      <c r="C69" s="20" t="s">
        <v>71</v>
      </c>
      <c r="D69" s="23"/>
      <c r="E69" s="23"/>
      <c r="F69" s="40" t="n">
        <f aca="false">IF(F$56&gt;$D$6,($D$8+$D$7*$D$9)*(1+$D$14)^(F$56-$D$6-1)*F57,0)</f>
        <v>0</v>
      </c>
      <c r="G69" s="40" t="n">
        <f aca="false">IF(G$56&gt;$D$6,($D$8+$D$7*$D$9)*(1+$D$14)^(G$56-$D$6-1)*G57,0)</f>
        <v>15.75</v>
      </c>
      <c r="H69" s="40" t="n">
        <f aca="false">IF(H$56&gt;$D$6,($D$8+$D$7*$D$9)*(1+$D$14)^(H$56-$D$6-1)*H57,0)</f>
        <v>19.018125</v>
      </c>
      <c r="I69" s="40" t="n">
        <f aca="false">IF(I$56&gt;$D$6,($D$8+$D$7*$D$9)*(1+$D$14)^(I$56-$D$6-1)*I57,0)</f>
        <v>22.9643859375</v>
      </c>
      <c r="J69" s="40" t="n">
        <f aca="false">IF(J$56&gt;$D$6,($D$8+$D$7*$D$9)*(1+$D$14)^(J$56-$D$6-1)*J57,0)</f>
        <v>27.7294960195313</v>
      </c>
      <c r="K69" s="51" t="n">
        <f aca="false">SUM(F69:J69)</f>
        <v>85.4620069570313</v>
      </c>
      <c r="L69" s="49" t="s">
        <v>618</v>
      </c>
    </row>
    <row r="70" customFormat="false" ht="15" hidden="false" customHeight="false" outlineLevel="0" collapsed="false">
      <c r="A70" s="20" t="n">
        <v>62</v>
      </c>
      <c r="B70" s="6" t="s">
        <v>619</v>
      </c>
      <c r="C70" s="20" t="s">
        <v>71</v>
      </c>
      <c r="D70" s="23"/>
      <c r="E70" s="23"/>
      <c r="F70" s="40" t="n">
        <f aca="false">($D$8+$D$39*$D$9)*F57*SUMPRODUCT($E$47:E$47,(1+$D$14)^(F$56-$E$56:E$56-1))</f>
        <v>0</v>
      </c>
      <c r="G70" s="40" t="n">
        <f aca="false">($D$8+$D$39*$D$9)*G57*SUMPRODUCT($E$47:F$47,(1+$D$14)^(G$56-$E$56:F$56-1))</f>
        <v>0</v>
      </c>
      <c r="H70" s="40" t="n">
        <f aca="false">($D$8+$D$39*$D$9)*H57*SUMPRODUCT($E$47:G$47,(1+$D$14)^(H$56-$E$56:G$56-1))</f>
        <v>0</v>
      </c>
      <c r="I70" s="40" t="n">
        <f aca="false">($D$8+$D$39*$D$9)*I57*SUMPRODUCT($E$47:H$47,(1+$D$14)^(I$56-$E$56:H$56-1))</f>
        <v>9.78719318181818</v>
      </c>
      <c r="J70" s="40" t="n">
        <f aca="false">($D$8+$D$39*$D$9)*J57*SUMPRODUCT($E$47:I$47,(1+$D$14)^(J$56-$E$56:I$56-1))</f>
        <v>11.8180357670455</v>
      </c>
      <c r="K70" s="51" t="n">
        <f aca="false">SUM(F70:J70)</f>
        <v>21.6052289488636</v>
      </c>
      <c r="L70" s="49" t="s">
        <v>620</v>
      </c>
    </row>
    <row r="71" customFormat="false" ht="15" hidden="false" customHeight="false" outlineLevel="0" collapsed="false">
      <c r="A71" s="20" t="n">
        <v>63</v>
      </c>
      <c r="B71" s="6" t="s">
        <v>621</v>
      </c>
      <c r="C71" s="20" t="s">
        <v>71</v>
      </c>
      <c r="D71" s="23"/>
      <c r="E71" s="23"/>
      <c r="F71" s="40" t="n">
        <f aca="false">($D$10+$D$40*$D$9)*F57*SUMPRODUCT($E$48:E$48,(1+$D$14)^(F$56-$E$56:E$56-1))</f>
        <v>0</v>
      </c>
      <c r="G71" s="40" t="n">
        <f aca="false">($D$10+$D$40*$D$9)*G57*SUMPRODUCT($E$48:F$48,(1+$D$14)^(G$56-$E$56:F$56-1))</f>
        <v>0</v>
      </c>
      <c r="H71" s="40" t="n">
        <f aca="false">($D$10+$D$40*$D$9)*H57*SUMPRODUCT($E$48:G$48,(1+$D$14)^(H$56-$E$56:G$56-1))</f>
        <v>1.8087890625</v>
      </c>
      <c r="I71" s="40" t="n">
        <f aca="false">($D$10+$D$40*$D$9)*I57*SUMPRODUCT($E$48:H$48,(1+$D$14)^(I$56-$E$56:H$56-1))</f>
        <v>5.98256982421875</v>
      </c>
      <c r="J71" s="40" t="n">
        <f aca="false">($D$10+$D$40*$D$9)*J57*SUMPRODUCT($E$48:I$48,(1+$D$14)^(J$56-$E$56:I$56-1))</f>
        <v>11.2123329455566</v>
      </c>
      <c r="K71" s="51" t="n">
        <f aca="false">SUM(F71:J71)</f>
        <v>19.0036918322754</v>
      </c>
      <c r="L71" s="49" t="s">
        <v>622</v>
      </c>
    </row>
    <row r="72" customFormat="false" ht="15" hidden="false" customHeight="false" outlineLevel="0" collapsed="false">
      <c r="A72" s="20" t="n">
        <v>64</v>
      </c>
      <c r="B72" s="6" t="s">
        <v>623</v>
      </c>
      <c r="C72" s="20" t="s">
        <v>71</v>
      </c>
      <c r="D72" s="23"/>
      <c r="E72" s="23"/>
      <c r="F72" s="40" t="n">
        <f aca="false">(F63*$D$11+F48*$D$12)*F57</f>
        <v>8</v>
      </c>
      <c r="G72" s="40" t="n">
        <f aca="false">(G63*$D$11+G48*$D$12)*G57</f>
        <v>2.1</v>
      </c>
      <c r="H72" s="40" t="n">
        <f aca="false">(H63*$D$11+H48*$D$12)*H57</f>
        <v>13.23</v>
      </c>
      <c r="I72" s="40" t="n">
        <f aca="false">(I63*$D$11+I48*$D$12)*I57</f>
        <v>4.6305</v>
      </c>
      <c r="J72" s="40" t="n">
        <f aca="false">(J63*$D$11+J48*$D$12)*J57</f>
        <v>17.0170875</v>
      </c>
      <c r="K72" s="51" t="n">
        <f aca="false">SUM(F72:J72)</f>
        <v>44.9775875</v>
      </c>
      <c r="L72" s="49" t="s">
        <v>624</v>
      </c>
    </row>
    <row r="73" customFormat="false" ht="15" hidden="false" customHeight="false" outlineLevel="0" collapsed="false">
      <c r="A73" s="20" t="n">
        <v>65</v>
      </c>
      <c r="B73" s="6" t="s">
        <v>625</v>
      </c>
      <c r="C73" s="20" t="s">
        <v>71</v>
      </c>
      <c r="D73" s="23"/>
      <c r="E73" s="23"/>
      <c r="F73" s="40" t="n">
        <f aca="false">F69+F70+F71</f>
        <v>0</v>
      </c>
      <c r="G73" s="40" t="n">
        <f aca="false">G69+G70+G71</f>
        <v>15.75</v>
      </c>
      <c r="H73" s="40" t="n">
        <f aca="false">H69+H70+H71</f>
        <v>20.8269140625</v>
      </c>
      <c r="I73" s="40" t="n">
        <f aca="false">I69+I70+I71</f>
        <v>38.7341489435369</v>
      </c>
      <c r="J73" s="40" t="n">
        <f aca="false">J69+J70+J71</f>
        <v>50.7598647321333</v>
      </c>
      <c r="K73" s="51" t="n">
        <f aca="false">SUM(F73:J73)</f>
        <v>126.07092773817</v>
      </c>
      <c r="L73" s="49"/>
    </row>
    <row r="74" customFormat="false" ht="15" hidden="false" customHeight="false" outlineLevel="0" collapsed="false">
      <c r="A74" s="20" t="n">
        <v>66</v>
      </c>
      <c r="B74" s="6" t="s">
        <v>91</v>
      </c>
      <c r="C74" s="20" t="s">
        <v>71</v>
      </c>
      <c r="D74" s="23"/>
      <c r="E74" s="23"/>
      <c r="F74" s="40" t="n">
        <f aca="false">F73+F72</f>
        <v>8</v>
      </c>
      <c r="G74" s="40" t="n">
        <f aca="false">G73+G72</f>
        <v>17.85</v>
      </c>
      <c r="H74" s="40" t="n">
        <f aca="false">H73+H72</f>
        <v>34.0569140625</v>
      </c>
      <c r="I74" s="40" t="n">
        <f aca="false">I73+I72</f>
        <v>43.3646489435369</v>
      </c>
      <c r="J74" s="40" t="n">
        <f aca="false">J73+J72</f>
        <v>67.7769522321333</v>
      </c>
      <c r="K74" s="51" t="n">
        <f aca="false">SUM(F74:J74)</f>
        <v>171.04851523817</v>
      </c>
      <c r="L74" s="49" t="s">
        <v>626</v>
      </c>
    </row>
    <row r="75" customFormat="false" ht="15" hidden="false" customHeight="false" outlineLevel="0" collapsed="false">
      <c r="A75" s="20" t="n">
        <v>67</v>
      </c>
      <c r="B75" s="6" t="s">
        <v>627</v>
      </c>
      <c r="C75" s="20" t="s">
        <v>55</v>
      </c>
      <c r="D75" s="23"/>
      <c r="E75" s="23"/>
      <c r="F75" s="40" t="n">
        <f aca="false">IF(F$56&gt;=$D$6,($D$8+$D$7*$D$9)*(1+$D$14)^(F$56-$D$6)*F57,0)+($D$8+$D$39*$D$9)*F57*SUMPRODUCT($E$47:F$47,(1+$D$14)^(F$56-$E$56:F$56))+($D$10+$D$40*$D$9)*F57*SUMPRODUCT($E$48:F$48,(1+$D$14)^(F$56-$E$56:F$56))</f>
        <v>15</v>
      </c>
      <c r="G75" s="40" t="n">
        <f aca="false">IF(G$56&gt;=$D$6,($D$8+$D$7*$D$9)*(1+$D$14)^(G$56-$D$6)*G57,0)+($D$8+$D$39*$D$9)*G57*SUMPRODUCT($E$47:G$47,(1+$D$14)^(G$56-$E$56:G$56))+($D$10+$D$40*$D$9)*G57*SUMPRODUCT($E$48:G$48,(1+$D$14)^(G$56-$E$56:G$56))</f>
        <v>19.83515625</v>
      </c>
      <c r="H75" s="40" t="n">
        <f aca="false">IF(H$56&gt;=$D$6,($D$8+$D$7*$D$9)*(1+$D$14)^(H$56-$D$6)*H57,0)+($D$8+$D$39*$D$9)*H57*SUMPRODUCT($E$47:H$47,(1+$D$14)^(H$56-$E$56:H$56))+($D$10+$D$40*$D$9)*H57*SUMPRODUCT($E$48:H$48,(1+$D$14)^(H$56-$E$56:H$56))</f>
        <v>36.8896656605114</v>
      </c>
      <c r="I75" s="40" t="n">
        <f aca="false">IF(I$56&gt;=$D$6,($D$8+$D$7*$D$9)*(1+$D$14)^(I$56-$D$6)*I57,0)+($D$8+$D$39*$D$9)*I57*SUMPRODUCT($E$47:I$47,(1+$D$14)^(I$56-$E$56:I$56))+($D$10+$D$40*$D$9)*I57*SUMPRODUCT($E$48:I$48,(1+$D$14)^(I$56-$E$56:I$56))</f>
        <v>48.3427283163175</v>
      </c>
      <c r="J75" s="40" t="n">
        <f aca="false">IF(J$56&gt;=$D$6,($D$8+$D$7*$D$9)*(1+$D$14)^(J$56-$D$6)*J57,0)+($D$8+$D$39*$D$9)*J57*SUMPRODUCT($E$47:J$47,(1+$D$14)^(J$56-$E$56:J$56))+($D$10+$D$40*$D$9)*J57*SUMPRODUCT($E$48:J$48,(1+$D$14)^(J$56-$E$56:J$56))</f>
        <v>74.6329671070812</v>
      </c>
      <c r="K75" s="23"/>
      <c r="L75" s="49" t="s">
        <v>628</v>
      </c>
    </row>
    <row r="76" customFormat="false" ht="15" hidden="false" customHeight="false" outlineLevel="0" collapsed="false">
      <c r="A76" s="19" t="s">
        <v>629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customFormat="false" ht="15" hidden="false" customHeight="false" outlineLevel="0" collapsed="false">
      <c r="A77" s="20" t="n">
        <v>68</v>
      </c>
      <c r="B77" s="6" t="s">
        <v>630</v>
      </c>
      <c r="C77" s="20" t="s">
        <v>53</v>
      </c>
      <c r="D77" s="23"/>
      <c r="E77" s="40" t="n">
        <f aca="false">E49+E50+E51+E52+E53+E54</f>
        <v>2</v>
      </c>
      <c r="F77" s="40" t="n">
        <f aca="false">F49+F50+F51+F52+F53+F54</f>
        <v>4</v>
      </c>
      <c r="G77" s="40" t="n">
        <f aca="false">G49+G50+G51+G52+G53+G54</f>
        <v>5</v>
      </c>
      <c r="H77" s="40" t="n">
        <f aca="false">H49+H50+H51+H52+H53+H54</f>
        <v>6</v>
      </c>
      <c r="I77" s="40" t="n">
        <f aca="false">I49+I50+I51+I52+I53+I54</f>
        <v>7</v>
      </c>
      <c r="J77" s="40" t="n">
        <f aca="false">J49+J50+J51+J52+J53+J54</f>
        <v>8</v>
      </c>
      <c r="K77" s="23"/>
      <c r="L77" s="49" t="s">
        <v>631</v>
      </c>
    </row>
    <row r="78" customFormat="false" ht="15" hidden="false" customHeight="false" outlineLevel="0" collapsed="false">
      <c r="A78" s="20" t="n">
        <v>69</v>
      </c>
      <c r="B78" s="6" t="s">
        <v>632</v>
      </c>
      <c r="C78" s="20" t="s">
        <v>53</v>
      </c>
      <c r="D78" s="23"/>
      <c r="E78" s="23"/>
      <c r="F78" s="40" t="n">
        <f aca="false">MAX(0,F77-E77)</f>
        <v>2</v>
      </c>
      <c r="G78" s="40" t="n">
        <f aca="false">MAX(0,G77-F77)</f>
        <v>1</v>
      </c>
      <c r="H78" s="40" t="n">
        <f aca="false">MAX(0,H77-G77)</f>
        <v>1</v>
      </c>
      <c r="I78" s="40" t="n">
        <f aca="false">MAX(0,I77-H77)</f>
        <v>1</v>
      </c>
      <c r="J78" s="40" t="n">
        <f aca="false">MAX(0,J77-I77)</f>
        <v>1</v>
      </c>
      <c r="K78" s="23"/>
      <c r="L78" s="49" t="s">
        <v>633</v>
      </c>
    </row>
    <row r="79" customFormat="false" ht="15" hidden="false" customHeight="false" outlineLevel="0" collapsed="false">
      <c r="A79" s="20" t="n">
        <v>70</v>
      </c>
      <c r="B79" s="6" t="s">
        <v>634</v>
      </c>
      <c r="C79" s="20" t="s">
        <v>71</v>
      </c>
      <c r="D79" s="23"/>
      <c r="E79" s="23"/>
      <c r="F79" s="41" t="n">
        <f aca="false">$D$41*12/1000*F59</f>
        <v>2.4</v>
      </c>
      <c r="G79" s="41" t="n">
        <f aca="false">$D$41*12/1000*G59</f>
        <v>2.568</v>
      </c>
      <c r="H79" s="41" t="n">
        <f aca="false">$D$41*12/1000*H59</f>
        <v>2.74776</v>
      </c>
      <c r="I79" s="41" t="n">
        <f aca="false">$D$41*12/1000*I59</f>
        <v>2.9401032</v>
      </c>
      <c r="J79" s="41" t="n">
        <f aca="false">$D$41*12/1000*J59</f>
        <v>3.145910424</v>
      </c>
      <c r="K79" s="23"/>
      <c r="L79" s="49" t="s">
        <v>635</v>
      </c>
    </row>
    <row r="80" customFormat="false" ht="15" hidden="false" customHeight="false" outlineLevel="0" collapsed="false">
      <c r="A80" s="20" t="n">
        <v>71</v>
      </c>
      <c r="B80" s="6" t="s">
        <v>636</v>
      </c>
      <c r="C80" s="20" t="s">
        <v>71</v>
      </c>
      <c r="D80" s="23"/>
      <c r="E80" s="23"/>
      <c r="F80" s="41" t="n">
        <f aca="false">$D$42*12/1000*F59</f>
        <v>3.36</v>
      </c>
      <c r="G80" s="41" t="n">
        <f aca="false">$D$42*12/1000*G59</f>
        <v>3.5952</v>
      </c>
      <c r="H80" s="41" t="n">
        <f aca="false">$D$42*12/1000*H59</f>
        <v>3.846864</v>
      </c>
      <c r="I80" s="41" t="n">
        <f aca="false">$D$42*12/1000*I59</f>
        <v>4.11614448</v>
      </c>
      <c r="J80" s="41" t="n">
        <f aca="false">$D$42*12/1000*J59</f>
        <v>4.4042745936</v>
      </c>
      <c r="K80" s="23"/>
      <c r="L80" s="49" t="s">
        <v>635</v>
      </c>
    </row>
    <row r="81" customFormat="false" ht="15" hidden="false" customHeight="false" outlineLevel="0" collapsed="false">
      <c r="A81" s="20" t="n">
        <v>72</v>
      </c>
      <c r="B81" s="6" t="s">
        <v>637</v>
      </c>
      <c r="C81" s="20" t="s">
        <v>71</v>
      </c>
      <c r="D81" s="23"/>
      <c r="E81" s="23"/>
      <c r="F81" s="41" t="n">
        <f aca="false">$D$43*12/1000*F59</f>
        <v>2.76</v>
      </c>
      <c r="G81" s="41" t="n">
        <f aca="false">$D$43*12/1000*G59</f>
        <v>2.9532</v>
      </c>
      <c r="H81" s="41" t="n">
        <f aca="false">$D$43*12/1000*H59</f>
        <v>3.159924</v>
      </c>
      <c r="I81" s="41" t="n">
        <f aca="false">$D$43*12/1000*I59</f>
        <v>3.38111868</v>
      </c>
      <c r="J81" s="41" t="n">
        <f aca="false">$D$43*12/1000*J59</f>
        <v>3.6177969876</v>
      </c>
      <c r="K81" s="23"/>
      <c r="L81" s="49" t="s">
        <v>635</v>
      </c>
    </row>
    <row r="82" customFormat="false" ht="15" hidden="false" customHeight="false" outlineLevel="0" collapsed="false">
      <c r="A82" s="20" t="n">
        <v>73</v>
      </c>
      <c r="B82" s="6" t="s">
        <v>638</v>
      </c>
      <c r="C82" s="20" t="s">
        <v>71</v>
      </c>
      <c r="D82" s="23"/>
      <c r="E82" s="23"/>
      <c r="F82" s="41" t="n">
        <f aca="false">$D$44*12/1000*F59</f>
        <v>2.64</v>
      </c>
      <c r="G82" s="41" t="n">
        <f aca="false">$D$44*12/1000*G59</f>
        <v>2.8248</v>
      </c>
      <c r="H82" s="41" t="n">
        <f aca="false">$D$44*12/1000*H59</f>
        <v>3.022536</v>
      </c>
      <c r="I82" s="41" t="n">
        <f aca="false">$D$44*12/1000*I59</f>
        <v>3.23411352</v>
      </c>
      <c r="J82" s="41" t="n">
        <f aca="false">$D$44*12/1000*J59</f>
        <v>3.4605014664</v>
      </c>
      <c r="K82" s="23"/>
      <c r="L82" s="49" t="s">
        <v>635</v>
      </c>
    </row>
    <row r="83" customFormat="false" ht="15" hidden="false" customHeight="false" outlineLevel="0" collapsed="false">
      <c r="A83" s="20" t="n">
        <v>74</v>
      </c>
      <c r="B83" s="6" t="s">
        <v>639</v>
      </c>
      <c r="C83" s="20" t="s">
        <v>71</v>
      </c>
      <c r="D83" s="23"/>
      <c r="E83" s="23"/>
      <c r="F83" s="41" t="n">
        <f aca="false">$D$45*12/1000*F59</f>
        <v>3</v>
      </c>
      <c r="G83" s="41" t="n">
        <f aca="false">$D$45*12/1000*G59</f>
        <v>3.21</v>
      </c>
      <c r="H83" s="41" t="n">
        <f aca="false">$D$45*12/1000*H59</f>
        <v>3.4347</v>
      </c>
      <c r="I83" s="41" t="n">
        <f aca="false">$D$45*12/1000*I59</f>
        <v>3.675129</v>
      </c>
      <c r="J83" s="41" t="n">
        <f aca="false">$D$45*12/1000*J59</f>
        <v>3.93238803</v>
      </c>
      <c r="K83" s="23"/>
      <c r="L83" s="49" t="s">
        <v>635</v>
      </c>
    </row>
    <row r="84" customFormat="false" ht="15" hidden="false" customHeight="false" outlineLevel="0" collapsed="false">
      <c r="A84" s="20" t="n">
        <v>75</v>
      </c>
      <c r="B84" s="6" t="s">
        <v>640</v>
      </c>
      <c r="C84" s="20" t="s">
        <v>71</v>
      </c>
      <c r="D84" s="23"/>
      <c r="E84" s="23"/>
      <c r="F84" s="41" t="n">
        <f aca="false">$D$46*12/1000*F59</f>
        <v>2.64</v>
      </c>
      <c r="G84" s="41" t="n">
        <f aca="false">$D$46*12/1000*G59</f>
        <v>2.8248</v>
      </c>
      <c r="H84" s="41" t="n">
        <f aca="false">$D$46*12/1000*H59</f>
        <v>3.022536</v>
      </c>
      <c r="I84" s="41" t="n">
        <f aca="false">$D$46*12/1000*I59</f>
        <v>3.23411352</v>
      </c>
      <c r="J84" s="41" t="n">
        <f aca="false">$D$46*12/1000*J59</f>
        <v>3.4605014664</v>
      </c>
      <c r="K84" s="23"/>
      <c r="L84" s="49" t="s">
        <v>635</v>
      </c>
    </row>
    <row r="85" customFormat="false" ht="15" hidden="false" customHeight="false" outlineLevel="0" collapsed="false">
      <c r="A85" s="20" t="n">
        <v>76</v>
      </c>
      <c r="B85" s="6" t="s">
        <v>641</v>
      </c>
      <c r="C85" s="20" t="s">
        <v>71</v>
      </c>
      <c r="D85" s="23"/>
      <c r="E85" s="23"/>
      <c r="F85" s="40" t="n">
        <f aca="false">F49*F79</f>
        <v>4.8</v>
      </c>
      <c r="G85" s="40" t="n">
        <f aca="false">G49*G79</f>
        <v>5.136</v>
      </c>
      <c r="H85" s="40" t="n">
        <f aca="false">H49*H79</f>
        <v>5.49552</v>
      </c>
      <c r="I85" s="40" t="n">
        <f aca="false">I49*I79</f>
        <v>5.8802064</v>
      </c>
      <c r="J85" s="40" t="n">
        <f aca="false">J49*J79</f>
        <v>6.291820848</v>
      </c>
      <c r="K85" s="51" t="n">
        <f aca="false">SUM(F85:J85)</f>
        <v>27.603547248</v>
      </c>
      <c r="L85" s="49" t="s">
        <v>642</v>
      </c>
    </row>
    <row r="86" customFormat="false" ht="15" hidden="false" customHeight="false" outlineLevel="0" collapsed="false">
      <c r="A86" s="20" t="n">
        <v>77</v>
      </c>
      <c r="B86" s="6" t="s">
        <v>643</v>
      </c>
      <c r="C86" s="20" t="s">
        <v>71</v>
      </c>
      <c r="D86" s="23"/>
      <c r="E86" s="23"/>
      <c r="F86" s="40" t="n">
        <f aca="false">F50*F80</f>
        <v>3.36</v>
      </c>
      <c r="G86" s="40" t="n">
        <f aca="false">G50*G80</f>
        <v>3.5952</v>
      </c>
      <c r="H86" s="40" t="n">
        <f aca="false">H50*H80</f>
        <v>3.846864</v>
      </c>
      <c r="I86" s="40" t="n">
        <f aca="false">I50*I80</f>
        <v>8.23228896</v>
      </c>
      <c r="J86" s="40" t="n">
        <f aca="false">J50*J80</f>
        <v>8.8085491872</v>
      </c>
      <c r="K86" s="51" t="n">
        <f aca="false">SUM(F86:J86)</f>
        <v>27.8429021472</v>
      </c>
      <c r="L86" s="49" t="s">
        <v>642</v>
      </c>
    </row>
    <row r="87" customFormat="false" ht="15" hidden="false" customHeight="false" outlineLevel="0" collapsed="false">
      <c r="A87" s="20" t="n">
        <v>78</v>
      </c>
      <c r="B87" s="6" t="s">
        <v>644</v>
      </c>
      <c r="C87" s="20" t="s">
        <v>71</v>
      </c>
      <c r="D87" s="23"/>
      <c r="E87" s="23"/>
      <c r="F87" s="40" t="n">
        <f aca="false">F51*F81</f>
        <v>2.76</v>
      </c>
      <c r="G87" s="40" t="n">
        <f aca="false">G51*G81</f>
        <v>2.9532</v>
      </c>
      <c r="H87" s="40" t="n">
        <f aca="false">H51*H81</f>
        <v>3.159924</v>
      </c>
      <c r="I87" s="40" t="n">
        <f aca="false">I51*I81</f>
        <v>3.38111868</v>
      </c>
      <c r="J87" s="40" t="n">
        <f aca="false">J51*J81</f>
        <v>3.6177969876</v>
      </c>
      <c r="K87" s="51" t="n">
        <f aca="false">SUM(F87:J87)</f>
        <v>15.8720396676</v>
      </c>
      <c r="L87" s="49" t="s">
        <v>642</v>
      </c>
    </row>
    <row r="88" customFormat="false" ht="15" hidden="false" customHeight="false" outlineLevel="0" collapsed="false">
      <c r="A88" s="20" t="n">
        <v>79</v>
      </c>
      <c r="B88" s="6" t="s">
        <v>645</v>
      </c>
      <c r="C88" s="20" t="s">
        <v>71</v>
      </c>
      <c r="D88" s="23"/>
      <c r="E88" s="23"/>
      <c r="F88" s="40" t="n">
        <f aca="false">F52*F82</f>
        <v>0</v>
      </c>
      <c r="G88" s="40" t="n">
        <f aca="false">G52*G82</f>
        <v>2.8248</v>
      </c>
      <c r="H88" s="40" t="n">
        <f aca="false">H52*H82</f>
        <v>3.022536</v>
      </c>
      <c r="I88" s="40" t="n">
        <f aca="false">I52*I82</f>
        <v>3.23411352</v>
      </c>
      <c r="J88" s="40" t="n">
        <f aca="false">J52*J82</f>
        <v>3.4605014664</v>
      </c>
      <c r="K88" s="51" t="n">
        <f aca="false">SUM(F88:J88)</f>
        <v>12.5419509864</v>
      </c>
      <c r="L88" s="49" t="s">
        <v>642</v>
      </c>
    </row>
    <row r="89" customFormat="false" ht="15" hidden="false" customHeight="false" outlineLevel="0" collapsed="false">
      <c r="A89" s="20" t="n">
        <v>80</v>
      </c>
      <c r="B89" s="6" t="s">
        <v>646</v>
      </c>
      <c r="C89" s="20" t="s">
        <v>71</v>
      </c>
      <c r="D89" s="23"/>
      <c r="E89" s="23"/>
      <c r="F89" s="40" t="n">
        <f aca="false">F53*F83</f>
        <v>0</v>
      </c>
      <c r="G89" s="40" t="n">
        <f aca="false">G53*G83</f>
        <v>0</v>
      </c>
      <c r="H89" s="40" t="n">
        <f aca="false">H53*H83</f>
        <v>3.4347</v>
      </c>
      <c r="I89" s="40" t="n">
        <f aca="false">I53*I83</f>
        <v>3.675129</v>
      </c>
      <c r="J89" s="40" t="n">
        <f aca="false">J53*J83</f>
        <v>3.93238803</v>
      </c>
      <c r="K89" s="51" t="n">
        <f aca="false">SUM(F89:J89)</f>
        <v>11.04221703</v>
      </c>
      <c r="L89" s="49" t="s">
        <v>642</v>
      </c>
    </row>
    <row r="90" customFormat="false" ht="15" hidden="false" customHeight="false" outlineLevel="0" collapsed="false">
      <c r="A90" s="20" t="n">
        <v>81</v>
      </c>
      <c r="B90" s="6" t="s">
        <v>647</v>
      </c>
      <c r="C90" s="20" t="s">
        <v>71</v>
      </c>
      <c r="D90" s="23"/>
      <c r="E90" s="23"/>
      <c r="F90" s="40" t="n">
        <f aca="false">F54*F84</f>
        <v>0</v>
      </c>
      <c r="G90" s="40" t="n">
        <f aca="false">G54*G84</f>
        <v>0</v>
      </c>
      <c r="H90" s="40" t="n">
        <f aca="false">H54*H84</f>
        <v>0</v>
      </c>
      <c r="I90" s="40" t="n">
        <f aca="false">I54*I84</f>
        <v>0</v>
      </c>
      <c r="J90" s="40" t="n">
        <f aca="false">J54*J84</f>
        <v>3.4605014664</v>
      </c>
      <c r="K90" s="51" t="n">
        <f aca="false">SUM(F90:J90)</f>
        <v>3.4605014664</v>
      </c>
      <c r="L90" s="49" t="s">
        <v>642</v>
      </c>
    </row>
    <row r="91" customFormat="false" ht="15" hidden="false" customHeight="false" outlineLevel="0" collapsed="false">
      <c r="A91" s="20" t="n">
        <v>82</v>
      </c>
      <c r="B91" s="6" t="s">
        <v>648</v>
      </c>
      <c r="C91" s="20" t="s">
        <v>71</v>
      </c>
      <c r="D91" s="23"/>
      <c r="E91" s="23"/>
      <c r="F91" s="40" t="n">
        <f aca="false">F85+F86+F87+F88+F89+F90</f>
        <v>10.92</v>
      </c>
      <c r="G91" s="40" t="n">
        <f aca="false">G85+G86+G87+G88+G89+G90</f>
        <v>14.5092</v>
      </c>
      <c r="H91" s="40" t="n">
        <f aca="false">H85+H86+H87+H88+H89+H90</f>
        <v>18.959544</v>
      </c>
      <c r="I91" s="40" t="n">
        <f aca="false">I85+I86+I87+I88+I89+I90</f>
        <v>24.40285656</v>
      </c>
      <c r="J91" s="40" t="n">
        <f aca="false">J85+J86+J87+J88+J89+J90</f>
        <v>29.5715579856</v>
      </c>
      <c r="K91" s="51" t="n">
        <f aca="false">SUM(F91:J91)</f>
        <v>98.3631585456</v>
      </c>
      <c r="L91" s="49"/>
    </row>
    <row r="92" customFormat="false" ht="15" hidden="false" customHeight="false" outlineLevel="0" collapsed="false">
      <c r="A92" s="20" t="n">
        <v>83</v>
      </c>
      <c r="B92" s="6" t="s">
        <v>649</v>
      </c>
      <c r="C92" s="20" t="s">
        <v>71</v>
      </c>
      <c r="D92" s="23"/>
      <c r="E92" s="23"/>
      <c r="F92" s="40" t="n">
        <f aca="false">F49*(MIN(F79,F60)*$D$16+MAX(0,F79-F60)*$D$17+F79*$D$18)+F50*(MIN(F80,F60)*$D$16+MAX(0,F80-F60)*$D$17+F80*$D$18)+F51*(MIN(F81,F60)*$D$16+MAX(0,F81-F60)*$D$17+F81*$D$18)+F52*(MIN(F82,F60)*$D$16+MAX(0,F82-F60)*$D$17+F82*$D$18)+F53*(MIN(F83,F60)*$D$16+MAX(0,F83-F60)*$D$17+F83*$D$18)+F54*(MIN(F84,F60)*$D$16+MAX(0,F84-F60)*$D$17+F84*$D$18)</f>
        <v>1.64928168</v>
      </c>
      <c r="G92" s="40" t="n">
        <f aca="false">G49*(MIN(G79,G60)*$D$16+MAX(0,G79-G60)*$D$17+G79*$D$18)+G50*(MIN(G80,G60)*$D$16+MAX(0,G80-G60)*$D$17+G80*$D$18)+G51*(MIN(G81,G60)*$D$16+MAX(0,G81-G60)*$D$17+G81*$D$18)+G52*(MIN(G82,G60)*$D$16+MAX(0,G82-G60)*$D$17+G82*$D$18)+G53*(MIN(G83,G60)*$D$16+MAX(0,G83-G60)*$D$17+G83*$D$18)+G54*(MIN(G84,G60)*$D$16+MAX(0,G84-G60)*$D$17+G84*$D$18)</f>
        <v>2.1964818144</v>
      </c>
      <c r="H92" s="40" t="n">
        <f aca="false">H49*(MIN(H79,H60)*$D$16+MAX(0,H79-H60)*$D$17+H79*$D$18)+H50*(MIN(H80,H60)*$D$16+MAX(0,H80-H60)*$D$17+H80*$D$18)+H51*(MIN(H81,H60)*$D$16+MAX(0,H81-H60)*$D$17+H81*$D$18)+H52*(MIN(H82,H60)*$D$16+MAX(0,H82-H60)*$D$17+H82*$D$18)+H53*(MIN(H83,H60)*$D$16+MAX(0,H83-H60)*$D$17+H83*$D$18)+H54*(MIN(H84,H60)*$D$16+MAX(0,H84-H60)*$D$17+H84*$D$18)</f>
        <v>2.874881223552</v>
      </c>
      <c r="I92" s="40" t="n">
        <f aca="false">I49*(MIN(I79,I60)*$D$16+MAX(0,I79-I60)*$D$17+I79*$D$18)+I50*(MIN(I80,I60)*$D$16+MAX(0,I80-I60)*$D$17+I80*$D$18)+I51*(MIN(I81,I60)*$D$16+MAX(0,I81-I60)*$D$17+I81*$D$18)+I52*(MIN(I82,I60)*$D$16+MAX(0,I82-I60)*$D$17+I82*$D$18)+I53*(MIN(I83,I60)*$D$16+MAX(0,I83-I60)*$D$17+I83*$D$18)+I54*(MIN(I84,I60)*$D$16+MAX(0,I84-I60)*$D$17+I84*$D$18)</f>
        <v>3.69987351263232</v>
      </c>
      <c r="J92" s="40" t="n">
        <f aca="false">J49*(MIN(J79,J60)*$D$16+MAX(0,J79-J60)*$D$17+J79*$D$18)+J50*(MIN(J80,J60)*$D$16+MAX(0,J80-J60)*$D$17+J80*$D$18)+J51*(MIN(J81,J60)*$D$16+MAX(0,J81-J60)*$D$17+J81*$D$18)+J52*(MIN(J82,J60)*$D$16+MAX(0,J82-J60)*$D$17+J82*$D$18)+J53*(MIN(J83,J60)*$D$16+MAX(0,J83-J60)*$D$17+J83*$D$18)+J54*(MIN(J84,J60)*$D$16+MAX(0,J84-J60)*$D$17+J84*$D$18)</f>
        <v>4.49085916839491</v>
      </c>
      <c r="K92" s="51" t="n">
        <f aca="false">SUM(F92:J92)</f>
        <v>14.9113773989792</v>
      </c>
      <c r="L92" s="49" t="s">
        <v>650</v>
      </c>
    </row>
    <row r="93" customFormat="false" ht="15" hidden="false" customHeight="false" outlineLevel="0" collapsed="false">
      <c r="A93" s="20" t="n">
        <v>84</v>
      </c>
      <c r="B93" s="6" t="s">
        <v>651</v>
      </c>
      <c r="C93" s="20"/>
      <c r="D93" s="23"/>
      <c r="E93" s="23"/>
      <c r="F93" s="38" t="n">
        <f aca="false">IF(AND(F66&gt;0,E66=0),1,0)</f>
        <v>1</v>
      </c>
      <c r="G93" s="38" t="n">
        <f aca="false">IF(AND(G66&gt;0,F66=0),1,0)</f>
        <v>0</v>
      </c>
      <c r="H93" s="38" t="n">
        <f aca="false">IF(AND(H66&gt;0,G66=0),1,0)</f>
        <v>0</v>
      </c>
      <c r="I93" s="38" t="n">
        <f aca="false">IF(AND(I66&gt;0,H66=0),1,0)</f>
        <v>0</v>
      </c>
      <c r="J93" s="38" t="n">
        <f aca="false">IF(AND(J66&gt;0,I66=0),1,0)</f>
        <v>0</v>
      </c>
      <c r="K93" s="23"/>
      <c r="L93" s="49"/>
    </row>
    <row r="94" customFormat="false" ht="15" hidden="false" customHeight="false" outlineLevel="0" collapsed="false">
      <c r="A94" s="20" t="n">
        <v>85</v>
      </c>
      <c r="B94" s="6" t="s">
        <v>652</v>
      </c>
      <c r="C94" s="20" t="s">
        <v>71</v>
      </c>
      <c r="D94" s="23"/>
      <c r="E94" s="23"/>
      <c r="F94" s="40" t="n">
        <f aca="false">(F93*$D$21+IF(E66&gt;0,1,0)*$D$22)*F58</f>
        <v>2.5</v>
      </c>
      <c r="G94" s="40" t="n">
        <f aca="false">(G93*$D$21+IF(F66&gt;0,1,0)*$D$22)*G58</f>
        <v>1.05</v>
      </c>
      <c r="H94" s="40" t="n">
        <f aca="false">(H93*$D$21+IF(G66&gt;0,1,0)*$D$22)*H58</f>
        <v>1.1025</v>
      </c>
      <c r="I94" s="40" t="n">
        <f aca="false">(I93*$D$21+IF(H66&gt;0,1,0)*$D$22)*I58</f>
        <v>1.157625</v>
      </c>
      <c r="J94" s="40" t="n">
        <f aca="false">(J93*$D$21+IF(I66&gt;0,1,0)*$D$22)*J58</f>
        <v>1.21550625</v>
      </c>
      <c r="K94" s="51" t="n">
        <f aca="false">SUM(F94:J94)</f>
        <v>7.02563125</v>
      </c>
      <c r="L94" s="49" t="s">
        <v>653</v>
      </c>
    </row>
    <row r="95" customFormat="false" ht="15" hidden="false" customHeight="false" outlineLevel="0" collapsed="false">
      <c r="A95" s="20" t="n">
        <v>86</v>
      </c>
      <c r="B95" s="6" t="s">
        <v>302</v>
      </c>
      <c r="C95" s="20" t="s">
        <v>71</v>
      </c>
      <c r="D95" s="23"/>
      <c r="E95" s="23"/>
      <c r="F95" s="40" t="n">
        <f aca="false">$D$23*F58</f>
        <v>0.6</v>
      </c>
      <c r="G95" s="40" t="n">
        <f aca="false">$D$23*G58</f>
        <v>0.63</v>
      </c>
      <c r="H95" s="40" t="n">
        <f aca="false">$D$23*H58</f>
        <v>0.6615</v>
      </c>
      <c r="I95" s="40" t="n">
        <f aca="false">$D$23*I58</f>
        <v>0.694575</v>
      </c>
      <c r="J95" s="40" t="n">
        <f aca="false">$D$23*J58</f>
        <v>0.72930375</v>
      </c>
      <c r="K95" s="51" t="n">
        <f aca="false">SUM(F95:J95)</f>
        <v>3.31537875</v>
      </c>
      <c r="L95" s="49"/>
    </row>
    <row r="96" customFormat="false" ht="15" hidden="false" customHeight="false" outlineLevel="0" collapsed="false">
      <c r="A96" s="20" t="n">
        <v>87</v>
      </c>
      <c r="B96" s="6" t="s">
        <v>654</v>
      </c>
      <c r="C96" s="20" t="s">
        <v>71</v>
      </c>
      <c r="D96" s="23"/>
      <c r="E96" s="23"/>
      <c r="F96" s="40" t="n">
        <f aca="false">$D$24*F77*F58</f>
        <v>0.6</v>
      </c>
      <c r="G96" s="40" t="n">
        <f aca="false">$D$24*G77*G58</f>
        <v>0.7875</v>
      </c>
      <c r="H96" s="40" t="n">
        <f aca="false">$D$24*H77*H58</f>
        <v>0.99225</v>
      </c>
      <c r="I96" s="40" t="n">
        <f aca="false">$D$24*I77*I58</f>
        <v>1.21550625</v>
      </c>
      <c r="J96" s="40" t="n">
        <f aca="false">$D$24*J77*J58</f>
        <v>1.4586075</v>
      </c>
      <c r="K96" s="51" t="n">
        <f aca="false">SUM(F96:J96)</f>
        <v>5.05386375</v>
      </c>
      <c r="L96" s="49" t="s">
        <v>655</v>
      </c>
    </row>
    <row r="97" customFormat="false" ht="15" hidden="false" customHeight="false" outlineLevel="0" collapsed="false">
      <c r="A97" s="20" t="n">
        <v>88</v>
      </c>
      <c r="B97" s="6" t="s">
        <v>656</v>
      </c>
      <c r="C97" s="20" t="s">
        <v>71</v>
      </c>
      <c r="D97" s="23"/>
      <c r="E97" s="23"/>
      <c r="F97" s="40" t="n">
        <f aca="false">($D$25+$D$26*F67)*F58</f>
        <v>1.4</v>
      </c>
      <c r="G97" s="40" t="n">
        <f aca="false">($D$25+$D$26*G67)*G58</f>
        <v>1.47</v>
      </c>
      <c r="H97" s="40" t="n">
        <f aca="false">($D$25+$D$26*H67)*H58</f>
        <v>2.4255</v>
      </c>
      <c r="I97" s="40" t="n">
        <f aca="false">($D$25+$D$26*I67)*I58</f>
        <v>2.083725</v>
      </c>
      <c r="J97" s="40" t="n">
        <f aca="false">($D$25+$D$26*J67)*J58</f>
        <v>3.16031625</v>
      </c>
      <c r="K97" s="51" t="n">
        <f aca="false">SUM(F97:J97)</f>
        <v>10.53954125</v>
      </c>
      <c r="L97" s="49" t="s">
        <v>657</v>
      </c>
    </row>
    <row r="98" customFormat="false" ht="15" hidden="false" customHeight="false" outlineLevel="0" collapsed="false">
      <c r="A98" s="20" t="n">
        <v>89</v>
      </c>
      <c r="B98" s="6" t="s">
        <v>658</v>
      </c>
      <c r="C98" s="20" t="s">
        <v>71</v>
      </c>
      <c r="D98" s="23"/>
      <c r="E98" s="23"/>
      <c r="F98" s="40" t="n">
        <f aca="false">($D$27+$D$28*F77)*F58</f>
        <v>1.6</v>
      </c>
      <c r="G98" s="40" t="n">
        <f aca="false">($D$27+$D$28*G77)*G58</f>
        <v>1.785</v>
      </c>
      <c r="H98" s="40" t="n">
        <f aca="false">($D$27+$D$28*H77)*H58</f>
        <v>1.9845</v>
      </c>
      <c r="I98" s="40" t="n">
        <f aca="false">($D$27+$D$28*I77)*I58</f>
        <v>2.1994875</v>
      </c>
      <c r="J98" s="40" t="n">
        <f aca="false">($D$27+$D$28*J77)*J58</f>
        <v>2.4310125</v>
      </c>
      <c r="K98" s="51" t="n">
        <f aca="false">SUM(F98:J98)</f>
        <v>10</v>
      </c>
      <c r="L98" s="49" t="s">
        <v>659</v>
      </c>
    </row>
    <row r="99" customFormat="false" ht="15" hidden="false" customHeight="false" outlineLevel="0" collapsed="false">
      <c r="A99" s="20" t="n">
        <v>90</v>
      </c>
      <c r="B99" s="6" t="s">
        <v>660</v>
      </c>
      <c r="C99" s="20" t="s">
        <v>71</v>
      </c>
      <c r="D99" s="23"/>
      <c r="E99" s="23"/>
      <c r="F99" s="40" t="n">
        <f aca="false">$D$29*F78*F58</f>
        <v>0.5</v>
      </c>
      <c r="G99" s="40" t="n">
        <f aca="false">$D$29*G78*G58</f>
        <v>0.2625</v>
      </c>
      <c r="H99" s="40" t="n">
        <f aca="false">$D$29*H78*H58</f>
        <v>0.275625</v>
      </c>
      <c r="I99" s="40" t="n">
        <f aca="false">$D$29*I78*I58</f>
        <v>0.28940625</v>
      </c>
      <c r="J99" s="40" t="n">
        <f aca="false">$D$29*J78*J58</f>
        <v>0.3038765625</v>
      </c>
      <c r="K99" s="51" t="n">
        <f aca="false">SUM(F99:J99)</f>
        <v>1.6314078125</v>
      </c>
      <c r="L99" s="49" t="s">
        <v>661</v>
      </c>
    </row>
    <row r="100" customFormat="false" ht="15" hidden="false" customHeight="false" outlineLevel="0" collapsed="false">
      <c r="A100" s="20" t="n">
        <v>91</v>
      </c>
      <c r="B100" s="6" t="s">
        <v>570</v>
      </c>
      <c r="C100" s="20" t="s">
        <v>71</v>
      </c>
      <c r="D100" s="23"/>
      <c r="E100" s="23"/>
      <c r="F100" s="40" t="n">
        <f aca="false">IF(F$56=$F$56,$D$30,0)</f>
        <v>0.3</v>
      </c>
      <c r="G100" s="40" t="n">
        <f aca="false">IF(G$56=$F$56,$D$30,0)</f>
        <v>0</v>
      </c>
      <c r="H100" s="40" t="n">
        <f aca="false">IF(H$56=$F$56,$D$30,0)</f>
        <v>0</v>
      </c>
      <c r="I100" s="40" t="n">
        <f aca="false">IF(I$56=$F$56,$D$30,0)</f>
        <v>0</v>
      </c>
      <c r="J100" s="40" t="n">
        <f aca="false">IF(J$56=$F$56,$D$30,0)</f>
        <v>0</v>
      </c>
      <c r="K100" s="51" t="n">
        <f aca="false">SUM(F100:J100)</f>
        <v>0.3</v>
      </c>
      <c r="L100" s="49" t="s">
        <v>662</v>
      </c>
    </row>
    <row r="101" customFormat="false" ht="15" hidden="false" customHeight="false" outlineLevel="0" collapsed="false">
      <c r="A101" s="20" t="n">
        <v>92</v>
      </c>
      <c r="B101" s="6" t="s">
        <v>663</v>
      </c>
      <c r="C101" s="20" t="s">
        <v>71</v>
      </c>
      <c r="D101" s="23"/>
      <c r="E101" s="23"/>
      <c r="F101" s="40" t="n">
        <f aca="false">F91+F92+F94+F95+F96+F97+F98+F99+F100</f>
        <v>20.06928168</v>
      </c>
      <c r="G101" s="40" t="n">
        <f aca="false">G91+G92+G94+G95+G96+G97+G98+G99+G100</f>
        <v>22.6906818144</v>
      </c>
      <c r="H101" s="40" t="n">
        <f aca="false">H91+H92+H94+H95+H96+H97+H98+H99+H100</f>
        <v>29.276300223552</v>
      </c>
      <c r="I101" s="40" t="n">
        <f aca="false">I91+I92+I94+I95+I96+I97+I98+I99+I100</f>
        <v>35.7430550726323</v>
      </c>
      <c r="J101" s="40" t="n">
        <f aca="false">J91+J92+J94+J95+J96+J97+J98+J99+J100</f>
        <v>43.3610399664949</v>
      </c>
      <c r="K101" s="51" t="n">
        <f aca="false">SUM(F101:J101)</f>
        <v>151.140358757079</v>
      </c>
      <c r="L101" s="49"/>
    </row>
    <row r="102" customFormat="false" ht="15" hidden="false" customHeight="false" outlineLevel="0" collapsed="false">
      <c r="A102" s="20" t="n">
        <v>93</v>
      </c>
      <c r="B102" s="6" t="s">
        <v>329</v>
      </c>
      <c r="C102" s="20" t="s">
        <v>71</v>
      </c>
      <c r="D102" s="23"/>
      <c r="E102" s="23"/>
      <c r="F102" s="40" t="n">
        <f aca="false">F101*$D$32</f>
        <v>2.006928168</v>
      </c>
      <c r="G102" s="40" t="n">
        <f aca="false">G101*$D$32</f>
        <v>2.26906818144</v>
      </c>
      <c r="H102" s="40" t="n">
        <f aca="false">H101*$D$32</f>
        <v>2.9276300223552</v>
      </c>
      <c r="I102" s="40" t="n">
        <f aca="false">I101*$D$32</f>
        <v>3.57430550726323</v>
      </c>
      <c r="J102" s="40" t="n">
        <f aca="false">J101*$D$32</f>
        <v>4.33610399664949</v>
      </c>
      <c r="K102" s="51" t="n">
        <f aca="false">SUM(F102:J102)</f>
        <v>15.1140358757079</v>
      </c>
      <c r="L102" s="49"/>
    </row>
    <row r="103" customFormat="false" ht="15" hidden="false" customHeight="false" outlineLevel="0" collapsed="false">
      <c r="A103" s="20" t="n">
        <v>94</v>
      </c>
      <c r="B103" s="6" t="s">
        <v>664</v>
      </c>
      <c r="C103" s="20" t="s">
        <v>71</v>
      </c>
      <c r="D103" s="23"/>
      <c r="E103" s="23"/>
      <c r="F103" s="40" t="n">
        <f aca="false">F101+F102</f>
        <v>22.076209848</v>
      </c>
      <c r="G103" s="40" t="n">
        <f aca="false">G101+G102</f>
        <v>24.95974999584</v>
      </c>
      <c r="H103" s="40" t="n">
        <f aca="false">H101+H102</f>
        <v>32.2039302459072</v>
      </c>
      <c r="I103" s="40" t="n">
        <f aca="false">I101+I102</f>
        <v>39.3173605798956</v>
      </c>
      <c r="J103" s="40" t="n">
        <f aca="false">J101+J102</f>
        <v>47.6971439631444</v>
      </c>
      <c r="K103" s="51" t="n">
        <f aca="false">SUM(F103:J103)</f>
        <v>166.254394632787</v>
      </c>
      <c r="L103" s="49"/>
    </row>
    <row r="104" customFormat="false" ht="15" hidden="false" customHeight="false" outlineLevel="0" collapsed="false">
      <c r="A104" s="19" t="s">
        <v>665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customFormat="false" ht="15" hidden="false" customHeight="false" outlineLevel="0" collapsed="false">
      <c r="A105" s="20" t="n">
        <v>95</v>
      </c>
      <c r="B105" s="6" t="s">
        <v>666</v>
      </c>
      <c r="C105" s="20" t="s">
        <v>71</v>
      </c>
      <c r="D105" s="23"/>
      <c r="E105" s="23"/>
      <c r="F105" s="40" t="n">
        <f aca="false">F74-F103</f>
        <v>-14.076209848</v>
      </c>
      <c r="G105" s="40" t="n">
        <f aca="false">G74-G103</f>
        <v>-7.10974999584</v>
      </c>
      <c r="H105" s="40" t="n">
        <f aca="false">H74-H103</f>
        <v>1.8529838165928</v>
      </c>
      <c r="I105" s="40" t="n">
        <f aca="false">I74-I103</f>
        <v>4.04728836364139</v>
      </c>
      <c r="J105" s="40" t="n">
        <f aca="false">J74-J103</f>
        <v>20.0798082689889</v>
      </c>
      <c r="K105" s="51" t="n">
        <f aca="false">SUM(F105:J105)</f>
        <v>4.79412060538312</v>
      </c>
      <c r="L105" s="49" t="s">
        <v>667</v>
      </c>
    </row>
    <row r="106" customFormat="false" ht="15" hidden="false" customHeight="false" outlineLevel="0" collapsed="false">
      <c r="A106" s="20" t="n">
        <v>96</v>
      </c>
      <c r="B106" s="6" t="s">
        <v>668</v>
      </c>
      <c r="C106" s="20" t="s">
        <v>68</v>
      </c>
      <c r="D106" s="23"/>
      <c r="E106" s="23"/>
      <c r="F106" s="44" t="n">
        <f aca="false">IF(F74&gt;0,F105/F74,0)</f>
        <v>-1.759526231</v>
      </c>
      <c r="G106" s="44" t="n">
        <f aca="false">IF(G74&gt;0,G105/G74,0)</f>
        <v>-0.398305321895798</v>
      </c>
      <c r="H106" s="44" t="n">
        <f aca="false">IF(H74&gt;0,H105/H74,0)</f>
        <v>0.0544084473770075</v>
      </c>
      <c r="I106" s="44" t="n">
        <f aca="false">IF(I74&gt;0,I105/I74,0)</f>
        <v>0.0933315145456653</v>
      </c>
      <c r="J106" s="44" t="n">
        <f aca="false">IF(J74&gt;0,J105/J74,0)</f>
        <v>0.296263074801835</v>
      </c>
      <c r="K106" s="23"/>
      <c r="L106" s="49"/>
    </row>
    <row r="107" customFormat="false" ht="15" hidden="false" customHeight="false" outlineLevel="0" collapsed="false">
      <c r="A107" s="20" t="n">
        <v>97</v>
      </c>
      <c r="B107" s="6" t="s">
        <v>669</v>
      </c>
      <c r="C107" s="20" t="s">
        <v>71</v>
      </c>
      <c r="D107" s="23"/>
      <c r="E107" s="23"/>
      <c r="F107" s="40" t="n">
        <f aca="false">E111</f>
        <v>0</v>
      </c>
      <c r="G107" s="40" t="n">
        <f aca="false">F111</f>
        <v>14.076209848</v>
      </c>
      <c r="H107" s="40" t="n">
        <f aca="false">G111</f>
        <v>21.18595984384</v>
      </c>
      <c r="I107" s="40" t="n">
        <f aca="false">H111</f>
        <v>20.2594679355436</v>
      </c>
      <c r="J107" s="40" t="n">
        <f aca="false">I111</f>
        <v>18.2358237537229</v>
      </c>
      <c r="K107" s="23"/>
      <c r="L107" s="49"/>
    </row>
    <row r="108" customFormat="false" ht="15" hidden="false" customHeight="false" outlineLevel="0" collapsed="false">
      <c r="A108" s="20" t="n">
        <v>98</v>
      </c>
      <c r="B108" s="6" t="s">
        <v>670</v>
      </c>
      <c r="C108" s="20" t="s">
        <v>71</v>
      </c>
      <c r="D108" s="23"/>
      <c r="E108" s="23"/>
      <c r="F108" s="40" t="n">
        <f aca="false">MIN(F107,MAX(0,F105)*$D$34)</f>
        <v>0</v>
      </c>
      <c r="G108" s="40" t="n">
        <f aca="false">MIN(G107,MAX(0,G105)*$D$34)</f>
        <v>0</v>
      </c>
      <c r="H108" s="40" t="n">
        <f aca="false">MIN(H107,MAX(0,H105)*$D$34)</f>
        <v>0.926491908296399</v>
      </c>
      <c r="I108" s="40" t="n">
        <f aca="false">MIN(I107,MAX(0,I105)*$D$34)</f>
        <v>2.02364418182069</v>
      </c>
      <c r="J108" s="40" t="n">
        <f aca="false">MIN(J107,MAX(0,J105)*$D$34)</f>
        <v>10.0399041344945</v>
      </c>
      <c r="K108" s="23"/>
      <c r="L108" s="49" t="s">
        <v>671</v>
      </c>
    </row>
    <row r="109" customFormat="false" ht="15" hidden="false" customHeight="false" outlineLevel="0" collapsed="false">
      <c r="A109" s="20" t="n">
        <v>99</v>
      </c>
      <c r="B109" s="6" t="s">
        <v>672</v>
      </c>
      <c r="C109" s="20" t="s">
        <v>71</v>
      </c>
      <c r="D109" s="23"/>
      <c r="E109" s="23"/>
      <c r="F109" s="40" t="n">
        <f aca="false">MAX(0,F105)-F108</f>
        <v>0</v>
      </c>
      <c r="G109" s="40" t="n">
        <f aca="false">MAX(0,G105)-G108</f>
        <v>0</v>
      </c>
      <c r="H109" s="40" t="n">
        <f aca="false">MAX(0,H105)-H108</f>
        <v>0.926491908296399</v>
      </c>
      <c r="I109" s="40" t="n">
        <f aca="false">MAX(0,I105)-I108</f>
        <v>2.02364418182069</v>
      </c>
      <c r="J109" s="40" t="n">
        <f aca="false">MAX(0,J105)-J108</f>
        <v>10.0399041344945</v>
      </c>
      <c r="K109" s="23"/>
      <c r="L109" s="49"/>
    </row>
    <row r="110" customFormat="false" ht="15" hidden="false" customHeight="false" outlineLevel="0" collapsed="false">
      <c r="A110" s="20" t="n">
        <v>100</v>
      </c>
      <c r="B110" s="6" t="s">
        <v>572</v>
      </c>
      <c r="C110" s="20" t="s">
        <v>71</v>
      </c>
      <c r="D110" s="23"/>
      <c r="E110" s="23"/>
      <c r="F110" s="40" t="n">
        <f aca="false">F109*$D$33</f>
        <v>0</v>
      </c>
      <c r="G110" s="40" t="n">
        <f aca="false">G109*$D$33</f>
        <v>0</v>
      </c>
      <c r="H110" s="40" t="n">
        <f aca="false">H109*$D$33</f>
        <v>0.0463245954148199</v>
      </c>
      <c r="I110" s="40" t="n">
        <f aca="false">I109*$D$33</f>
        <v>0.101182209091035</v>
      </c>
      <c r="J110" s="40" t="n">
        <f aca="false">J109*$D$33</f>
        <v>0.501995206724723</v>
      </c>
      <c r="K110" s="51" t="n">
        <f aca="false">SUM(F110:J110)</f>
        <v>0.649502011230578</v>
      </c>
      <c r="L110" s="49"/>
    </row>
    <row r="111" customFormat="false" ht="15" hidden="false" customHeight="false" outlineLevel="0" collapsed="false">
      <c r="A111" s="20" t="n">
        <v>101</v>
      </c>
      <c r="B111" s="6" t="s">
        <v>673</v>
      </c>
      <c r="C111" s="20" t="s">
        <v>71</v>
      </c>
      <c r="D111" s="23"/>
      <c r="E111" s="40" t="n">
        <f aca="false">0</f>
        <v>0</v>
      </c>
      <c r="F111" s="40" t="n">
        <f aca="false">F107-F108+MAX(0,-F105)</f>
        <v>14.076209848</v>
      </c>
      <c r="G111" s="40" t="n">
        <f aca="false">G107-G108+MAX(0,-G105)</f>
        <v>21.18595984384</v>
      </c>
      <c r="H111" s="40" t="n">
        <f aca="false">H107-H108+MAX(0,-H105)</f>
        <v>20.2594679355436</v>
      </c>
      <c r="I111" s="40" t="n">
        <f aca="false">I107-I108+MAX(0,-I105)</f>
        <v>18.2358237537229</v>
      </c>
      <c r="J111" s="40" t="n">
        <f aca="false">J107-J108+MAX(0,-J105)</f>
        <v>8.19591961922844</v>
      </c>
      <c r="K111" s="23"/>
      <c r="L111" s="49"/>
    </row>
    <row r="112" customFormat="false" ht="15" hidden="false" customHeight="false" outlineLevel="0" collapsed="false">
      <c r="A112" s="20" t="n">
        <v>102</v>
      </c>
      <c r="B112" s="6" t="s">
        <v>674</v>
      </c>
      <c r="C112" s="20" t="s">
        <v>71</v>
      </c>
      <c r="D112" s="23"/>
      <c r="E112" s="23"/>
      <c r="F112" s="40" t="n">
        <f aca="false">F105-F110</f>
        <v>-14.076209848</v>
      </c>
      <c r="G112" s="40" t="n">
        <f aca="false">G105-G110</f>
        <v>-7.10974999584</v>
      </c>
      <c r="H112" s="40" t="n">
        <f aca="false">H105-H110</f>
        <v>1.80665922117798</v>
      </c>
      <c r="I112" s="40" t="n">
        <f aca="false">I105-I110</f>
        <v>3.94610615455035</v>
      </c>
      <c r="J112" s="40" t="n">
        <f aca="false">J105-J110</f>
        <v>19.5778130622642</v>
      </c>
      <c r="K112" s="51" t="n">
        <f aca="false">SUM(F112:J112)</f>
        <v>4.14461859415254</v>
      </c>
      <c r="L112" s="49"/>
    </row>
    <row r="113" customFormat="false" ht="15" hidden="false" customHeight="false" outlineLevel="0" collapsed="false">
      <c r="A113" s="19" t="s">
        <v>675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customFormat="false" ht="15" hidden="false" customHeight="false" outlineLevel="0" collapsed="false">
      <c r="A114" s="20" t="n">
        <v>103</v>
      </c>
      <c r="B114" s="6" t="s">
        <v>676</v>
      </c>
      <c r="C114" s="20" t="s">
        <v>71</v>
      </c>
      <c r="D114" s="23"/>
      <c r="E114" s="40" t="n">
        <f aca="false">0</f>
        <v>0</v>
      </c>
      <c r="F114" s="40" t="n">
        <f aca="false">F74*$D$35/365</f>
        <v>1.97260273972603</v>
      </c>
      <c r="G114" s="40" t="n">
        <f aca="false">G74*$D$35/365</f>
        <v>4.4013698630137</v>
      </c>
      <c r="H114" s="40" t="n">
        <f aca="false">H74*$D$35/365</f>
        <v>8.39759524828767</v>
      </c>
      <c r="I114" s="40" t="n">
        <f aca="false">I74*$D$35/365</f>
        <v>10.6926531641598</v>
      </c>
      <c r="J114" s="40" t="n">
        <f aca="false">J74*$D$35/365</f>
        <v>16.7121252079233</v>
      </c>
      <c r="K114" s="23"/>
      <c r="L114" s="49" t="s">
        <v>677</v>
      </c>
    </row>
    <row r="115" customFormat="false" ht="15" hidden="false" customHeight="false" outlineLevel="0" collapsed="false">
      <c r="A115" s="20" t="n">
        <v>104</v>
      </c>
      <c r="B115" s="6" t="s">
        <v>678</v>
      </c>
      <c r="C115" s="20" t="s">
        <v>71</v>
      </c>
      <c r="D115" s="23"/>
      <c r="E115" s="23"/>
      <c r="F115" s="40" t="n">
        <f aca="false">F114-E114</f>
        <v>1.97260273972603</v>
      </c>
      <c r="G115" s="40" t="n">
        <f aca="false">G114-F114</f>
        <v>2.42876712328767</v>
      </c>
      <c r="H115" s="40" t="n">
        <f aca="false">H114-G114</f>
        <v>3.99622538527397</v>
      </c>
      <c r="I115" s="40" t="n">
        <f aca="false">I114-H114</f>
        <v>2.29505791587212</v>
      </c>
      <c r="J115" s="40" t="n">
        <f aca="false">J114-I114</f>
        <v>6.0194720437635</v>
      </c>
      <c r="K115" s="51" t="n">
        <f aca="false">SUM(F115:J115)</f>
        <v>16.7121252079233</v>
      </c>
      <c r="L115" s="49"/>
    </row>
    <row r="116" customFormat="false" ht="15" hidden="false" customHeight="false" outlineLevel="0" collapsed="false">
      <c r="A116" s="20" t="n">
        <v>105</v>
      </c>
      <c r="B116" s="6" t="s">
        <v>679</v>
      </c>
      <c r="C116" s="20" t="s">
        <v>71</v>
      </c>
      <c r="D116" s="23"/>
      <c r="E116" s="23"/>
      <c r="F116" s="40" t="n">
        <f aca="false">F112-F115</f>
        <v>-16.048812587726</v>
      </c>
      <c r="G116" s="40" t="n">
        <f aca="false">G112-G115</f>
        <v>-9.53851711912767</v>
      </c>
      <c r="H116" s="40" t="n">
        <f aca="false">H112-H115</f>
        <v>-2.18956616409599</v>
      </c>
      <c r="I116" s="40" t="n">
        <f aca="false">I112-I115</f>
        <v>1.65104823867823</v>
      </c>
      <c r="J116" s="40" t="n">
        <f aca="false">J112-J115</f>
        <v>13.5583410185007</v>
      </c>
      <c r="K116" s="51" t="n">
        <f aca="false">SUM(F116:J116)</f>
        <v>-12.5675066137707</v>
      </c>
      <c r="L116" s="49" t="s">
        <v>680</v>
      </c>
    </row>
    <row r="117" customFormat="false" ht="15" hidden="false" customHeight="false" outlineLevel="0" collapsed="false">
      <c r="A117" s="20" t="n">
        <v>106</v>
      </c>
      <c r="B117" s="6" t="s">
        <v>93</v>
      </c>
      <c r="C117" s="20" t="s">
        <v>71</v>
      </c>
      <c r="D117" s="23"/>
      <c r="E117" s="40" t="n">
        <f aca="false">0</f>
        <v>0</v>
      </c>
      <c r="F117" s="40" t="n">
        <f aca="false">E117+F116</f>
        <v>-16.048812587726</v>
      </c>
      <c r="G117" s="40" t="n">
        <f aca="false">F117+G116</f>
        <v>-25.5873297068537</v>
      </c>
      <c r="H117" s="40" t="n">
        <f aca="false">G117+H116</f>
        <v>-27.7768958709497</v>
      </c>
      <c r="I117" s="40" t="n">
        <f aca="false">H117+I116</f>
        <v>-26.1258476322715</v>
      </c>
      <c r="J117" s="40" t="n">
        <f aca="false">I117+J116</f>
        <v>-12.5675066137707</v>
      </c>
      <c r="K117" s="23"/>
      <c r="L117" s="49" t="s">
        <v>681</v>
      </c>
    </row>
    <row r="118" customFormat="false" ht="15" hidden="false" customHeight="false" outlineLevel="0" collapsed="false">
      <c r="A118" s="20" t="n">
        <v>107</v>
      </c>
      <c r="B118" s="6" t="s">
        <v>682</v>
      </c>
      <c r="C118" s="20"/>
      <c r="D118" s="23"/>
      <c r="E118" s="23"/>
      <c r="F118" s="53" t="n">
        <f aca="false">1/(1+$D$36)^(F$56-$E$56)</f>
        <v>0.769230769230769</v>
      </c>
      <c r="G118" s="53" t="n">
        <f aca="false">1/(1+$D$36)^(G$56-$E$56)</f>
        <v>0.591715976331361</v>
      </c>
      <c r="H118" s="53" t="n">
        <f aca="false">1/(1+$D$36)^(H$56-$E$56)</f>
        <v>0.455166135639508</v>
      </c>
      <c r="I118" s="53" t="n">
        <f aca="false">1/(1+$D$36)^(I$56-$E$56)</f>
        <v>0.350127796645776</v>
      </c>
      <c r="J118" s="53" t="n">
        <f aca="false">1/(1+$D$36)^(J$56-$E$56)</f>
        <v>0.269329074342904</v>
      </c>
      <c r="K118" s="23"/>
      <c r="L118" s="49" t="s">
        <v>683</v>
      </c>
    </row>
    <row r="119" customFormat="false" ht="15" hidden="false" customHeight="false" outlineLevel="0" collapsed="false">
      <c r="A119" s="20" t="n">
        <v>108</v>
      </c>
      <c r="B119" s="6" t="s">
        <v>684</v>
      </c>
      <c r="C119" s="20" t="s">
        <v>71</v>
      </c>
      <c r="D119" s="23"/>
      <c r="E119" s="23"/>
      <c r="F119" s="40" t="n">
        <f aca="false">F116*F118</f>
        <v>-12.3452404520969</v>
      </c>
      <c r="G119" s="40" t="n">
        <f aca="false">G116*G118</f>
        <v>-5.64409296989803</v>
      </c>
      <c r="H119" s="40" t="n">
        <f aca="false">H116*H118</f>
        <v>-0.996616369638595</v>
      </c>
      <c r="I119" s="40" t="n">
        <f aca="false">I116*I118</f>
        <v>0.578077881964297</v>
      </c>
      <c r="J119" s="40" t="n">
        <f aca="false">J116*J118</f>
        <v>3.65165543613823</v>
      </c>
      <c r="K119" s="51" t="n">
        <f aca="false">SUM(F119:J119)</f>
        <v>-14.756216473531</v>
      </c>
      <c r="L119" s="49"/>
    </row>
    <row r="120" customFormat="false" ht="15" hidden="false" customHeight="false" outlineLevel="0" collapsed="false">
      <c r="A120" s="20" t="n">
        <v>109</v>
      </c>
      <c r="B120" s="6" t="s">
        <v>685</v>
      </c>
      <c r="C120" s="20" t="s">
        <v>71</v>
      </c>
      <c r="D120" s="23"/>
      <c r="E120" s="23"/>
      <c r="F120" s="40" t="n">
        <f aca="false">IF(F$56=$J$56,MAX(0,F116)*(1+$D$37)/($D$36-$D$37),0)</f>
        <v>0</v>
      </c>
      <c r="G120" s="40" t="n">
        <f aca="false">IF(G$56=$J$56,MAX(0,G116)*(1+$D$37)/($D$36-$D$37),0)</f>
        <v>0</v>
      </c>
      <c r="H120" s="40" t="n">
        <f aca="false">IF(H$56=$J$56,MAX(0,H116)*(1+$D$37)/($D$36-$D$37),0)</f>
        <v>0</v>
      </c>
      <c r="I120" s="40" t="n">
        <f aca="false">IF(I$56=$J$56,MAX(0,I116)*(1+$D$37)/($D$36-$D$37),0)</f>
        <v>0</v>
      </c>
      <c r="J120" s="40" t="n">
        <f aca="false">IF(J$56=$J$56,MAX(0,J116)*(1+$D$37)/($D$36-$D$37),0)</f>
        <v>54.2333640740029</v>
      </c>
      <c r="K120" s="23"/>
      <c r="L120" s="49" t="s">
        <v>686</v>
      </c>
    </row>
    <row r="121" customFormat="false" ht="15" hidden="false" customHeight="false" outlineLevel="0" collapsed="false">
      <c r="A121" s="20" t="n">
        <v>110</v>
      </c>
      <c r="B121" s="6" t="s">
        <v>687</v>
      </c>
      <c r="C121" s="20" t="s">
        <v>71</v>
      </c>
      <c r="D121" s="23"/>
      <c r="E121" s="23"/>
      <c r="F121" s="40" t="n">
        <f aca="false">F120*F118</f>
        <v>0</v>
      </c>
      <c r="G121" s="40" t="n">
        <f aca="false">G120*G118</f>
        <v>0</v>
      </c>
      <c r="H121" s="40" t="n">
        <f aca="false">H120*H118</f>
        <v>0</v>
      </c>
      <c r="I121" s="40" t="n">
        <f aca="false">I120*I118</f>
        <v>0</v>
      </c>
      <c r="J121" s="40" t="n">
        <f aca="false">J120*J118</f>
        <v>14.6066217445529</v>
      </c>
      <c r="K121" s="51" t="n">
        <f aca="false">SUM(F121:J121)</f>
        <v>14.6066217445529</v>
      </c>
      <c r="L121" s="49"/>
    </row>
    <row r="122" customFormat="false" ht="15" hidden="false" customHeight="false" outlineLevel="0" collapsed="false">
      <c r="A122" s="20" t="n">
        <v>111</v>
      </c>
      <c r="B122" s="6" t="s">
        <v>688</v>
      </c>
      <c r="C122" s="20" t="s">
        <v>71</v>
      </c>
      <c r="D122" s="23"/>
      <c r="E122" s="23"/>
      <c r="F122" s="40" t="n">
        <f aca="false">F116+F120</f>
        <v>-16.048812587726</v>
      </c>
      <c r="G122" s="40" t="n">
        <f aca="false">G116+G120</f>
        <v>-9.53851711912767</v>
      </c>
      <c r="H122" s="40" t="n">
        <f aca="false">H116+H120</f>
        <v>-2.18956616409599</v>
      </c>
      <c r="I122" s="40" t="n">
        <f aca="false">I116+I120</f>
        <v>1.65104823867823</v>
      </c>
      <c r="J122" s="40" t="n">
        <f aca="false">J116+J120</f>
        <v>67.7917050925036</v>
      </c>
      <c r="K122" s="23"/>
      <c r="L122" s="49" t="s">
        <v>689</v>
      </c>
    </row>
    <row r="123" customFormat="false" ht="15" hidden="false" customHeight="false" outlineLevel="0" collapsed="false">
      <c r="A123" s="20" t="n">
        <v>112</v>
      </c>
      <c r="B123" s="6" t="s">
        <v>690</v>
      </c>
      <c r="C123" s="20"/>
      <c r="D123" s="23"/>
      <c r="E123" s="23"/>
      <c r="F123" s="52" t="str">
        <f aca="false">IF(AND(F105&gt;0,COUNTIF($F$105:F$105,"&gt;0")=1),F$56,"")</f>
        <v/>
      </c>
      <c r="G123" s="52" t="str">
        <f aca="false">IF(AND(G105&gt;0,COUNTIF($F$105:G$105,"&gt;0")=1),G$56,"")</f>
        <v/>
      </c>
      <c r="H123" s="52" t="n">
        <f aca="false">IF(AND(H105&gt;0,COUNTIF($F$105:H$105,"&gt;0")=1),H$56,"")</f>
        <v>2029</v>
      </c>
      <c r="I123" s="52" t="str">
        <f aca="false">IF(AND(I105&gt;0,COUNTIF($F$105:I$105,"&gt;0")=1),I$56,"")</f>
        <v/>
      </c>
      <c r="J123" s="52" t="str">
        <f aca="false">IF(AND(J105&gt;0,COUNTIF($F$105:J$105,"&gt;0")=1),J$56,"")</f>
        <v/>
      </c>
      <c r="K123" s="23"/>
      <c r="L123" s="49" t="s">
        <v>691</v>
      </c>
    </row>
    <row r="124" customFormat="false" ht="15" hidden="false" customHeight="false" outlineLevel="0" collapsed="false">
      <c r="A124" s="20" t="n">
        <v>113</v>
      </c>
      <c r="B124" s="6" t="s">
        <v>692</v>
      </c>
      <c r="C124" s="20"/>
      <c r="D124" s="23"/>
      <c r="E124" s="23"/>
      <c r="F124" s="52" t="str">
        <f aca="false">IF(AND(F117&gt;0,COUNTIF($F$117:F$117,"&gt;0")=1),F$56,"")</f>
        <v/>
      </c>
      <c r="G124" s="52" t="str">
        <f aca="false">IF(AND(G117&gt;0,COUNTIF($F$117:G$117,"&gt;0")=1),G$56,"")</f>
        <v/>
      </c>
      <c r="H124" s="52" t="str">
        <f aca="false">IF(AND(H117&gt;0,COUNTIF($F$117:H$117,"&gt;0")=1),H$56,"")</f>
        <v/>
      </c>
      <c r="I124" s="52" t="str">
        <f aca="false">IF(AND(I117&gt;0,COUNTIF($F$117:I$117,"&gt;0")=1),I$56,"")</f>
        <v/>
      </c>
      <c r="J124" s="52" t="str">
        <f aca="false">IF(AND(J117&gt;0,COUNTIF($F$117:J$117,"&gt;0")=1),J$56,"")</f>
        <v/>
      </c>
      <c r="K124" s="23"/>
      <c r="L124" s="49" t="s">
        <v>691</v>
      </c>
    </row>
    <row r="125" customFormat="false" ht="15" hidden="false" customHeight="false" outlineLevel="0" collapsed="false">
      <c r="A125" s="19" t="s">
        <v>693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customFormat="false" ht="15" hidden="false" customHeight="false" outlineLevel="0" collapsed="false">
      <c r="A126" s="20" t="n">
        <v>114</v>
      </c>
      <c r="B126" s="6" t="s">
        <v>70</v>
      </c>
      <c r="C126" s="20" t="s">
        <v>71</v>
      </c>
      <c r="D126" s="51" t="n">
        <f aca="false">SUM(F74:J74)</f>
        <v>171.04851523817</v>
      </c>
      <c r="E126" s="23"/>
      <c r="F126" s="23"/>
      <c r="G126" s="23"/>
      <c r="H126" s="23"/>
      <c r="I126" s="23"/>
      <c r="J126" s="23"/>
      <c r="K126" s="23"/>
      <c r="L126" s="49"/>
    </row>
    <row r="127" customFormat="false" ht="15" hidden="false" customHeight="false" outlineLevel="0" collapsed="false">
      <c r="A127" s="20" t="n">
        <v>115</v>
      </c>
      <c r="B127" s="6" t="s">
        <v>694</v>
      </c>
      <c r="C127" s="20" t="s">
        <v>71</v>
      </c>
      <c r="D127" s="51" t="n">
        <f aca="false">J74</f>
        <v>67.7769522321333</v>
      </c>
      <c r="E127" s="23"/>
      <c r="F127" s="23"/>
      <c r="G127" s="23"/>
      <c r="H127" s="23"/>
      <c r="I127" s="23"/>
      <c r="J127" s="23"/>
      <c r="K127" s="23"/>
      <c r="L127" s="49"/>
    </row>
    <row r="128" customFormat="false" ht="15" hidden="false" customHeight="false" outlineLevel="0" collapsed="false">
      <c r="A128" s="20" t="n">
        <v>116</v>
      </c>
      <c r="B128" s="6" t="s">
        <v>695</v>
      </c>
      <c r="C128" s="20" t="s">
        <v>71</v>
      </c>
      <c r="D128" s="51" t="n">
        <f aca="false">J75</f>
        <v>74.6329671070812</v>
      </c>
      <c r="E128" s="23"/>
      <c r="F128" s="23"/>
      <c r="G128" s="23"/>
      <c r="H128" s="23"/>
      <c r="I128" s="23"/>
      <c r="J128" s="23"/>
      <c r="K128" s="23"/>
      <c r="L128" s="49"/>
    </row>
    <row r="129" customFormat="false" ht="15" hidden="false" customHeight="false" outlineLevel="0" collapsed="false">
      <c r="A129" s="20" t="n">
        <v>117</v>
      </c>
      <c r="B129" s="6" t="s">
        <v>696</v>
      </c>
      <c r="C129" s="20" t="s">
        <v>71</v>
      </c>
      <c r="D129" s="51" t="n">
        <f aca="false">J105</f>
        <v>20.0798082689889</v>
      </c>
      <c r="E129" s="23"/>
      <c r="F129" s="23"/>
      <c r="G129" s="23"/>
      <c r="H129" s="23"/>
      <c r="I129" s="23"/>
      <c r="J129" s="23"/>
      <c r="K129" s="23"/>
      <c r="L129" s="49"/>
    </row>
    <row r="130" customFormat="false" ht="15" hidden="false" customHeight="false" outlineLevel="0" collapsed="false">
      <c r="A130" s="20" t="n">
        <v>118</v>
      </c>
      <c r="B130" s="6" t="s">
        <v>697</v>
      </c>
      <c r="C130" s="20" t="s">
        <v>76</v>
      </c>
      <c r="D130" s="54" t="n">
        <f aca="false">J66</f>
        <v>11</v>
      </c>
      <c r="E130" s="23"/>
      <c r="F130" s="23"/>
      <c r="G130" s="23"/>
      <c r="H130" s="23"/>
      <c r="I130" s="23"/>
      <c r="J130" s="23"/>
      <c r="K130" s="23"/>
      <c r="L130" s="49"/>
    </row>
    <row r="131" customFormat="false" ht="15" hidden="false" customHeight="false" outlineLevel="0" collapsed="false">
      <c r="A131" s="20" t="n">
        <v>119</v>
      </c>
      <c r="B131" s="6" t="s">
        <v>698</v>
      </c>
      <c r="C131" s="20" t="s">
        <v>53</v>
      </c>
      <c r="D131" s="51" t="n">
        <f aca="false">J77</f>
        <v>8</v>
      </c>
      <c r="E131" s="23"/>
      <c r="F131" s="23"/>
      <c r="G131" s="23"/>
      <c r="H131" s="23"/>
      <c r="I131" s="23"/>
      <c r="J131" s="23"/>
      <c r="K131" s="23"/>
      <c r="L131" s="49"/>
    </row>
    <row r="132" customFormat="false" ht="15" hidden="false" customHeight="false" outlineLevel="0" collapsed="false">
      <c r="A132" s="20" t="n">
        <v>120</v>
      </c>
      <c r="B132" s="6" t="s">
        <v>699</v>
      </c>
      <c r="C132" s="20" t="s">
        <v>71</v>
      </c>
      <c r="D132" s="51" t="n">
        <f aca="false">MIN(0,MIN(F117:J117))</f>
        <v>-27.7768958709497</v>
      </c>
      <c r="E132" s="23"/>
      <c r="F132" s="23"/>
      <c r="G132" s="23"/>
      <c r="H132" s="23"/>
      <c r="I132" s="23"/>
      <c r="J132" s="23"/>
      <c r="K132" s="23"/>
      <c r="L132" s="49"/>
    </row>
    <row r="133" customFormat="false" ht="15" hidden="false" customHeight="false" outlineLevel="0" collapsed="false">
      <c r="A133" s="20" t="n">
        <v>121</v>
      </c>
      <c r="B133" s="6" t="s">
        <v>700</v>
      </c>
      <c r="C133" s="20" t="s">
        <v>71</v>
      </c>
      <c r="D133" s="51" t="n">
        <f aca="false">-$D$132*(1+$D$38)</f>
        <v>33.3322750451396</v>
      </c>
      <c r="E133" s="23"/>
      <c r="F133" s="23"/>
      <c r="G133" s="23"/>
      <c r="H133" s="23"/>
      <c r="I133" s="23"/>
      <c r="J133" s="23"/>
      <c r="K133" s="23"/>
      <c r="L133" s="49"/>
    </row>
    <row r="134" customFormat="false" ht="15" hidden="false" customHeight="false" outlineLevel="0" collapsed="false">
      <c r="A134" s="20" t="n">
        <v>122</v>
      </c>
      <c r="B134" s="6" t="s">
        <v>701</v>
      </c>
      <c r="C134" s="20" t="s">
        <v>71</v>
      </c>
      <c r="D134" s="51" t="n">
        <f aca="false">J117</f>
        <v>-12.5675066137707</v>
      </c>
      <c r="E134" s="23"/>
      <c r="F134" s="23"/>
      <c r="G134" s="23"/>
      <c r="H134" s="23"/>
      <c r="I134" s="23"/>
      <c r="J134" s="23"/>
      <c r="K134" s="23"/>
      <c r="L134" s="49"/>
    </row>
    <row r="135" customFormat="false" ht="15" hidden="false" customHeight="false" outlineLevel="0" collapsed="false">
      <c r="A135" s="20" t="n">
        <v>123</v>
      </c>
      <c r="B135" s="6" t="s">
        <v>702</v>
      </c>
      <c r="C135" s="20" t="s">
        <v>71</v>
      </c>
      <c r="D135" s="51" t="n">
        <f aca="false">SUM(F119:J119)</f>
        <v>-14.756216473531</v>
      </c>
      <c r="E135" s="23"/>
      <c r="F135" s="23"/>
      <c r="G135" s="23"/>
      <c r="H135" s="23"/>
      <c r="I135" s="23"/>
      <c r="J135" s="23"/>
      <c r="K135" s="23"/>
      <c r="L135" s="49"/>
    </row>
    <row r="136" customFormat="false" ht="15" hidden="false" customHeight="false" outlineLevel="0" collapsed="false">
      <c r="A136" s="20" t="n">
        <v>124</v>
      </c>
      <c r="B136" s="6" t="s">
        <v>82</v>
      </c>
      <c r="C136" s="20" t="s">
        <v>71</v>
      </c>
      <c r="D136" s="51" t="n">
        <f aca="false">SUM(F119:J119)+SUM(F121:J121)</f>
        <v>-0.149594728978126</v>
      </c>
      <c r="E136" s="23"/>
      <c r="F136" s="23"/>
      <c r="G136" s="23"/>
      <c r="H136" s="23"/>
      <c r="I136" s="23"/>
      <c r="J136" s="23"/>
      <c r="K136" s="23"/>
      <c r="L136" s="49"/>
    </row>
    <row r="137" customFormat="false" ht="15" hidden="false" customHeight="false" outlineLevel="0" collapsed="false">
      <c r="A137" s="20" t="n">
        <v>125</v>
      </c>
      <c r="B137" s="6" t="s">
        <v>83</v>
      </c>
      <c r="C137" s="20" t="s">
        <v>68</v>
      </c>
      <c r="D137" s="55" t="n">
        <f aca="false">IFERROR(IRR(F122:J122),"н/д")</f>
        <v>0.297119976508342</v>
      </c>
      <c r="E137" s="23"/>
      <c r="F137" s="23"/>
      <c r="G137" s="23"/>
      <c r="H137" s="23"/>
      <c r="I137" s="23"/>
      <c r="J137" s="23"/>
      <c r="K137" s="23"/>
      <c r="L137" s="49"/>
    </row>
    <row r="138" customFormat="false" ht="15" hidden="false" customHeight="false" outlineLevel="0" collapsed="false">
      <c r="A138" s="20" t="n">
        <v>126</v>
      </c>
      <c r="B138" s="6" t="s">
        <v>13</v>
      </c>
      <c r="C138" s="20" t="s">
        <v>79</v>
      </c>
      <c r="D138" s="56" t="n">
        <f aca="false">IF(COUNT(F123:J123)=0,"после 2031",MIN(F123:J123))</f>
        <v>2029</v>
      </c>
      <c r="E138" s="23"/>
      <c r="F138" s="23"/>
      <c r="G138" s="23"/>
      <c r="H138" s="23"/>
      <c r="I138" s="23"/>
      <c r="J138" s="23"/>
      <c r="K138" s="23"/>
      <c r="L138" s="49"/>
    </row>
    <row r="139" customFormat="false" ht="15" hidden="false" customHeight="false" outlineLevel="0" collapsed="false">
      <c r="A139" s="20" t="n">
        <v>127</v>
      </c>
      <c r="B139" s="6" t="s">
        <v>703</v>
      </c>
      <c r="C139" s="20" t="s">
        <v>79</v>
      </c>
      <c r="D139" s="56" t="str">
        <f aca="false">IF(COUNT(F124:J124)=0,"после 2031",MIN(F124:J124))</f>
        <v>после 2031</v>
      </c>
      <c r="E139" s="23"/>
      <c r="F139" s="23"/>
      <c r="G139" s="23"/>
      <c r="H139" s="23"/>
      <c r="I139" s="23"/>
      <c r="J139" s="23"/>
      <c r="K139" s="23"/>
      <c r="L139" s="49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L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10" min="6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7" t="s">
        <v>705</v>
      </c>
    </row>
    <row r="2" customFormat="false" ht="15" hidden="false" customHeight="false" outlineLevel="0" collapsed="false">
      <c r="A2" s="18" t="s">
        <v>550</v>
      </c>
    </row>
    <row r="4" customFormat="false" ht="30" hidden="false" customHeight="true" outlineLevel="0" collapsed="false">
      <c r="A4" s="4" t="s">
        <v>49</v>
      </c>
      <c r="B4" s="4" t="s">
        <v>3</v>
      </c>
      <c r="C4" s="5" t="s">
        <v>50</v>
      </c>
      <c r="D4" s="5" t="s">
        <v>551</v>
      </c>
      <c r="E4" s="5" t="s">
        <v>356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552</v>
      </c>
      <c r="L4" s="5" t="s">
        <v>393</v>
      </c>
    </row>
    <row r="5" customFormat="false" ht="15" hidden="false" customHeight="false" outlineLevel="0" collapsed="false">
      <c r="A5" s="19" t="s">
        <v>553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customFormat="false" ht="15" hidden="false" customHeight="false" outlineLevel="0" collapsed="false">
      <c r="A6" s="20" t="n">
        <v>1</v>
      </c>
      <c r="B6" s="6" t="s">
        <v>554</v>
      </c>
      <c r="C6" s="20" t="s">
        <v>79</v>
      </c>
      <c r="D6" s="10" t="n">
        <f aca="false">Допущения!$F$49</f>
        <v>2027</v>
      </c>
      <c r="E6" s="23"/>
      <c r="F6" s="23"/>
      <c r="G6" s="23"/>
      <c r="H6" s="23"/>
      <c r="I6" s="23"/>
      <c r="J6" s="23"/>
      <c r="K6" s="23"/>
      <c r="L6" s="49"/>
    </row>
    <row r="7" customFormat="false" ht="15" hidden="false" customHeight="false" outlineLevel="0" collapsed="false">
      <c r="A7" s="20" t="n">
        <v>2</v>
      </c>
      <c r="B7" s="6" t="s">
        <v>555</v>
      </c>
      <c r="C7" s="20" t="s">
        <v>105</v>
      </c>
      <c r="D7" s="45" t="n">
        <f aca="false">Допущения!$F$7</f>
        <v>1.8</v>
      </c>
      <c r="E7" s="23"/>
      <c r="F7" s="23"/>
      <c r="G7" s="23"/>
      <c r="H7" s="23"/>
      <c r="I7" s="23"/>
      <c r="J7" s="23"/>
      <c r="K7" s="23"/>
      <c r="L7" s="49"/>
    </row>
    <row r="8" customFormat="false" ht="15" hidden="false" customHeight="false" outlineLevel="0" collapsed="false">
      <c r="A8" s="20" t="n">
        <v>3</v>
      </c>
      <c r="B8" s="6" t="s">
        <v>556</v>
      </c>
      <c r="C8" s="20" t="s">
        <v>55</v>
      </c>
      <c r="D8" s="9" t="n">
        <f aca="false">Допущения!$F$42</f>
        <v>8</v>
      </c>
      <c r="E8" s="23"/>
      <c r="F8" s="23"/>
      <c r="G8" s="23"/>
      <c r="H8" s="23"/>
      <c r="I8" s="23"/>
      <c r="J8" s="23"/>
      <c r="K8" s="23"/>
      <c r="L8" s="49"/>
    </row>
    <row r="9" customFormat="false" ht="15" hidden="false" customHeight="false" outlineLevel="0" collapsed="false">
      <c r="A9" s="20" t="n">
        <v>4</v>
      </c>
      <c r="B9" s="6" t="s">
        <v>557</v>
      </c>
      <c r="C9" s="20" t="s">
        <v>244</v>
      </c>
      <c r="D9" s="9" t="n">
        <f aca="false">Допущения!$F$43</f>
        <v>7</v>
      </c>
      <c r="E9" s="23"/>
      <c r="F9" s="23"/>
      <c r="G9" s="23"/>
      <c r="H9" s="23"/>
      <c r="I9" s="23"/>
      <c r="J9" s="23"/>
      <c r="K9" s="23"/>
      <c r="L9" s="49"/>
    </row>
    <row r="10" customFormat="false" ht="15" hidden="false" customHeight="false" outlineLevel="0" collapsed="false">
      <c r="A10" s="20" t="n">
        <v>5</v>
      </c>
      <c r="B10" s="6" t="s">
        <v>558</v>
      </c>
      <c r="C10" s="20" t="s">
        <v>55</v>
      </c>
      <c r="D10" s="9" t="n">
        <f aca="false">Допущения!$F$44</f>
        <v>2</v>
      </c>
      <c r="E10" s="23"/>
      <c r="F10" s="23"/>
      <c r="G10" s="23"/>
      <c r="H10" s="23"/>
      <c r="I10" s="23"/>
      <c r="J10" s="23"/>
      <c r="K10" s="23"/>
      <c r="L10" s="49"/>
    </row>
    <row r="11" customFormat="false" ht="15" hidden="false" customHeight="false" outlineLevel="0" collapsed="false">
      <c r="A11" s="20" t="n">
        <v>6</v>
      </c>
      <c r="B11" s="6" t="s">
        <v>559</v>
      </c>
      <c r="C11" s="20" t="s">
        <v>71</v>
      </c>
      <c r="D11" s="9" t="n">
        <f aca="false">Допущения!$F$45</f>
        <v>10</v>
      </c>
      <c r="E11" s="23"/>
      <c r="F11" s="23"/>
      <c r="G11" s="23"/>
      <c r="H11" s="23"/>
      <c r="I11" s="23"/>
      <c r="J11" s="23"/>
      <c r="K11" s="23"/>
      <c r="L11" s="49"/>
    </row>
    <row r="12" customFormat="false" ht="15" hidden="false" customHeight="false" outlineLevel="0" collapsed="false">
      <c r="A12" s="20" t="n">
        <v>7</v>
      </c>
      <c r="B12" s="6" t="s">
        <v>560</v>
      </c>
      <c r="C12" s="20" t="s">
        <v>71</v>
      </c>
      <c r="D12" s="9" t="n">
        <f aca="false">Допущения!$F$46</f>
        <v>2.5</v>
      </c>
      <c r="E12" s="23"/>
      <c r="F12" s="23"/>
      <c r="G12" s="23"/>
      <c r="H12" s="23"/>
      <c r="I12" s="23"/>
      <c r="J12" s="23"/>
      <c r="K12" s="23"/>
      <c r="L12" s="49"/>
    </row>
    <row r="13" customFormat="false" ht="15" hidden="false" customHeight="false" outlineLevel="0" collapsed="false">
      <c r="A13" s="20" t="n">
        <v>8</v>
      </c>
      <c r="B13" s="6" t="s">
        <v>260</v>
      </c>
      <c r="C13" s="20" t="s">
        <v>261</v>
      </c>
      <c r="D13" s="22" t="n">
        <f aca="false">Допущения!$F$47</f>
        <v>0.06</v>
      </c>
      <c r="E13" s="23"/>
      <c r="F13" s="23"/>
      <c r="G13" s="23"/>
      <c r="H13" s="23"/>
      <c r="I13" s="23"/>
      <c r="J13" s="23"/>
      <c r="K13" s="23"/>
      <c r="L13" s="49"/>
    </row>
    <row r="14" customFormat="false" ht="15" hidden="false" customHeight="false" outlineLevel="0" collapsed="false">
      <c r="A14" s="20" t="n">
        <v>9</v>
      </c>
      <c r="B14" s="6" t="s">
        <v>561</v>
      </c>
      <c r="C14" s="20" t="s">
        <v>261</v>
      </c>
      <c r="D14" s="22" t="n">
        <f aca="false">Допущения!$F$48</f>
        <v>0.25</v>
      </c>
      <c r="E14" s="23"/>
      <c r="F14" s="23"/>
      <c r="G14" s="23"/>
      <c r="H14" s="23"/>
      <c r="I14" s="23"/>
      <c r="J14" s="23"/>
      <c r="K14" s="23"/>
      <c r="L14" s="49"/>
    </row>
    <row r="15" customFormat="false" ht="15" hidden="false" customHeight="false" outlineLevel="0" collapsed="false">
      <c r="A15" s="20" t="n">
        <v>10</v>
      </c>
      <c r="B15" s="6" t="s">
        <v>274</v>
      </c>
      <c r="C15" s="20" t="s">
        <v>261</v>
      </c>
      <c r="D15" s="22" t="n">
        <f aca="false">Допущения!$F$51</f>
        <v>0.07</v>
      </c>
      <c r="E15" s="23"/>
      <c r="F15" s="23"/>
      <c r="G15" s="23"/>
      <c r="H15" s="23"/>
      <c r="I15" s="23"/>
      <c r="J15" s="23"/>
      <c r="K15" s="23"/>
      <c r="L15" s="49"/>
    </row>
    <row r="16" customFormat="false" ht="15" hidden="false" customHeight="false" outlineLevel="0" collapsed="false">
      <c r="A16" s="20" t="n">
        <v>11</v>
      </c>
      <c r="B16" s="6" t="s">
        <v>562</v>
      </c>
      <c r="C16" s="20" t="s">
        <v>68</v>
      </c>
      <c r="D16" s="22" t="n">
        <f aca="false">Допущения!$F$52</f>
        <v>0.15</v>
      </c>
      <c r="E16" s="23"/>
      <c r="F16" s="23"/>
      <c r="G16" s="23"/>
      <c r="H16" s="23"/>
      <c r="I16" s="23"/>
      <c r="J16" s="23"/>
      <c r="K16" s="23"/>
      <c r="L16" s="49"/>
    </row>
    <row r="17" customFormat="false" ht="15" hidden="false" customHeight="false" outlineLevel="0" collapsed="false">
      <c r="A17" s="20" t="n">
        <v>12</v>
      </c>
      <c r="B17" s="6" t="s">
        <v>563</v>
      </c>
      <c r="C17" s="20" t="s">
        <v>68</v>
      </c>
      <c r="D17" s="22" t="n">
        <f aca="false">Допущения!$F$53</f>
        <v>0.076</v>
      </c>
      <c r="E17" s="23"/>
      <c r="F17" s="23"/>
      <c r="G17" s="23"/>
      <c r="H17" s="23"/>
      <c r="I17" s="23"/>
      <c r="J17" s="23"/>
      <c r="K17" s="23"/>
      <c r="L17" s="49"/>
    </row>
    <row r="18" customFormat="false" ht="15" hidden="false" customHeight="false" outlineLevel="0" collapsed="false">
      <c r="A18" s="20" t="n">
        <v>13</v>
      </c>
      <c r="B18" s="6" t="s">
        <v>284</v>
      </c>
      <c r="C18" s="20" t="s">
        <v>68</v>
      </c>
      <c r="D18" s="22" t="n">
        <f aca="false">Допущения!$F$54</f>
        <v>0.002</v>
      </c>
      <c r="E18" s="23"/>
      <c r="F18" s="23"/>
      <c r="G18" s="23"/>
      <c r="H18" s="23"/>
      <c r="I18" s="23"/>
      <c r="J18" s="23"/>
      <c r="K18" s="23"/>
      <c r="L18" s="49"/>
    </row>
    <row r="19" customFormat="false" ht="15" hidden="false" customHeight="false" outlineLevel="0" collapsed="false">
      <c r="A19" s="20" t="n">
        <v>14</v>
      </c>
      <c r="B19" s="6" t="s">
        <v>564</v>
      </c>
      <c r="C19" s="20" t="s">
        <v>55</v>
      </c>
      <c r="D19" s="50" t="n">
        <f aca="false">Допущения!$F$55</f>
        <v>2.979</v>
      </c>
      <c r="E19" s="23"/>
      <c r="F19" s="23"/>
      <c r="G19" s="23"/>
      <c r="H19" s="23"/>
      <c r="I19" s="23"/>
      <c r="J19" s="23"/>
      <c r="K19" s="23"/>
      <c r="L19" s="49"/>
    </row>
    <row r="20" customFormat="false" ht="15" hidden="false" customHeight="false" outlineLevel="0" collapsed="false">
      <c r="A20" s="20" t="n">
        <v>15</v>
      </c>
      <c r="B20" s="6" t="s">
        <v>565</v>
      </c>
      <c r="C20" s="20" t="s">
        <v>261</v>
      </c>
      <c r="D20" s="22" t="n">
        <f aca="false">Допущения!$F$56</f>
        <v>0.08</v>
      </c>
      <c r="E20" s="23"/>
      <c r="F20" s="23"/>
      <c r="G20" s="23"/>
      <c r="H20" s="23"/>
      <c r="I20" s="23"/>
      <c r="J20" s="23"/>
      <c r="K20" s="23"/>
      <c r="L20" s="49"/>
    </row>
    <row r="21" customFormat="false" ht="15" hidden="false" customHeight="false" outlineLevel="0" collapsed="false">
      <c r="A21" s="20" t="n">
        <v>16</v>
      </c>
      <c r="B21" s="6" t="s">
        <v>566</v>
      </c>
      <c r="C21" s="20" t="s">
        <v>71</v>
      </c>
      <c r="D21" s="9" t="n">
        <f aca="false">Допущения!$F$58</f>
        <v>2.5</v>
      </c>
      <c r="E21" s="23"/>
      <c r="F21" s="23"/>
      <c r="G21" s="23"/>
      <c r="H21" s="23"/>
      <c r="I21" s="23"/>
      <c r="J21" s="23"/>
      <c r="K21" s="23"/>
      <c r="L21" s="49"/>
    </row>
    <row r="22" customFormat="false" ht="15" hidden="false" customHeight="false" outlineLevel="0" collapsed="false">
      <c r="A22" s="20" t="n">
        <v>17</v>
      </c>
      <c r="B22" s="6" t="s">
        <v>299</v>
      </c>
      <c r="C22" s="20" t="s">
        <v>55</v>
      </c>
      <c r="D22" s="9" t="n">
        <f aca="false">Допущения!$F$59</f>
        <v>1</v>
      </c>
      <c r="E22" s="23"/>
      <c r="F22" s="23"/>
      <c r="G22" s="23"/>
      <c r="H22" s="23"/>
      <c r="I22" s="23"/>
      <c r="J22" s="23"/>
      <c r="K22" s="23"/>
      <c r="L22" s="49"/>
    </row>
    <row r="23" customFormat="false" ht="15" hidden="false" customHeight="false" outlineLevel="0" collapsed="false">
      <c r="A23" s="20" t="n">
        <v>18</v>
      </c>
      <c r="B23" s="6" t="s">
        <v>302</v>
      </c>
      <c r="C23" s="20" t="s">
        <v>55</v>
      </c>
      <c r="D23" s="9" t="n">
        <f aca="false">Допущения!$F$60</f>
        <v>0.8</v>
      </c>
      <c r="E23" s="23"/>
      <c r="F23" s="23"/>
      <c r="G23" s="23"/>
      <c r="H23" s="23"/>
      <c r="I23" s="23"/>
      <c r="J23" s="23"/>
      <c r="K23" s="23"/>
      <c r="L23" s="49"/>
    </row>
    <row r="24" customFormat="false" ht="15" hidden="false" customHeight="false" outlineLevel="0" collapsed="false">
      <c r="A24" s="20" t="n">
        <v>19</v>
      </c>
      <c r="B24" s="6" t="s">
        <v>567</v>
      </c>
      <c r="C24" s="20" t="s">
        <v>55</v>
      </c>
      <c r="D24" s="45" t="n">
        <f aca="false">Допущения!$F$61</f>
        <v>0.18</v>
      </c>
      <c r="E24" s="23"/>
      <c r="F24" s="23"/>
      <c r="G24" s="23"/>
      <c r="H24" s="23"/>
      <c r="I24" s="23"/>
      <c r="J24" s="23"/>
      <c r="K24" s="23"/>
      <c r="L24" s="49"/>
    </row>
    <row r="25" customFormat="false" ht="15" hidden="false" customHeight="false" outlineLevel="0" collapsed="false">
      <c r="A25" s="20" t="n">
        <v>20</v>
      </c>
      <c r="B25" s="6" t="s">
        <v>568</v>
      </c>
      <c r="C25" s="20" t="s">
        <v>55</v>
      </c>
      <c r="D25" s="9" t="n">
        <f aca="false">Допущения!$F$62</f>
        <v>1.5</v>
      </c>
      <c r="E25" s="23"/>
      <c r="F25" s="23"/>
      <c r="G25" s="23"/>
      <c r="H25" s="23"/>
      <c r="I25" s="23"/>
      <c r="J25" s="23"/>
      <c r="K25" s="23"/>
      <c r="L25" s="49"/>
    </row>
    <row r="26" customFormat="false" ht="15" hidden="false" customHeight="false" outlineLevel="0" collapsed="false">
      <c r="A26" s="20" t="n">
        <v>21</v>
      </c>
      <c r="B26" s="6" t="s">
        <v>569</v>
      </c>
      <c r="C26" s="20" t="s">
        <v>71</v>
      </c>
      <c r="D26" s="9" t="n">
        <f aca="false">Допущения!$F$63</f>
        <v>0.5</v>
      </c>
      <c r="E26" s="23"/>
      <c r="F26" s="23"/>
      <c r="G26" s="23"/>
      <c r="H26" s="23"/>
      <c r="I26" s="23"/>
      <c r="J26" s="23"/>
      <c r="K26" s="23"/>
      <c r="L26" s="49"/>
    </row>
    <row r="27" customFormat="false" ht="15" hidden="false" customHeight="false" outlineLevel="0" collapsed="false">
      <c r="A27" s="20" t="n">
        <v>22</v>
      </c>
      <c r="B27" s="6" t="s">
        <v>314</v>
      </c>
      <c r="C27" s="20" t="s">
        <v>55</v>
      </c>
      <c r="D27" s="9" t="n">
        <f aca="false">Допущения!$F$64</f>
        <v>1.5</v>
      </c>
      <c r="E27" s="23"/>
      <c r="F27" s="23"/>
      <c r="G27" s="23"/>
      <c r="H27" s="23"/>
      <c r="I27" s="23"/>
      <c r="J27" s="23"/>
      <c r="K27" s="23"/>
      <c r="L27" s="49"/>
    </row>
    <row r="28" customFormat="false" ht="15" hidden="false" customHeight="false" outlineLevel="0" collapsed="false">
      <c r="A28" s="20" t="n">
        <v>23</v>
      </c>
      <c r="B28" s="6" t="s">
        <v>317</v>
      </c>
      <c r="C28" s="20" t="s">
        <v>55</v>
      </c>
      <c r="D28" s="45" t="n">
        <f aca="false">Допущения!$F$65</f>
        <v>0.12</v>
      </c>
      <c r="E28" s="23"/>
      <c r="F28" s="23"/>
      <c r="G28" s="23"/>
      <c r="H28" s="23"/>
      <c r="I28" s="23"/>
      <c r="J28" s="23"/>
      <c r="K28" s="23"/>
      <c r="L28" s="49"/>
    </row>
    <row r="29" customFormat="false" ht="15" hidden="false" customHeight="false" outlineLevel="0" collapsed="false">
      <c r="A29" s="20" t="n">
        <v>24</v>
      </c>
      <c r="B29" s="6" t="s">
        <v>320</v>
      </c>
      <c r="C29" s="20" t="s">
        <v>71</v>
      </c>
      <c r="D29" s="45" t="n">
        <f aca="false">Допущения!$F$66</f>
        <v>0.25</v>
      </c>
      <c r="E29" s="23"/>
      <c r="F29" s="23"/>
      <c r="G29" s="23"/>
      <c r="H29" s="23"/>
      <c r="I29" s="23"/>
      <c r="J29" s="23"/>
      <c r="K29" s="23"/>
      <c r="L29" s="49"/>
    </row>
    <row r="30" customFormat="false" ht="15" hidden="false" customHeight="false" outlineLevel="0" collapsed="false">
      <c r="A30" s="20" t="n">
        <v>25</v>
      </c>
      <c r="B30" s="6" t="s">
        <v>570</v>
      </c>
      <c r="C30" s="20" t="s">
        <v>71</v>
      </c>
      <c r="D30" s="9" t="n">
        <f aca="false">Допущения!$F$67</f>
        <v>0.3</v>
      </c>
      <c r="E30" s="23"/>
      <c r="F30" s="23"/>
      <c r="G30" s="23"/>
      <c r="H30" s="23"/>
      <c r="I30" s="23"/>
      <c r="J30" s="23"/>
      <c r="K30" s="23"/>
      <c r="L30" s="49"/>
    </row>
    <row r="31" customFormat="false" ht="15" hidden="false" customHeight="false" outlineLevel="0" collapsed="false">
      <c r="A31" s="20" t="n">
        <v>26</v>
      </c>
      <c r="B31" s="6" t="s">
        <v>326</v>
      </c>
      <c r="C31" s="20" t="s">
        <v>261</v>
      </c>
      <c r="D31" s="22" t="n">
        <f aca="false">Допущения!$F$68</f>
        <v>0.05</v>
      </c>
      <c r="E31" s="23"/>
      <c r="F31" s="23"/>
      <c r="G31" s="23"/>
      <c r="H31" s="23"/>
      <c r="I31" s="23"/>
      <c r="J31" s="23"/>
      <c r="K31" s="23"/>
      <c r="L31" s="49"/>
    </row>
    <row r="32" customFormat="false" ht="15" hidden="false" customHeight="false" outlineLevel="0" collapsed="false">
      <c r="A32" s="20" t="n">
        <v>27</v>
      </c>
      <c r="B32" s="6" t="s">
        <v>571</v>
      </c>
      <c r="C32" s="20" t="s">
        <v>330</v>
      </c>
      <c r="D32" s="22" t="n">
        <f aca="false">Допущения!$F$69</f>
        <v>0.1</v>
      </c>
      <c r="E32" s="23"/>
      <c r="F32" s="23"/>
      <c r="G32" s="23"/>
      <c r="H32" s="23"/>
      <c r="I32" s="23"/>
      <c r="J32" s="23"/>
      <c r="K32" s="23"/>
      <c r="L32" s="49"/>
    </row>
    <row r="33" customFormat="false" ht="15" hidden="false" customHeight="false" outlineLevel="0" collapsed="false">
      <c r="A33" s="20" t="n">
        <v>28</v>
      </c>
      <c r="B33" s="6" t="s">
        <v>572</v>
      </c>
      <c r="C33" s="20" t="s">
        <v>68</v>
      </c>
      <c r="D33" s="22" t="n">
        <f aca="false">Допущения!$F$71</f>
        <v>0.05</v>
      </c>
      <c r="E33" s="23"/>
      <c r="F33" s="23"/>
      <c r="G33" s="23"/>
      <c r="H33" s="23"/>
      <c r="I33" s="23"/>
      <c r="J33" s="23"/>
      <c r="K33" s="23"/>
      <c r="L33" s="49"/>
    </row>
    <row r="34" customFormat="false" ht="15" hidden="false" customHeight="false" outlineLevel="0" collapsed="false">
      <c r="A34" s="20" t="n">
        <v>29</v>
      </c>
      <c r="B34" s="6" t="s">
        <v>573</v>
      </c>
      <c r="C34" s="20" t="s">
        <v>68</v>
      </c>
      <c r="D34" s="22" t="n">
        <f aca="false">Допущения!$F$72</f>
        <v>0.5</v>
      </c>
      <c r="E34" s="23"/>
      <c r="F34" s="23"/>
      <c r="G34" s="23"/>
      <c r="H34" s="23"/>
      <c r="I34" s="23"/>
      <c r="J34" s="23"/>
      <c r="K34" s="23"/>
      <c r="L34" s="49"/>
    </row>
    <row r="35" customFormat="false" ht="15" hidden="false" customHeight="false" outlineLevel="0" collapsed="false">
      <c r="A35" s="20" t="n">
        <v>30</v>
      </c>
      <c r="B35" s="6" t="s">
        <v>574</v>
      </c>
      <c r="C35" s="20" t="s">
        <v>575</v>
      </c>
      <c r="D35" s="7" t="n">
        <f aca="false">Допущения!$F$73</f>
        <v>60</v>
      </c>
      <c r="E35" s="23"/>
      <c r="F35" s="23"/>
      <c r="G35" s="23"/>
      <c r="H35" s="23"/>
      <c r="I35" s="23"/>
      <c r="J35" s="23"/>
      <c r="K35" s="23"/>
      <c r="L35" s="49"/>
    </row>
    <row r="36" customFormat="false" ht="15" hidden="false" customHeight="false" outlineLevel="0" collapsed="false">
      <c r="A36" s="20" t="n">
        <v>31</v>
      </c>
      <c r="B36" s="6" t="s">
        <v>345</v>
      </c>
      <c r="C36" s="20" t="s">
        <v>68</v>
      </c>
      <c r="D36" s="22" t="n">
        <f aca="false">Допущения!$F$74</f>
        <v>0.3</v>
      </c>
      <c r="E36" s="23"/>
      <c r="F36" s="23"/>
      <c r="G36" s="23"/>
      <c r="H36" s="23"/>
      <c r="I36" s="23"/>
      <c r="J36" s="23"/>
      <c r="K36" s="23"/>
      <c r="L36" s="49"/>
    </row>
    <row r="37" customFormat="false" ht="15" hidden="false" customHeight="false" outlineLevel="0" collapsed="false">
      <c r="A37" s="20" t="n">
        <v>32</v>
      </c>
      <c r="B37" s="6" t="s">
        <v>576</v>
      </c>
      <c r="C37" s="20" t="s">
        <v>261</v>
      </c>
      <c r="D37" s="22" t="n">
        <f aca="false">Допущения!$F$75</f>
        <v>0.04</v>
      </c>
      <c r="E37" s="23"/>
      <c r="F37" s="23"/>
      <c r="G37" s="23"/>
      <c r="H37" s="23"/>
      <c r="I37" s="23"/>
      <c r="J37" s="23"/>
      <c r="K37" s="23"/>
      <c r="L37" s="49"/>
    </row>
    <row r="38" customFormat="false" ht="15" hidden="false" customHeight="false" outlineLevel="0" collapsed="false">
      <c r="A38" s="20" t="n">
        <v>33</v>
      </c>
      <c r="B38" s="6" t="s">
        <v>577</v>
      </c>
      <c r="C38" s="20" t="s">
        <v>68</v>
      </c>
      <c r="D38" s="22" t="n">
        <f aca="false">Допущения!$F$76</f>
        <v>0.2</v>
      </c>
      <c r="E38" s="23"/>
      <c r="F38" s="23"/>
      <c r="G38" s="23"/>
      <c r="H38" s="23"/>
      <c r="I38" s="23"/>
      <c r="J38" s="23"/>
      <c r="K38" s="23"/>
      <c r="L38" s="49"/>
    </row>
    <row r="39" customFormat="false" ht="15" hidden="false" customHeight="false" outlineLevel="0" collapsed="false">
      <c r="A39" s="20" t="n">
        <v>34</v>
      </c>
      <c r="B39" s="6" t="s">
        <v>578</v>
      </c>
      <c r="C39" s="20" t="s">
        <v>105</v>
      </c>
      <c r="D39" s="50" t="n">
        <f aca="false">Рынок!$F$30</f>
        <v>0.490909090909091</v>
      </c>
      <c r="E39" s="23"/>
      <c r="F39" s="23"/>
      <c r="G39" s="23"/>
      <c r="H39" s="23"/>
      <c r="I39" s="23"/>
      <c r="J39" s="23"/>
      <c r="K39" s="23"/>
      <c r="L39" s="49" t="s">
        <v>579</v>
      </c>
    </row>
    <row r="40" customFormat="false" ht="15" hidden="false" customHeight="false" outlineLevel="0" collapsed="false">
      <c r="A40" s="20" t="n">
        <v>35</v>
      </c>
      <c r="B40" s="6" t="s">
        <v>580</v>
      </c>
      <c r="C40" s="20" t="s">
        <v>105</v>
      </c>
      <c r="D40" s="50" t="n">
        <f aca="false">Рынок!$F$31</f>
        <v>0.028125</v>
      </c>
      <c r="E40" s="23"/>
      <c r="F40" s="23"/>
      <c r="G40" s="23"/>
      <c r="H40" s="23"/>
      <c r="I40" s="23"/>
      <c r="J40" s="23"/>
      <c r="K40" s="23"/>
      <c r="L40" s="49" t="s">
        <v>579</v>
      </c>
    </row>
    <row r="41" customFormat="false" ht="15" hidden="false" customHeight="false" outlineLevel="0" collapsed="false">
      <c r="A41" s="20" t="n">
        <v>36</v>
      </c>
      <c r="B41" s="6" t="s">
        <v>581</v>
      </c>
      <c r="C41" s="20" t="s">
        <v>142</v>
      </c>
      <c r="D41" s="7" t="n">
        <f aca="false">План!$D$28</f>
        <v>200</v>
      </c>
      <c r="E41" s="23"/>
      <c r="F41" s="23"/>
      <c r="G41" s="23"/>
      <c r="H41" s="23"/>
      <c r="I41" s="23"/>
      <c r="J41" s="23"/>
      <c r="K41" s="23"/>
      <c r="L41" s="49" t="s">
        <v>582</v>
      </c>
    </row>
    <row r="42" customFormat="false" ht="15" hidden="false" customHeight="false" outlineLevel="0" collapsed="false">
      <c r="A42" s="20" t="n">
        <v>37</v>
      </c>
      <c r="B42" s="6" t="s">
        <v>583</v>
      </c>
      <c r="C42" s="20" t="s">
        <v>142</v>
      </c>
      <c r="D42" s="7" t="n">
        <f aca="false">План!$D$29</f>
        <v>280</v>
      </c>
      <c r="E42" s="23"/>
      <c r="F42" s="23"/>
      <c r="G42" s="23"/>
      <c r="H42" s="23"/>
      <c r="I42" s="23"/>
      <c r="J42" s="23"/>
      <c r="K42" s="23"/>
      <c r="L42" s="49" t="s">
        <v>582</v>
      </c>
    </row>
    <row r="43" customFormat="false" ht="15" hidden="false" customHeight="false" outlineLevel="0" collapsed="false">
      <c r="A43" s="20" t="n">
        <v>38</v>
      </c>
      <c r="B43" s="6" t="s">
        <v>584</v>
      </c>
      <c r="C43" s="20" t="s">
        <v>142</v>
      </c>
      <c r="D43" s="7" t="n">
        <f aca="false">План!$D$30</f>
        <v>230</v>
      </c>
      <c r="E43" s="23"/>
      <c r="F43" s="23"/>
      <c r="G43" s="23"/>
      <c r="H43" s="23"/>
      <c r="I43" s="23"/>
      <c r="J43" s="23"/>
      <c r="K43" s="23"/>
      <c r="L43" s="49" t="s">
        <v>582</v>
      </c>
    </row>
    <row r="44" customFormat="false" ht="15" hidden="false" customHeight="false" outlineLevel="0" collapsed="false">
      <c r="A44" s="20" t="n">
        <v>39</v>
      </c>
      <c r="B44" s="6" t="s">
        <v>585</v>
      </c>
      <c r="C44" s="20" t="s">
        <v>142</v>
      </c>
      <c r="D44" s="7" t="n">
        <f aca="false">План!$D$31</f>
        <v>220</v>
      </c>
      <c r="E44" s="23"/>
      <c r="F44" s="23"/>
      <c r="G44" s="23"/>
      <c r="H44" s="23"/>
      <c r="I44" s="23"/>
      <c r="J44" s="23"/>
      <c r="K44" s="23"/>
      <c r="L44" s="49" t="s">
        <v>582</v>
      </c>
    </row>
    <row r="45" customFormat="false" ht="15" hidden="false" customHeight="false" outlineLevel="0" collapsed="false">
      <c r="A45" s="20" t="n">
        <v>40</v>
      </c>
      <c r="B45" s="6" t="s">
        <v>586</v>
      </c>
      <c r="C45" s="20" t="s">
        <v>142</v>
      </c>
      <c r="D45" s="7" t="n">
        <f aca="false">План!$D$32</f>
        <v>250</v>
      </c>
      <c r="E45" s="23"/>
      <c r="F45" s="23"/>
      <c r="G45" s="23"/>
      <c r="H45" s="23"/>
      <c r="I45" s="23"/>
      <c r="J45" s="23"/>
      <c r="K45" s="23"/>
      <c r="L45" s="49" t="s">
        <v>582</v>
      </c>
    </row>
    <row r="46" customFormat="false" ht="15" hidden="false" customHeight="false" outlineLevel="0" collapsed="false">
      <c r="A46" s="20" t="n">
        <v>41</v>
      </c>
      <c r="B46" s="6" t="s">
        <v>587</v>
      </c>
      <c r="C46" s="20" t="s">
        <v>142</v>
      </c>
      <c r="D46" s="7" t="n">
        <f aca="false">План!$D$33</f>
        <v>220</v>
      </c>
      <c r="E46" s="23"/>
      <c r="F46" s="23"/>
      <c r="G46" s="23"/>
      <c r="H46" s="23"/>
      <c r="I46" s="23"/>
      <c r="J46" s="23"/>
      <c r="K46" s="23"/>
      <c r="L46" s="49" t="s">
        <v>582</v>
      </c>
    </row>
    <row r="47" customFormat="false" ht="15" hidden="false" customHeight="false" outlineLevel="0" collapsed="false">
      <c r="A47" s="20" t="n">
        <v>42</v>
      </c>
      <c r="B47" s="6" t="s">
        <v>359</v>
      </c>
      <c r="C47" s="20" t="s">
        <v>76</v>
      </c>
      <c r="D47" s="23"/>
      <c r="E47" s="9" t="n">
        <f aca="false">План!E26</f>
        <v>0</v>
      </c>
      <c r="F47" s="9" t="n">
        <f aca="false">План!F26</f>
        <v>0</v>
      </c>
      <c r="G47" s="9" t="n">
        <f aca="false">План!G26</f>
        <v>0</v>
      </c>
      <c r="H47" s="9" t="n">
        <f aca="false">План!H26</f>
        <v>1</v>
      </c>
      <c r="I47" s="9" t="n">
        <f aca="false">План!I26</f>
        <v>1</v>
      </c>
      <c r="J47" s="9" t="n">
        <f aca="false">План!J26</f>
        <v>1</v>
      </c>
      <c r="K47" s="51" t="n">
        <f aca="false">SUM(F47:J47)</f>
        <v>3</v>
      </c>
      <c r="L47" s="49" t="s">
        <v>582</v>
      </c>
    </row>
    <row r="48" customFormat="false" ht="15" hidden="false" customHeight="false" outlineLevel="0" collapsed="false">
      <c r="A48" s="20" t="n">
        <v>43</v>
      </c>
      <c r="B48" s="6" t="s">
        <v>361</v>
      </c>
      <c r="C48" s="20" t="s">
        <v>76</v>
      </c>
      <c r="D48" s="23"/>
      <c r="E48" s="9" t="n">
        <f aca="false">План!E27</f>
        <v>0</v>
      </c>
      <c r="F48" s="9" t="n">
        <f aca="false">План!F27</f>
        <v>0</v>
      </c>
      <c r="G48" s="9" t="n">
        <f aca="false">План!G27</f>
        <v>2</v>
      </c>
      <c r="H48" s="9" t="n">
        <f aca="false">План!H27</f>
        <v>3</v>
      </c>
      <c r="I48" s="9" t="n">
        <f aca="false">План!I27</f>
        <v>4</v>
      </c>
      <c r="J48" s="9" t="n">
        <f aca="false">План!J27</f>
        <v>5</v>
      </c>
      <c r="K48" s="51" t="n">
        <f aca="false">SUM(F48:J48)</f>
        <v>14</v>
      </c>
      <c r="L48" s="49" t="s">
        <v>582</v>
      </c>
    </row>
    <row r="49" customFormat="false" ht="15" hidden="false" customHeight="false" outlineLevel="0" collapsed="false">
      <c r="A49" s="20" t="n">
        <v>44</v>
      </c>
      <c r="B49" s="6" t="s">
        <v>588</v>
      </c>
      <c r="C49" s="20" t="s">
        <v>53</v>
      </c>
      <c r="D49" s="23"/>
      <c r="E49" s="9" t="n">
        <f aca="false">План!E28</f>
        <v>2</v>
      </c>
      <c r="F49" s="9" t="n">
        <f aca="false">План!F28</f>
        <v>2</v>
      </c>
      <c r="G49" s="9" t="n">
        <f aca="false">План!G28</f>
        <v>2</v>
      </c>
      <c r="H49" s="9" t="n">
        <f aca="false">План!H28</f>
        <v>2</v>
      </c>
      <c r="I49" s="9" t="n">
        <f aca="false">План!I28</f>
        <v>2</v>
      </c>
      <c r="J49" s="9" t="n">
        <f aca="false">План!J28</f>
        <v>2</v>
      </c>
      <c r="K49" s="23"/>
      <c r="L49" s="49" t="s">
        <v>582</v>
      </c>
    </row>
    <row r="50" customFormat="false" ht="15" hidden="false" customHeight="false" outlineLevel="0" collapsed="false">
      <c r="A50" s="20" t="n">
        <v>45</v>
      </c>
      <c r="B50" s="6" t="s">
        <v>589</v>
      </c>
      <c r="C50" s="20" t="s">
        <v>53</v>
      </c>
      <c r="D50" s="23"/>
      <c r="E50" s="9" t="n">
        <f aca="false">План!E29</f>
        <v>0</v>
      </c>
      <c r="F50" s="9" t="n">
        <f aca="false">План!F29</f>
        <v>1</v>
      </c>
      <c r="G50" s="9" t="n">
        <f aca="false">План!G29</f>
        <v>2</v>
      </c>
      <c r="H50" s="9" t="n">
        <f aca="false">План!H29</f>
        <v>3</v>
      </c>
      <c r="I50" s="9" t="n">
        <f aca="false">План!I29</f>
        <v>3</v>
      </c>
      <c r="J50" s="9" t="n">
        <f aca="false">План!J29</f>
        <v>4</v>
      </c>
      <c r="K50" s="23"/>
      <c r="L50" s="49" t="s">
        <v>582</v>
      </c>
    </row>
    <row r="51" customFormat="false" ht="15" hidden="false" customHeight="false" outlineLevel="0" collapsed="false">
      <c r="A51" s="20" t="n">
        <v>46</v>
      </c>
      <c r="B51" s="6" t="s">
        <v>590</v>
      </c>
      <c r="C51" s="20" t="s">
        <v>53</v>
      </c>
      <c r="D51" s="23"/>
      <c r="E51" s="9" t="n">
        <f aca="false">План!E30</f>
        <v>0</v>
      </c>
      <c r="F51" s="9" t="n">
        <f aca="false">План!F30</f>
        <v>1</v>
      </c>
      <c r="G51" s="9" t="n">
        <f aca="false">План!G30</f>
        <v>1</v>
      </c>
      <c r="H51" s="9" t="n">
        <f aca="false">План!H30</f>
        <v>1</v>
      </c>
      <c r="I51" s="9" t="n">
        <f aca="false">План!I30</f>
        <v>2</v>
      </c>
      <c r="J51" s="9" t="n">
        <f aca="false">План!J30</f>
        <v>2</v>
      </c>
      <c r="K51" s="23"/>
      <c r="L51" s="49" t="s">
        <v>582</v>
      </c>
    </row>
    <row r="52" customFormat="false" ht="15" hidden="false" customHeight="false" outlineLevel="0" collapsed="false">
      <c r="A52" s="20" t="n">
        <v>47</v>
      </c>
      <c r="B52" s="6" t="s">
        <v>591</v>
      </c>
      <c r="C52" s="20" t="s">
        <v>53</v>
      </c>
      <c r="D52" s="23"/>
      <c r="E52" s="9" t="n">
        <f aca="false">План!E31</f>
        <v>0</v>
      </c>
      <c r="F52" s="9" t="n">
        <f aca="false">План!F31</f>
        <v>0</v>
      </c>
      <c r="G52" s="9" t="n">
        <f aca="false">План!G31</f>
        <v>1</v>
      </c>
      <c r="H52" s="9" t="n">
        <f aca="false">План!H31</f>
        <v>2</v>
      </c>
      <c r="I52" s="9" t="n">
        <f aca="false">План!I31</f>
        <v>3</v>
      </c>
      <c r="J52" s="9" t="n">
        <f aca="false">План!J31</f>
        <v>3</v>
      </c>
      <c r="K52" s="23"/>
      <c r="L52" s="49" t="s">
        <v>582</v>
      </c>
    </row>
    <row r="53" customFormat="false" ht="15" hidden="false" customHeight="false" outlineLevel="0" collapsed="false">
      <c r="A53" s="20" t="n">
        <v>48</v>
      </c>
      <c r="B53" s="6" t="s">
        <v>592</v>
      </c>
      <c r="C53" s="20" t="s">
        <v>53</v>
      </c>
      <c r="D53" s="23"/>
      <c r="E53" s="9" t="n">
        <f aca="false">План!E32</f>
        <v>0</v>
      </c>
      <c r="F53" s="9" t="n">
        <f aca="false">План!F32</f>
        <v>0</v>
      </c>
      <c r="G53" s="9" t="n">
        <f aca="false">План!G32</f>
        <v>1</v>
      </c>
      <c r="H53" s="9" t="n">
        <f aca="false">План!H32</f>
        <v>1</v>
      </c>
      <c r="I53" s="9" t="n">
        <f aca="false">План!I32</f>
        <v>1</v>
      </c>
      <c r="J53" s="9" t="n">
        <f aca="false">План!J32</f>
        <v>2</v>
      </c>
      <c r="K53" s="23"/>
      <c r="L53" s="49" t="s">
        <v>582</v>
      </c>
    </row>
    <row r="54" customFormat="false" ht="15" hidden="false" customHeight="false" outlineLevel="0" collapsed="false">
      <c r="A54" s="20" t="n">
        <v>49</v>
      </c>
      <c r="B54" s="6" t="s">
        <v>593</v>
      </c>
      <c r="C54" s="20" t="s">
        <v>53</v>
      </c>
      <c r="D54" s="23"/>
      <c r="E54" s="9" t="n">
        <f aca="false">План!E33</f>
        <v>0</v>
      </c>
      <c r="F54" s="9" t="n">
        <f aca="false">План!F33</f>
        <v>0</v>
      </c>
      <c r="G54" s="9" t="n">
        <f aca="false">План!G33</f>
        <v>0</v>
      </c>
      <c r="H54" s="9" t="n">
        <f aca="false">План!H33</f>
        <v>1</v>
      </c>
      <c r="I54" s="9" t="n">
        <f aca="false">План!I33</f>
        <v>1</v>
      </c>
      <c r="J54" s="9" t="n">
        <f aca="false">План!J33</f>
        <v>2</v>
      </c>
      <c r="K54" s="23"/>
      <c r="L54" s="49" t="s">
        <v>582</v>
      </c>
    </row>
    <row r="55" customFormat="false" ht="15" hidden="false" customHeight="false" outlineLevel="0" collapsed="false">
      <c r="A55" s="19" t="s">
        <v>594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false" outlineLevel="0" collapsed="false">
      <c r="A56" s="20" t="n">
        <v>50</v>
      </c>
      <c r="B56" s="6" t="s">
        <v>595</v>
      </c>
      <c r="C56" s="20"/>
      <c r="D56" s="23"/>
      <c r="E56" s="10" t="n">
        <f aca="false">Допущения!$D$3</f>
        <v>2026</v>
      </c>
      <c r="F56" s="52" t="n">
        <f aca="false">E56+1</f>
        <v>2027</v>
      </c>
      <c r="G56" s="52" t="n">
        <f aca="false">F56+1</f>
        <v>2028</v>
      </c>
      <c r="H56" s="52" t="n">
        <f aca="false">G56+1</f>
        <v>2029</v>
      </c>
      <c r="I56" s="52" t="n">
        <f aca="false">H56+1</f>
        <v>2030</v>
      </c>
      <c r="J56" s="52" t="n">
        <f aca="false">I56+1</f>
        <v>2031</v>
      </c>
      <c r="K56" s="23"/>
      <c r="L56" s="49" t="s">
        <v>596</v>
      </c>
    </row>
    <row r="57" customFormat="false" ht="15" hidden="false" customHeight="false" outlineLevel="0" collapsed="false">
      <c r="A57" s="20" t="n">
        <v>51</v>
      </c>
      <c r="B57" s="6" t="s">
        <v>597</v>
      </c>
      <c r="C57" s="20" t="s">
        <v>62</v>
      </c>
      <c r="D57" s="23"/>
      <c r="E57" s="23"/>
      <c r="F57" s="53" t="n">
        <f aca="false">(1+$D$13)^(F$56-$E$56-1)</f>
        <v>1</v>
      </c>
      <c r="G57" s="53" t="n">
        <f aca="false">(1+$D$13)^(G$56-$E$56-1)</f>
        <v>1.06</v>
      </c>
      <c r="H57" s="53" t="n">
        <f aca="false">(1+$D$13)^(H$56-$E$56-1)</f>
        <v>1.1236</v>
      </c>
      <c r="I57" s="53" t="n">
        <f aca="false">(1+$D$13)^(I$56-$E$56-1)</f>
        <v>1.191016</v>
      </c>
      <c r="J57" s="53" t="n">
        <f aca="false">(1+$D$13)^(J$56-$E$56-1)</f>
        <v>1.26247696</v>
      </c>
      <c r="K57" s="23"/>
      <c r="L57" s="49" t="s">
        <v>598</v>
      </c>
    </row>
    <row r="58" customFormat="false" ht="15" hidden="false" customHeight="false" outlineLevel="0" collapsed="false">
      <c r="A58" s="20" t="n">
        <v>52</v>
      </c>
      <c r="B58" s="6" t="s">
        <v>599</v>
      </c>
      <c r="C58" s="20" t="s">
        <v>62</v>
      </c>
      <c r="D58" s="23"/>
      <c r="E58" s="23"/>
      <c r="F58" s="53" t="n">
        <f aca="false">(1+$D$31)^(F$56-$E$56-1)</f>
        <v>1</v>
      </c>
      <c r="G58" s="53" t="n">
        <f aca="false">(1+$D$31)^(G$56-$E$56-1)</f>
        <v>1.05</v>
      </c>
      <c r="H58" s="53" t="n">
        <f aca="false">(1+$D$31)^(H$56-$E$56-1)</f>
        <v>1.1025</v>
      </c>
      <c r="I58" s="53" t="n">
        <f aca="false">(1+$D$31)^(I$56-$E$56-1)</f>
        <v>1.157625</v>
      </c>
      <c r="J58" s="53" t="n">
        <f aca="false">(1+$D$31)^(J$56-$E$56-1)</f>
        <v>1.21550625</v>
      </c>
      <c r="K58" s="23"/>
      <c r="L58" s="49" t="s">
        <v>600</v>
      </c>
    </row>
    <row r="59" customFormat="false" ht="15" hidden="false" customHeight="false" outlineLevel="0" collapsed="false">
      <c r="A59" s="20" t="n">
        <v>53</v>
      </c>
      <c r="B59" s="6" t="s">
        <v>601</v>
      </c>
      <c r="C59" s="20" t="s">
        <v>62</v>
      </c>
      <c r="D59" s="23"/>
      <c r="E59" s="23"/>
      <c r="F59" s="53" t="n">
        <f aca="false">(1+$D$15)^(F$56-$E$56-1)</f>
        <v>1</v>
      </c>
      <c r="G59" s="53" t="n">
        <f aca="false">(1+$D$15)^(G$56-$E$56-1)</f>
        <v>1.07</v>
      </c>
      <c r="H59" s="53" t="n">
        <f aca="false">(1+$D$15)^(H$56-$E$56-1)</f>
        <v>1.1449</v>
      </c>
      <c r="I59" s="53" t="n">
        <f aca="false">(1+$D$15)^(I$56-$E$56-1)</f>
        <v>1.225043</v>
      </c>
      <c r="J59" s="53" t="n">
        <f aca="false">(1+$D$15)^(J$56-$E$56-1)</f>
        <v>1.31079601</v>
      </c>
      <c r="K59" s="23"/>
      <c r="L59" s="49" t="s">
        <v>602</v>
      </c>
    </row>
    <row r="60" customFormat="false" ht="15" hidden="false" customHeight="false" outlineLevel="0" collapsed="false">
      <c r="A60" s="20" t="n">
        <v>54</v>
      </c>
      <c r="B60" s="6" t="s">
        <v>603</v>
      </c>
      <c r="C60" s="20" t="s">
        <v>55</v>
      </c>
      <c r="D60" s="23"/>
      <c r="E60" s="23"/>
      <c r="F60" s="46" t="n">
        <f aca="false">$D$19*(1+$D$20)^(F$56-$E$56)</f>
        <v>3.21732</v>
      </c>
      <c r="G60" s="46" t="n">
        <f aca="false">$D$19*(1+$D$20)^(G$56-$E$56)</f>
        <v>3.4747056</v>
      </c>
      <c r="H60" s="46" t="n">
        <f aca="false">$D$19*(1+$D$20)^(H$56-$E$56)</f>
        <v>3.752682048</v>
      </c>
      <c r="I60" s="46" t="n">
        <f aca="false">$D$19*(1+$D$20)^(I$56-$E$56)</f>
        <v>4.05289661184</v>
      </c>
      <c r="J60" s="46" t="n">
        <f aca="false">$D$19*(1+$D$20)^(J$56-$E$56)</f>
        <v>4.3771283407872</v>
      </c>
      <c r="K60" s="23"/>
      <c r="L60" s="49" t="s">
        <v>604</v>
      </c>
    </row>
    <row r="61" customFormat="false" ht="15" hidden="false" customHeight="false" outlineLevel="0" collapsed="false">
      <c r="A61" s="19" t="s">
        <v>605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customFormat="false" ht="15" hidden="false" customHeight="false" outlineLevel="0" collapsed="false">
      <c r="A62" s="20" t="n">
        <v>55</v>
      </c>
      <c r="B62" s="6" t="s">
        <v>606</v>
      </c>
      <c r="C62" s="20" t="s">
        <v>76</v>
      </c>
      <c r="D62" s="23"/>
      <c r="E62" s="23"/>
      <c r="F62" s="38" t="n">
        <f aca="false">IF(F$56=$D$6,1,0)</f>
        <v>1</v>
      </c>
      <c r="G62" s="38" t="n">
        <f aca="false">IF(G$56=$D$6,1,0)</f>
        <v>0</v>
      </c>
      <c r="H62" s="38" t="n">
        <f aca="false">IF(H$56=$D$6,1,0)</f>
        <v>0</v>
      </c>
      <c r="I62" s="38" t="n">
        <f aca="false">IF(I$56=$D$6,1,0)</f>
        <v>0</v>
      </c>
      <c r="J62" s="38" t="n">
        <f aca="false">IF(J$56=$D$6,1,0)</f>
        <v>0</v>
      </c>
      <c r="K62" s="23"/>
      <c r="L62" s="49" t="s">
        <v>607</v>
      </c>
    </row>
    <row r="63" customFormat="false" ht="15" hidden="false" customHeight="false" outlineLevel="0" collapsed="false">
      <c r="A63" s="20" t="n">
        <v>56</v>
      </c>
      <c r="B63" s="6" t="s">
        <v>608</v>
      </c>
      <c r="C63" s="20" t="s">
        <v>76</v>
      </c>
      <c r="D63" s="23"/>
      <c r="E63" s="38" t="n">
        <f aca="false">0</f>
        <v>0</v>
      </c>
      <c r="F63" s="38" t="n">
        <f aca="false">F62+F47</f>
        <v>1</v>
      </c>
      <c r="G63" s="38" t="n">
        <f aca="false">G62+G47</f>
        <v>0</v>
      </c>
      <c r="H63" s="38" t="n">
        <f aca="false">H62+H47</f>
        <v>1</v>
      </c>
      <c r="I63" s="38" t="n">
        <f aca="false">I62+I47</f>
        <v>1</v>
      </c>
      <c r="J63" s="38" t="n">
        <f aca="false">J62+J47</f>
        <v>1</v>
      </c>
      <c r="K63" s="54" t="n">
        <f aca="false">SUM(F63:J63)</f>
        <v>4</v>
      </c>
      <c r="L63" s="49" t="s">
        <v>609</v>
      </c>
    </row>
    <row r="64" customFormat="false" ht="15" hidden="false" customHeight="false" outlineLevel="0" collapsed="false">
      <c r="A64" s="20" t="n">
        <v>57</v>
      </c>
      <c r="B64" s="6" t="s">
        <v>610</v>
      </c>
      <c r="C64" s="20" t="s">
        <v>76</v>
      </c>
      <c r="D64" s="23"/>
      <c r="E64" s="38" t="n">
        <f aca="false">0</f>
        <v>0</v>
      </c>
      <c r="F64" s="38" t="n">
        <f aca="false">E64+F63</f>
        <v>1</v>
      </c>
      <c r="G64" s="38" t="n">
        <f aca="false">F64+G63</f>
        <v>1</v>
      </c>
      <c r="H64" s="38" t="n">
        <f aca="false">G64+H63</f>
        <v>2</v>
      </c>
      <c r="I64" s="38" t="n">
        <f aca="false">H64+I63</f>
        <v>3</v>
      </c>
      <c r="J64" s="38" t="n">
        <f aca="false">I64+J63</f>
        <v>4</v>
      </c>
      <c r="K64" s="23"/>
      <c r="L64" s="49" t="s">
        <v>611</v>
      </c>
    </row>
    <row r="65" customFormat="false" ht="15" hidden="false" customHeight="false" outlineLevel="0" collapsed="false">
      <c r="A65" s="20" t="n">
        <v>58</v>
      </c>
      <c r="B65" s="6" t="s">
        <v>612</v>
      </c>
      <c r="C65" s="20" t="s">
        <v>76</v>
      </c>
      <c r="D65" s="23"/>
      <c r="E65" s="38" t="n">
        <f aca="false">0</f>
        <v>0</v>
      </c>
      <c r="F65" s="38" t="n">
        <f aca="false">E65+F48</f>
        <v>0</v>
      </c>
      <c r="G65" s="38" t="n">
        <f aca="false">F65+G48</f>
        <v>2</v>
      </c>
      <c r="H65" s="38" t="n">
        <f aca="false">G65+H48</f>
        <v>5</v>
      </c>
      <c r="I65" s="38" t="n">
        <f aca="false">H65+I48</f>
        <v>9</v>
      </c>
      <c r="J65" s="38" t="n">
        <f aca="false">I65+J48</f>
        <v>14</v>
      </c>
      <c r="K65" s="23"/>
      <c r="L65" s="49" t="s">
        <v>611</v>
      </c>
    </row>
    <row r="66" customFormat="false" ht="15" hidden="false" customHeight="false" outlineLevel="0" collapsed="false">
      <c r="A66" s="20" t="n">
        <v>59</v>
      </c>
      <c r="B66" s="6" t="s">
        <v>613</v>
      </c>
      <c r="C66" s="20" t="s">
        <v>76</v>
      </c>
      <c r="D66" s="23"/>
      <c r="E66" s="38" t="n">
        <f aca="false">0</f>
        <v>0</v>
      </c>
      <c r="F66" s="38" t="n">
        <f aca="false">F64+F65</f>
        <v>1</v>
      </c>
      <c r="G66" s="38" t="n">
        <f aca="false">G64+G65</f>
        <v>3</v>
      </c>
      <c r="H66" s="38" t="n">
        <f aca="false">H64+H65</f>
        <v>7</v>
      </c>
      <c r="I66" s="38" t="n">
        <f aca="false">I64+I65</f>
        <v>12</v>
      </c>
      <c r="J66" s="38" t="n">
        <f aca="false">J64+J65</f>
        <v>18</v>
      </c>
      <c r="K66" s="23"/>
      <c r="L66" s="49" t="s">
        <v>614</v>
      </c>
    </row>
    <row r="67" customFormat="false" ht="15" hidden="false" customHeight="false" outlineLevel="0" collapsed="false">
      <c r="A67" s="20" t="n">
        <v>60</v>
      </c>
      <c r="B67" s="6" t="s">
        <v>615</v>
      </c>
      <c r="C67" s="20" t="s">
        <v>76</v>
      </c>
      <c r="D67" s="23"/>
      <c r="E67" s="23"/>
      <c r="F67" s="38" t="n">
        <f aca="false">F63+F48</f>
        <v>1</v>
      </c>
      <c r="G67" s="38" t="n">
        <f aca="false">G63+G48</f>
        <v>2</v>
      </c>
      <c r="H67" s="38" t="n">
        <f aca="false">H63+H48</f>
        <v>4</v>
      </c>
      <c r="I67" s="38" t="n">
        <f aca="false">I63+I48</f>
        <v>5</v>
      </c>
      <c r="J67" s="38" t="n">
        <f aca="false">J63+J48</f>
        <v>6</v>
      </c>
      <c r="K67" s="54" t="n">
        <f aca="false">SUM(F67:J67)</f>
        <v>18</v>
      </c>
      <c r="L67" s="49"/>
    </row>
    <row r="68" customFormat="false" ht="15" hidden="false" customHeight="false" outlineLevel="0" collapsed="false">
      <c r="A68" s="19" t="s">
        <v>616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15" hidden="false" customHeight="false" outlineLevel="0" collapsed="false">
      <c r="A69" s="20" t="n">
        <v>61</v>
      </c>
      <c r="B69" s="6" t="s">
        <v>617</v>
      </c>
      <c r="C69" s="20" t="s">
        <v>71</v>
      </c>
      <c r="D69" s="23"/>
      <c r="E69" s="23"/>
      <c r="F69" s="40" t="n">
        <f aca="false">IF(F$56&gt;$D$6,($D$8+$D$7*$D$9)*(1+$D$14)^(F$56-$D$6-1)*F57,0)</f>
        <v>0</v>
      </c>
      <c r="G69" s="40" t="n">
        <f aca="false">IF(G$56&gt;$D$6,($D$8+$D$7*$D$9)*(1+$D$14)^(G$56-$D$6-1)*G57,0)</f>
        <v>21.836</v>
      </c>
      <c r="H69" s="40" t="n">
        <f aca="false">IF(H$56&gt;$D$6,($D$8+$D$7*$D$9)*(1+$D$14)^(H$56-$D$6-1)*H57,0)</f>
        <v>28.9327</v>
      </c>
      <c r="I69" s="40" t="n">
        <f aca="false">IF(I$56&gt;$D$6,($D$8+$D$7*$D$9)*(1+$D$14)^(I$56-$D$6-1)*I57,0)</f>
        <v>38.3358275</v>
      </c>
      <c r="J69" s="40" t="n">
        <f aca="false">IF(J$56&gt;$D$6,($D$8+$D$7*$D$9)*(1+$D$14)^(J$56-$D$6-1)*J57,0)</f>
        <v>50.7949714375</v>
      </c>
      <c r="K69" s="51" t="n">
        <f aca="false">SUM(F69:J69)</f>
        <v>139.8994989375</v>
      </c>
      <c r="L69" s="49" t="s">
        <v>618</v>
      </c>
    </row>
    <row r="70" customFormat="false" ht="15" hidden="false" customHeight="false" outlineLevel="0" collapsed="false">
      <c r="A70" s="20" t="n">
        <v>62</v>
      </c>
      <c r="B70" s="6" t="s">
        <v>619</v>
      </c>
      <c r="C70" s="20" t="s">
        <v>71</v>
      </c>
      <c r="D70" s="23"/>
      <c r="E70" s="23"/>
      <c r="F70" s="40" t="n">
        <f aca="false">($D$8+$D$39*$D$9)*F57*SUMPRODUCT($E$47:E$47,(1+$D$14)^(F$56-$E$56:E$56-1))</f>
        <v>0</v>
      </c>
      <c r="G70" s="40" t="n">
        <f aca="false">($D$8+$D$39*$D$9)*G57*SUMPRODUCT($E$47:F$47,(1+$D$14)^(G$56-$E$56:F$56-1))</f>
        <v>0</v>
      </c>
      <c r="H70" s="40" t="n">
        <f aca="false">($D$8+$D$39*$D$9)*H57*SUMPRODUCT($E$47:G$47,(1+$D$14)^(H$56-$E$56:G$56-1))</f>
        <v>0</v>
      </c>
      <c r="I70" s="40" t="n">
        <f aca="false">($D$8+$D$39*$D$9)*I57*SUMPRODUCT($E$47:H$47,(1+$D$14)^(I$56-$E$56:H$56-1))</f>
        <v>13.6208920727273</v>
      </c>
      <c r="J70" s="40" t="n">
        <f aca="false">($D$8+$D$39*$D$9)*J57*SUMPRODUCT($E$47:I$47,(1+$D$14)^(J$56-$E$56:I$56-1))</f>
        <v>32.4858275934546</v>
      </c>
      <c r="K70" s="51" t="n">
        <f aca="false">SUM(F70:J70)</f>
        <v>46.1067196661818</v>
      </c>
      <c r="L70" s="49" t="s">
        <v>620</v>
      </c>
    </row>
    <row r="71" customFormat="false" ht="15" hidden="false" customHeight="false" outlineLevel="0" collapsed="false">
      <c r="A71" s="20" t="n">
        <v>63</v>
      </c>
      <c r="B71" s="6" t="s">
        <v>621</v>
      </c>
      <c r="C71" s="20" t="s">
        <v>71</v>
      </c>
      <c r="D71" s="23"/>
      <c r="E71" s="23"/>
      <c r="F71" s="40" t="n">
        <f aca="false">($D$10+$D$40*$D$9)*F57*SUMPRODUCT($E$48:E$48,(1+$D$14)^(F$56-$E$56:E$56-1))</f>
        <v>0</v>
      </c>
      <c r="G71" s="40" t="n">
        <f aca="false">($D$10+$D$40*$D$9)*G57*SUMPRODUCT($E$48:F$48,(1+$D$14)^(G$56-$E$56:F$56-1))</f>
        <v>0</v>
      </c>
      <c r="H71" s="40" t="n">
        <f aca="false">($D$10+$D$40*$D$9)*H57*SUMPRODUCT($E$48:G$48,(1+$D$14)^(H$56-$E$56:G$56-1))</f>
        <v>4.9368175</v>
      </c>
      <c r="I71" s="40" t="n">
        <f aca="false">($D$10+$D$40*$D$9)*I57*SUMPRODUCT($E$48:H$48,(1+$D$14)^(I$56-$E$56:H$56-1))</f>
        <v>14.3908230125</v>
      </c>
      <c r="J71" s="40" t="n">
        <f aca="false">($D$10+$D$40*$D$9)*J57*SUMPRODUCT($E$48:I$48,(1+$D$14)^(J$56-$E$56:I$56-1))</f>
        <v>30.1618567775625</v>
      </c>
      <c r="K71" s="51" t="n">
        <f aca="false">SUM(F71:J71)</f>
        <v>49.4894972900625</v>
      </c>
      <c r="L71" s="49" t="s">
        <v>622</v>
      </c>
    </row>
    <row r="72" customFormat="false" ht="15" hidden="false" customHeight="false" outlineLevel="0" collapsed="false">
      <c r="A72" s="20" t="n">
        <v>64</v>
      </c>
      <c r="B72" s="6" t="s">
        <v>623</v>
      </c>
      <c r="C72" s="20" t="s">
        <v>71</v>
      </c>
      <c r="D72" s="23"/>
      <c r="E72" s="23"/>
      <c r="F72" s="40" t="n">
        <f aca="false">(F63*$D$11+F48*$D$12)*F57</f>
        <v>10</v>
      </c>
      <c r="G72" s="40" t="n">
        <f aca="false">(G63*$D$11+G48*$D$12)*G57</f>
        <v>5.3</v>
      </c>
      <c r="H72" s="40" t="n">
        <f aca="false">(H63*$D$11+H48*$D$12)*H57</f>
        <v>19.663</v>
      </c>
      <c r="I72" s="40" t="n">
        <f aca="false">(I63*$D$11+I48*$D$12)*I57</f>
        <v>23.82032</v>
      </c>
      <c r="J72" s="40" t="n">
        <f aca="false">(J63*$D$11+J48*$D$12)*J57</f>
        <v>28.4057316</v>
      </c>
      <c r="K72" s="51" t="n">
        <f aca="false">SUM(F72:J72)</f>
        <v>87.1890516</v>
      </c>
      <c r="L72" s="49" t="s">
        <v>624</v>
      </c>
    </row>
    <row r="73" customFormat="false" ht="15" hidden="false" customHeight="false" outlineLevel="0" collapsed="false">
      <c r="A73" s="20" t="n">
        <v>65</v>
      </c>
      <c r="B73" s="6" t="s">
        <v>625</v>
      </c>
      <c r="C73" s="20" t="s">
        <v>71</v>
      </c>
      <c r="D73" s="23"/>
      <c r="E73" s="23"/>
      <c r="F73" s="40" t="n">
        <f aca="false">F69+F70+F71</f>
        <v>0</v>
      </c>
      <c r="G73" s="40" t="n">
        <f aca="false">G69+G70+G71</f>
        <v>21.836</v>
      </c>
      <c r="H73" s="40" t="n">
        <f aca="false">H69+H70+H71</f>
        <v>33.8695175</v>
      </c>
      <c r="I73" s="40" t="n">
        <f aca="false">I69+I70+I71</f>
        <v>66.3475425852273</v>
      </c>
      <c r="J73" s="40" t="n">
        <f aca="false">J69+J70+J71</f>
        <v>113.442655808517</v>
      </c>
      <c r="K73" s="51" t="n">
        <f aca="false">SUM(F73:J73)</f>
        <v>235.495715893744</v>
      </c>
      <c r="L73" s="49"/>
    </row>
    <row r="74" customFormat="false" ht="15" hidden="false" customHeight="false" outlineLevel="0" collapsed="false">
      <c r="A74" s="20" t="n">
        <v>66</v>
      </c>
      <c r="B74" s="6" t="s">
        <v>91</v>
      </c>
      <c r="C74" s="20" t="s">
        <v>71</v>
      </c>
      <c r="D74" s="23"/>
      <c r="E74" s="23"/>
      <c r="F74" s="40" t="n">
        <f aca="false">F73+F72</f>
        <v>10</v>
      </c>
      <c r="G74" s="40" t="n">
        <f aca="false">G73+G72</f>
        <v>27.136</v>
      </c>
      <c r="H74" s="40" t="n">
        <f aca="false">H73+H72</f>
        <v>53.5325175</v>
      </c>
      <c r="I74" s="40" t="n">
        <f aca="false">I73+I72</f>
        <v>90.1678625852273</v>
      </c>
      <c r="J74" s="40" t="n">
        <f aca="false">J73+J72</f>
        <v>141.848387408517</v>
      </c>
      <c r="K74" s="51" t="n">
        <f aca="false">SUM(F74:J74)</f>
        <v>322.684767493744</v>
      </c>
      <c r="L74" s="49" t="s">
        <v>626</v>
      </c>
    </row>
    <row r="75" customFormat="false" ht="15" hidden="false" customHeight="false" outlineLevel="0" collapsed="false">
      <c r="A75" s="20" t="n">
        <v>67</v>
      </c>
      <c r="B75" s="6" t="s">
        <v>627</v>
      </c>
      <c r="C75" s="20" t="s">
        <v>55</v>
      </c>
      <c r="D75" s="23"/>
      <c r="E75" s="23"/>
      <c r="F75" s="40" t="n">
        <f aca="false">IF(F$56&gt;=$D$6,($D$8+$D$7*$D$9)*(1+$D$14)^(F$56-$D$6)*F57,0)+($D$8+$D$39*$D$9)*F57*SUMPRODUCT($E$47:F$47,(1+$D$14)^(F$56-$E$56:F$56))+($D$10+$D$40*$D$9)*F57*SUMPRODUCT($E$48:F$48,(1+$D$14)^(F$56-$E$56:F$56))</f>
        <v>20.6</v>
      </c>
      <c r="G75" s="40" t="n">
        <f aca="false">IF(G$56&gt;=$D$6,($D$8+$D$7*$D$9)*(1+$D$14)^(G$56-$D$6)*G57,0)+($D$8+$D$39*$D$9)*G57*SUMPRODUCT($E$47:G$47,(1+$D$14)^(G$56-$E$56:G$56))+($D$10+$D$40*$D$9)*G57*SUMPRODUCT($E$48:G$48,(1+$D$14)^(G$56-$E$56:G$56))</f>
        <v>31.952375</v>
      </c>
      <c r="H75" s="40" t="n">
        <f aca="false">IF(H$56&gt;=$D$6,($D$8+$D$7*$D$9)*(1+$D$14)^(H$56-$D$6)*H57,0)+($D$8+$D$39*$D$9)*H57*SUMPRODUCT($E$47:H$47,(1+$D$14)^(H$56-$E$56:H$56))+($D$10+$D$40*$D$9)*H57*SUMPRODUCT($E$48:H$48,(1+$D$14)^(H$56-$E$56:H$56))</f>
        <v>62.5920213068182</v>
      </c>
      <c r="I75" s="40" t="n">
        <f aca="false">IF(I$56&gt;=$D$6,($D$8+$D$7*$D$9)*(1+$D$14)^(I$56-$D$6)*I57,0)+($D$8+$D$39*$D$9)*I57*SUMPRODUCT($E$47:I$47,(1+$D$14)^(I$56-$E$56:I$56))+($D$10+$D$40*$D$9)*I57*SUMPRODUCT($E$48:I$48,(1+$D$14)^(I$56-$E$56:I$56))</f>
        <v>107.021373404261</v>
      </c>
      <c r="J75" s="40" t="n">
        <f aca="false">IF(J$56&gt;=$D$6,($D$8+$D$7*$D$9)*(1+$D$14)^(J$56-$D$6)*J57,0)+($D$8+$D$39*$D$9)*J57*SUMPRODUCT($E$47:J$47,(1+$D$14)^(J$56-$E$56:J$56))+($D$10+$D$40*$D$9)*J57*SUMPRODUCT($E$48:J$48,(1+$D$14)^(J$56-$E$56:J$56))</f>
        <v>170.108985715237</v>
      </c>
      <c r="K75" s="23"/>
      <c r="L75" s="49" t="s">
        <v>628</v>
      </c>
    </row>
    <row r="76" customFormat="false" ht="15" hidden="false" customHeight="false" outlineLevel="0" collapsed="false">
      <c r="A76" s="19" t="s">
        <v>629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customFormat="false" ht="15" hidden="false" customHeight="false" outlineLevel="0" collapsed="false">
      <c r="A77" s="20" t="n">
        <v>68</v>
      </c>
      <c r="B77" s="6" t="s">
        <v>630</v>
      </c>
      <c r="C77" s="20" t="s">
        <v>53</v>
      </c>
      <c r="D77" s="23"/>
      <c r="E77" s="40" t="n">
        <f aca="false">E49+E50+E51+E52+E53+E54</f>
        <v>2</v>
      </c>
      <c r="F77" s="40" t="n">
        <f aca="false">F49+F50+F51+F52+F53+F54</f>
        <v>4</v>
      </c>
      <c r="G77" s="40" t="n">
        <f aca="false">G49+G50+G51+G52+G53+G54</f>
        <v>7</v>
      </c>
      <c r="H77" s="40" t="n">
        <f aca="false">H49+H50+H51+H52+H53+H54</f>
        <v>10</v>
      </c>
      <c r="I77" s="40" t="n">
        <f aca="false">I49+I50+I51+I52+I53+I54</f>
        <v>12</v>
      </c>
      <c r="J77" s="40" t="n">
        <f aca="false">J49+J50+J51+J52+J53+J54</f>
        <v>15</v>
      </c>
      <c r="K77" s="23"/>
      <c r="L77" s="49" t="s">
        <v>631</v>
      </c>
    </row>
    <row r="78" customFormat="false" ht="15" hidden="false" customHeight="false" outlineLevel="0" collapsed="false">
      <c r="A78" s="20" t="n">
        <v>69</v>
      </c>
      <c r="B78" s="6" t="s">
        <v>632</v>
      </c>
      <c r="C78" s="20" t="s">
        <v>53</v>
      </c>
      <c r="D78" s="23"/>
      <c r="E78" s="23"/>
      <c r="F78" s="40" t="n">
        <f aca="false">MAX(0,F77-E77)</f>
        <v>2</v>
      </c>
      <c r="G78" s="40" t="n">
        <f aca="false">MAX(0,G77-F77)</f>
        <v>3</v>
      </c>
      <c r="H78" s="40" t="n">
        <f aca="false">MAX(0,H77-G77)</f>
        <v>3</v>
      </c>
      <c r="I78" s="40" t="n">
        <f aca="false">MAX(0,I77-H77)</f>
        <v>2</v>
      </c>
      <c r="J78" s="40" t="n">
        <f aca="false">MAX(0,J77-I77)</f>
        <v>3</v>
      </c>
      <c r="K78" s="23"/>
      <c r="L78" s="49" t="s">
        <v>633</v>
      </c>
    </row>
    <row r="79" customFormat="false" ht="15" hidden="false" customHeight="false" outlineLevel="0" collapsed="false">
      <c r="A79" s="20" t="n">
        <v>70</v>
      </c>
      <c r="B79" s="6" t="s">
        <v>634</v>
      </c>
      <c r="C79" s="20" t="s">
        <v>71</v>
      </c>
      <c r="D79" s="23"/>
      <c r="E79" s="23"/>
      <c r="F79" s="41" t="n">
        <f aca="false">$D$41*12/1000*F59</f>
        <v>2.4</v>
      </c>
      <c r="G79" s="41" t="n">
        <f aca="false">$D$41*12/1000*G59</f>
        <v>2.568</v>
      </c>
      <c r="H79" s="41" t="n">
        <f aca="false">$D$41*12/1000*H59</f>
        <v>2.74776</v>
      </c>
      <c r="I79" s="41" t="n">
        <f aca="false">$D$41*12/1000*I59</f>
        <v>2.9401032</v>
      </c>
      <c r="J79" s="41" t="n">
        <f aca="false">$D$41*12/1000*J59</f>
        <v>3.145910424</v>
      </c>
      <c r="K79" s="23"/>
      <c r="L79" s="49" t="s">
        <v>635</v>
      </c>
    </row>
    <row r="80" customFormat="false" ht="15" hidden="false" customHeight="false" outlineLevel="0" collapsed="false">
      <c r="A80" s="20" t="n">
        <v>71</v>
      </c>
      <c r="B80" s="6" t="s">
        <v>636</v>
      </c>
      <c r="C80" s="20" t="s">
        <v>71</v>
      </c>
      <c r="D80" s="23"/>
      <c r="E80" s="23"/>
      <c r="F80" s="41" t="n">
        <f aca="false">$D$42*12/1000*F59</f>
        <v>3.36</v>
      </c>
      <c r="G80" s="41" t="n">
        <f aca="false">$D$42*12/1000*G59</f>
        <v>3.5952</v>
      </c>
      <c r="H80" s="41" t="n">
        <f aca="false">$D$42*12/1000*H59</f>
        <v>3.846864</v>
      </c>
      <c r="I80" s="41" t="n">
        <f aca="false">$D$42*12/1000*I59</f>
        <v>4.11614448</v>
      </c>
      <c r="J80" s="41" t="n">
        <f aca="false">$D$42*12/1000*J59</f>
        <v>4.4042745936</v>
      </c>
      <c r="K80" s="23"/>
      <c r="L80" s="49" t="s">
        <v>635</v>
      </c>
    </row>
    <row r="81" customFormat="false" ht="15" hidden="false" customHeight="false" outlineLevel="0" collapsed="false">
      <c r="A81" s="20" t="n">
        <v>72</v>
      </c>
      <c r="B81" s="6" t="s">
        <v>637</v>
      </c>
      <c r="C81" s="20" t="s">
        <v>71</v>
      </c>
      <c r="D81" s="23"/>
      <c r="E81" s="23"/>
      <c r="F81" s="41" t="n">
        <f aca="false">$D$43*12/1000*F59</f>
        <v>2.76</v>
      </c>
      <c r="G81" s="41" t="n">
        <f aca="false">$D$43*12/1000*G59</f>
        <v>2.9532</v>
      </c>
      <c r="H81" s="41" t="n">
        <f aca="false">$D$43*12/1000*H59</f>
        <v>3.159924</v>
      </c>
      <c r="I81" s="41" t="n">
        <f aca="false">$D$43*12/1000*I59</f>
        <v>3.38111868</v>
      </c>
      <c r="J81" s="41" t="n">
        <f aca="false">$D$43*12/1000*J59</f>
        <v>3.6177969876</v>
      </c>
      <c r="K81" s="23"/>
      <c r="L81" s="49" t="s">
        <v>635</v>
      </c>
    </row>
    <row r="82" customFormat="false" ht="15" hidden="false" customHeight="false" outlineLevel="0" collapsed="false">
      <c r="A82" s="20" t="n">
        <v>73</v>
      </c>
      <c r="B82" s="6" t="s">
        <v>638</v>
      </c>
      <c r="C82" s="20" t="s">
        <v>71</v>
      </c>
      <c r="D82" s="23"/>
      <c r="E82" s="23"/>
      <c r="F82" s="41" t="n">
        <f aca="false">$D$44*12/1000*F59</f>
        <v>2.64</v>
      </c>
      <c r="G82" s="41" t="n">
        <f aca="false">$D$44*12/1000*G59</f>
        <v>2.8248</v>
      </c>
      <c r="H82" s="41" t="n">
        <f aca="false">$D$44*12/1000*H59</f>
        <v>3.022536</v>
      </c>
      <c r="I82" s="41" t="n">
        <f aca="false">$D$44*12/1000*I59</f>
        <v>3.23411352</v>
      </c>
      <c r="J82" s="41" t="n">
        <f aca="false">$D$44*12/1000*J59</f>
        <v>3.4605014664</v>
      </c>
      <c r="K82" s="23"/>
      <c r="L82" s="49" t="s">
        <v>635</v>
      </c>
    </row>
    <row r="83" customFormat="false" ht="15" hidden="false" customHeight="false" outlineLevel="0" collapsed="false">
      <c r="A83" s="20" t="n">
        <v>74</v>
      </c>
      <c r="B83" s="6" t="s">
        <v>639</v>
      </c>
      <c r="C83" s="20" t="s">
        <v>71</v>
      </c>
      <c r="D83" s="23"/>
      <c r="E83" s="23"/>
      <c r="F83" s="41" t="n">
        <f aca="false">$D$45*12/1000*F59</f>
        <v>3</v>
      </c>
      <c r="G83" s="41" t="n">
        <f aca="false">$D$45*12/1000*G59</f>
        <v>3.21</v>
      </c>
      <c r="H83" s="41" t="n">
        <f aca="false">$D$45*12/1000*H59</f>
        <v>3.4347</v>
      </c>
      <c r="I83" s="41" t="n">
        <f aca="false">$D$45*12/1000*I59</f>
        <v>3.675129</v>
      </c>
      <c r="J83" s="41" t="n">
        <f aca="false">$D$45*12/1000*J59</f>
        <v>3.93238803</v>
      </c>
      <c r="K83" s="23"/>
      <c r="L83" s="49" t="s">
        <v>635</v>
      </c>
    </row>
    <row r="84" customFormat="false" ht="15" hidden="false" customHeight="false" outlineLevel="0" collapsed="false">
      <c r="A84" s="20" t="n">
        <v>75</v>
      </c>
      <c r="B84" s="6" t="s">
        <v>640</v>
      </c>
      <c r="C84" s="20" t="s">
        <v>71</v>
      </c>
      <c r="D84" s="23"/>
      <c r="E84" s="23"/>
      <c r="F84" s="41" t="n">
        <f aca="false">$D$46*12/1000*F59</f>
        <v>2.64</v>
      </c>
      <c r="G84" s="41" t="n">
        <f aca="false">$D$46*12/1000*G59</f>
        <v>2.8248</v>
      </c>
      <c r="H84" s="41" t="n">
        <f aca="false">$D$46*12/1000*H59</f>
        <v>3.022536</v>
      </c>
      <c r="I84" s="41" t="n">
        <f aca="false">$D$46*12/1000*I59</f>
        <v>3.23411352</v>
      </c>
      <c r="J84" s="41" t="n">
        <f aca="false">$D$46*12/1000*J59</f>
        <v>3.4605014664</v>
      </c>
      <c r="K84" s="23"/>
      <c r="L84" s="49" t="s">
        <v>635</v>
      </c>
    </row>
    <row r="85" customFormat="false" ht="15" hidden="false" customHeight="false" outlineLevel="0" collapsed="false">
      <c r="A85" s="20" t="n">
        <v>76</v>
      </c>
      <c r="B85" s="6" t="s">
        <v>641</v>
      </c>
      <c r="C85" s="20" t="s">
        <v>71</v>
      </c>
      <c r="D85" s="23"/>
      <c r="E85" s="23"/>
      <c r="F85" s="40" t="n">
        <f aca="false">F49*F79</f>
        <v>4.8</v>
      </c>
      <c r="G85" s="40" t="n">
        <f aca="false">G49*G79</f>
        <v>5.136</v>
      </c>
      <c r="H85" s="40" t="n">
        <f aca="false">H49*H79</f>
        <v>5.49552</v>
      </c>
      <c r="I85" s="40" t="n">
        <f aca="false">I49*I79</f>
        <v>5.8802064</v>
      </c>
      <c r="J85" s="40" t="n">
        <f aca="false">J49*J79</f>
        <v>6.291820848</v>
      </c>
      <c r="K85" s="51" t="n">
        <f aca="false">SUM(F85:J85)</f>
        <v>27.603547248</v>
      </c>
      <c r="L85" s="49" t="s">
        <v>642</v>
      </c>
    </row>
    <row r="86" customFormat="false" ht="15" hidden="false" customHeight="false" outlineLevel="0" collapsed="false">
      <c r="A86" s="20" t="n">
        <v>77</v>
      </c>
      <c r="B86" s="6" t="s">
        <v>643</v>
      </c>
      <c r="C86" s="20" t="s">
        <v>71</v>
      </c>
      <c r="D86" s="23"/>
      <c r="E86" s="23"/>
      <c r="F86" s="40" t="n">
        <f aca="false">F50*F80</f>
        <v>3.36</v>
      </c>
      <c r="G86" s="40" t="n">
        <f aca="false">G50*G80</f>
        <v>7.1904</v>
      </c>
      <c r="H86" s="40" t="n">
        <f aca="false">H50*H80</f>
        <v>11.540592</v>
      </c>
      <c r="I86" s="40" t="n">
        <f aca="false">I50*I80</f>
        <v>12.34843344</v>
      </c>
      <c r="J86" s="40" t="n">
        <f aca="false">J50*J80</f>
        <v>17.6170983744</v>
      </c>
      <c r="K86" s="51" t="n">
        <f aca="false">SUM(F86:J86)</f>
        <v>52.0565238144</v>
      </c>
      <c r="L86" s="49" t="s">
        <v>642</v>
      </c>
    </row>
    <row r="87" customFormat="false" ht="15" hidden="false" customHeight="false" outlineLevel="0" collapsed="false">
      <c r="A87" s="20" t="n">
        <v>78</v>
      </c>
      <c r="B87" s="6" t="s">
        <v>644</v>
      </c>
      <c r="C87" s="20" t="s">
        <v>71</v>
      </c>
      <c r="D87" s="23"/>
      <c r="E87" s="23"/>
      <c r="F87" s="40" t="n">
        <f aca="false">F51*F81</f>
        <v>2.76</v>
      </c>
      <c r="G87" s="40" t="n">
        <f aca="false">G51*G81</f>
        <v>2.9532</v>
      </c>
      <c r="H87" s="40" t="n">
        <f aca="false">H51*H81</f>
        <v>3.159924</v>
      </c>
      <c r="I87" s="40" t="n">
        <f aca="false">I51*I81</f>
        <v>6.76223736</v>
      </c>
      <c r="J87" s="40" t="n">
        <f aca="false">J51*J81</f>
        <v>7.2355939752</v>
      </c>
      <c r="K87" s="51" t="n">
        <f aca="false">SUM(F87:J87)</f>
        <v>22.8709553352</v>
      </c>
      <c r="L87" s="49" t="s">
        <v>642</v>
      </c>
    </row>
    <row r="88" customFormat="false" ht="15" hidden="false" customHeight="false" outlineLevel="0" collapsed="false">
      <c r="A88" s="20" t="n">
        <v>79</v>
      </c>
      <c r="B88" s="6" t="s">
        <v>645</v>
      </c>
      <c r="C88" s="20" t="s">
        <v>71</v>
      </c>
      <c r="D88" s="23"/>
      <c r="E88" s="23"/>
      <c r="F88" s="40" t="n">
        <f aca="false">F52*F82</f>
        <v>0</v>
      </c>
      <c r="G88" s="40" t="n">
        <f aca="false">G52*G82</f>
        <v>2.8248</v>
      </c>
      <c r="H88" s="40" t="n">
        <f aca="false">H52*H82</f>
        <v>6.045072</v>
      </c>
      <c r="I88" s="40" t="n">
        <f aca="false">I52*I82</f>
        <v>9.70234056</v>
      </c>
      <c r="J88" s="40" t="n">
        <f aca="false">J52*J82</f>
        <v>10.3815043992</v>
      </c>
      <c r="K88" s="51" t="n">
        <f aca="false">SUM(F88:J88)</f>
        <v>28.9537169592</v>
      </c>
      <c r="L88" s="49" t="s">
        <v>642</v>
      </c>
    </row>
    <row r="89" customFormat="false" ht="15" hidden="false" customHeight="false" outlineLevel="0" collapsed="false">
      <c r="A89" s="20" t="n">
        <v>80</v>
      </c>
      <c r="B89" s="6" t="s">
        <v>646</v>
      </c>
      <c r="C89" s="20" t="s">
        <v>71</v>
      </c>
      <c r="D89" s="23"/>
      <c r="E89" s="23"/>
      <c r="F89" s="40" t="n">
        <f aca="false">F53*F83</f>
        <v>0</v>
      </c>
      <c r="G89" s="40" t="n">
        <f aca="false">G53*G83</f>
        <v>3.21</v>
      </c>
      <c r="H89" s="40" t="n">
        <f aca="false">H53*H83</f>
        <v>3.4347</v>
      </c>
      <c r="I89" s="40" t="n">
        <f aca="false">I53*I83</f>
        <v>3.675129</v>
      </c>
      <c r="J89" s="40" t="n">
        <f aca="false">J53*J83</f>
        <v>7.86477606</v>
      </c>
      <c r="K89" s="51" t="n">
        <f aca="false">SUM(F89:J89)</f>
        <v>18.18460506</v>
      </c>
      <c r="L89" s="49" t="s">
        <v>642</v>
      </c>
    </row>
    <row r="90" customFormat="false" ht="15" hidden="false" customHeight="false" outlineLevel="0" collapsed="false">
      <c r="A90" s="20" t="n">
        <v>81</v>
      </c>
      <c r="B90" s="6" t="s">
        <v>647</v>
      </c>
      <c r="C90" s="20" t="s">
        <v>71</v>
      </c>
      <c r="D90" s="23"/>
      <c r="E90" s="23"/>
      <c r="F90" s="40" t="n">
        <f aca="false">F54*F84</f>
        <v>0</v>
      </c>
      <c r="G90" s="40" t="n">
        <f aca="false">G54*G84</f>
        <v>0</v>
      </c>
      <c r="H90" s="40" t="n">
        <f aca="false">H54*H84</f>
        <v>3.022536</v>
      </c>
      <c r="I90" s="40" t="n">
        <f aca="false">I54*I84</f>
        <v>3.23411352</v>
      </c>
      <c r="J90" s="40" t="n">
        <f aca="false">J54*J84</f>
        <v>6.9210029328</v>
      </c>
      <c r="K90" s="51" t="n">
        <f aca="false">SUM(F90:J90)</f>
        <v>13.1776524528</v>
      </c>
      <c r="L90" s="49" t="s">
        <v>642</v>
      </c>
    </row>
    <row r="91" customFormat="false" ht="15" hidden="false" customHeight="false" outlineLevel="0" collapsed="false">
      <c r="A91" s="20" t="n">
        <v>82</v>
      </c>
      <c r="B91" s="6" t="s">
        <v>648</v>
      </c>
      <c r="C91" s="20" t="s">
        <v>71</v>
      </c>
      <c r="D91" s="23"/>
      <c r="E91" s="23"/>
      <c r="F91" s="40" t="n">
        <f aca="false">F85+F86+F87+F88+F89+F90</f>
        <v>10.92</v>
      </c>
      <c r="G91" s="40" t="n">
        <f aca="false">G85+G86+G87+G88+G89+G90</f>
        <v>21.3144</v>
      </c>
      <c r="H91" s="40" t="n">
        <f aca="false">H85+H86+H87+H88+H89+H90</f>
        <v>32.698344</v>
      </c>
      <c r="I91" s="40" t="n">
        <f aca="false">I85+I86+I87+I88+I89+I90</f>
        <v>41.60246028</v>
      </c>
      <c r="J91" s="40" t="n">
        <f aca="false">J85+J86+J87+J88+J89+J90</f>
        <v>56.3117965896</v>
      </c>
      <c r="K91" s="51" t="n">
        <f aca="false">SUM(F91:J91)</f>
        <v>162.8470008696</v>
      </c>
      <c r="L91" s="49"/>
    </row>
    <row r="92" customFormat="false" ht="15" hidden="false" customHeight="false" outlineLevel="0" collapsed="false">
      <c r="A92" s="20" t="n">
        <v>83</v>
      </c>
      <c r="B92" s="6" t="s">
        <v>649</v>
      </c>
      <c r="C92" s="20" t="s">
        <v>71</v>
      </c>
      <c r="D92" s="23"/>
      <c r="E92" s="23"/>
      <c r="F92" s="40" t="n">
        <f aca="false">F49*(MIN(F79,F60)*$D$16+MAX(0,F79-F60)*$D$17+F79*$D$18)+F50*(MIN(F80,F60)*$D$16+MAX(0,F80-F60)*$D$17+F80*$D$18)+F51*(MIN(F81,F60)*$D$16+MAX(0,F81-F60)*$D$17+F81*$D$18)+F52*(MIN(F82,F60)*$D$16+MAX(0,F82-F60)*$D$17+F82*$D$18)+F53*(MIN(F83,F60)*$D$16+MAX(0,F83-F60)*$D$17+F83*$D$18)+F54*(MIN(F84,F60)*$D$16+MAX(0,F84-F60)*$D$17+F84*$D$18)</f>
        <v>1.64928168</v>
      </c>
      <c r="G92" s="40" t="n">
        <f aca="false">G49*(MIN(G79,G60)*$D$16+MAX(0,G79-G60)*$D$17+G79*$D$18)+G50*(MIN(G80,G60)*$D$16+MAX(0,G80-G60)*$D$17+G80*$D$18)+G51*(MIN(G81,G60)*$D$16+MAX(0,G81-G60)*$D$17+G81*$D$18)+G52*(MIN(G82,G60)*$D$16+MAX(0,G82-G60)*$D$17+G82*$D$18)+G53*(MIN(G83,G60)*$D$16+MAX(0,G83-G60)*$D$17+G83*$D$18)+G54*(MIN(G84,G60)*$D$16+MAX(0,G84-G60)*$D$17+G84*$D$18)</f>
        <v>3.2219556288</v>
      </c>
      <c r="H92" s="40" t="n">
        <f aca="false">H49*(MIN(H79,H60)*$D$16+MAX(0,H79-H60)*$D$17+H79*$D$18)+H50*(MIN(H80,H60)*$D$16+MAX(0,H80-H60)*$D$17+H80*$D$18)+H51*(MIN(H81,H60)*$D$16+MAX(0,H81-H60)*$D$17+H81*$D$18)+H52*(MIN(H82,H60)*$D$16+MAX(0,H82-H60)*$D$17+H82*$D$18)+H53*(MIN(H83,H60)*$D$16+MAX(0,H83-H60)*$D$17+H83*$D$18)+H54*(MIN(H84,H60)*$D$16+MAX(0,H84-H60)*$D$17+H84*$D$18)</f>
        <v>4.949239894656</v>
      </c>
      <c r="I92" s="40" t="n">
        <f aca="false">I49*(MIN(I79,I60)*$D$16+MAX(0,I79-I60)*$D$17+I79*$D$18)+I50*(MIN(I80,I60)*$D$16+MAX(0,I80-I60)*$D$17+I80*$D$18)+I51*(MIN(I81,I60)*$D$16+MAX(0,I81-I60)*$D$17+I81*$D$18)+I52*(MIN(I82,I60)*$D$16+MAX(0,I82-I60)*$D$17+I82*$D$18)+I53*(MIN(I83,I60)*$D$16+MAX(0,I83-I60)*$D$17+I83*$D$18)+I54*(MIN(I84,I60)*$D$16+MAX(0,I84-I60)*$D$17+I84*$D$18)</f>
        <v>6.30953293582848</v>
      </c>
      <c r="J92" s="40" t="n">
        <f aca="false">J49*(MIN(J79,J60)*$D$16+MAX(0,J79-J60)*$D$17+J79*$D$18)+J50*(MIN(J80,J60)*$D$16+MAX(0,J80-J60)*$D$17+J80*$D$18)+J51*(MIN(J81,J60)*$D$16+MAX(0,J81-J60)*$D$17+J81*$D$18)+J52*(MIN(J82,J60)*$D$16+MAX(0,J82-J60)*$D$17+J82*$D$18)+J53*(MIN(J83,J60)*$D$16+MAX(0,J83-J60)*$D$17+J83*$D$18)+J54*(MIN(J84,J60)*$D$16+MAX(0,J84-J60)*$D$17+J84*$D$18)</f>
        <v>8.55135779078661</v>
      </c>
      <c r="K92" s="51" t="n">
        <f aca="false">SUM(F92:J92)</f>
        <v>24.6813679300711</v>
      </c>
      <c r="L92" s="49" t="s">
        <v>650</v>
      </c>
    </row>
    <row r="93" customFormat="false" ht="15" hidden="false" customHeight="false" outlineLevel="0" collapsed="false">
      <c r="A93" s="20" t="n">
        <v>84</v>
      </c>
      <c r="B93" s="6" t="s">
        <v>651</v>
      </c>
      <c r="C93" s="20"/>
      <c r="D93" s="23"/>
      <c r="E93" s="23"/>
      <c r="F93" s="38" t="n">
        <f aca="false">IF(AND(F66&gt;0,E66=0),1,0)</f>
        <v>1</v>
      </c>
      <c r="G93" s="38" t="n">
        <f aca="false">IF(AND(G66&gt;0,F66=0),1,0)</f>
        <v>0</v>
      </c>
      <c r="H93" s="38" t="n">
        <f aca="false">IF(AND(H66&gt;0,G66=0),1,0)</f>
        <v>0</v>
      </c>
      <c r="I93" s="38" t="n">
        <f aca="false">IF(AND(I66&gt;0,H66=0),1,0)</f>
        <v>0</v>
      </c>
      <c r="J93" s="38" t="n">
        <f aca="false">IF(AND(J66&gt;0,I66=0),1,0)</f>
        <v>0</v>
      </c>
      <c r="K93" s="23"/>
      <c r="L93" s="49"/>
    </row>
    <row r="94" customFormat="false" ht="15" hidden="false" customHeight="false" outlineLevel="0" collapsed="false">
      <c r="A94" s="20" t="n">
        <v>85</v>
      </c>
      <c r="B94" s="6" t="s">
        <v>652</v>
      </c>
      <c r="C94" s="20" t="s">
        <v>71</v>
      </c>
      <c r="D94" s="23"/>
      <c r="E94" s="23"/>
      <c r="F94" s="40" t="n">
        <f aca="false">(F93*$D$21+IF(E66&gt;0,1,0)*$D$22)*F58</f>
        <v>2.5</v>
      </c>
      <c r="G94" s="40" t="n">
        <f aca="false">(G93*$D$21+IF(F66&gt;0,1,0)*$D$22)*G58</f>
        <v>1.05</v>
      </c>
      <c r="H94" s="40" t="n">
        <f aca="false">(H93*$D$21+IF(G66&gt;0,1,0)*$D$22)*H58</f>
        <v>1.1025</v>
      </c>
      <c r="I94" s="40" t="n">
        <f aca="false">(I93*$D$21+IF(H66&gt;0,1,0)*$D$22)*I58</f>
        <v>1.157625</v>
      </c>
      <c r="J94" s="40" t="n">
        <f aca="false">(J93*$D$21+IF(I66&gt;0,1,0)*$D$22)*J58</f>
        <v>1.21550625</v>
      </c>
      <c r="K94" s="51" t="n">
        <f aca="false">SUM(F94:J94)</f>
        <v>7.02563125</v>
      </c>
      <c r="L94" s="49" t="s">
        <v>653</v>
      </c>
    </row>
    <row r="95" customFormat="false" ht="15" hidden="false" customHeight="false" outlineLevel="0" collapsed="false">
      <c r="A95" s="20" t="n">
        <v>86</v>
      </c>
      <c r="B95" s="6" t="s">
        <v>302</v>
      </c>
      <c r="C95" s="20" t="s">
        <v>71</v>
      </c>
      <c r="D95" s="23"/>
      <c r="E95" s="23"/>
      <c r="F95" s="40" t="n">
        <f aca="false">$D$23*F58</f>
        <v>0.8</v>
      </c>
      <c r="G95" s="40" t="n">
        <f aca="false">$D$23*G58</f>
        <v>0.84</v>
      </c>
      <c r="H95" s="40" t="n">
        <f aca="false">$D$23*H58</f>
        <v>0.882</v>
      </c>
      <c r="I95" s="40" t="n">
        <f aca="false">$D$23*I58</f>
        <v>0.9261</v>
      </c>
      <c r="J95" s="40" t="n">
        <f aca="false">$D$23*J58</f>
        <v>0.972405</v>
      </c>
      <c r="K95" s="51" t="n">
        <f aca="false">SUM(F95:J95)</f>
        <v>4.420505</v>
      </c>
      <c r="L95" s="49"/>
    </row>
    <row r="96" customFormat="false" ht="15" hidden="false" customHeight="false" outlineLevel="0" collapsed="false">
      <c r="A96" s="20" t="n">
        <v>87</v>
      </c>
      <c r="B96" s="6" t="s">
        <v>654</v>
      </c>
      <c r="C96" s="20" t="s">
        <v>71</v>
      </c>
      <c r="D96" s="23"/>
      <c r="E96" s="23"/>
      <c r="F96" s="40" t="n">
        <f aca="false">$D$24*F77*F58</f>
        <v>0.72</v>
      </c>
      <c r="G96" s="40" t="n">
        <f aca="false">$D$24*G77*G58</f>
        <v>1.323</v>
      </c>
      <c r="H96" s="40" t="n">
        <f aca="false">$D$24*H77*H58</f>
        <v>1.9845</v>
      </c>
      <c r="I96" s="40" t="n">
        <f aca="false">$D$24*I77*I58</f>
        <v>2.50047</v>
      </c>
      <c r="J96" s="40" t="n">
        <f aca="false">$D$24*J77*J58</f>
        <v>3.281866875</v>
      </c>
      <c r="K96" s="51" t="n">
        <f aca="false">SUM(F96:J96)</f>
        <v>9.809836875</v>
      </c>
      <c r="L96" s="49" t="s">
        <v>655</v>
      </c>
    </row>
    <row r="97" customFormat="false" ht="15" hidden="false" customHeight="false" outlineLevel="0" collapsed="false">
      <c r="A97" s="20" t="n">
        <v>88</v>
      </c>
      <c r="B97" s="6" t="s">
        <v>656</v>
      </c>
      <c r="C97" s="20" t="s">
        <v>71</v>
      </c>
      <c r="D97" s="23"/>
      <c r="E97" s="23"/>
      <c r="F97" s="40" t="n">
        <f aca="false">($D$25+$D$26*F67)*F58</f>
        <v>2</v>
      </c>
      <c r="G97" s="40" t="n">
        <f aca="false">($D$25+$D$26*G67)*G58</f>
        <v>2.625</v>
      </c>
      <c r="H97" s="40" t="n">
        <f aca="false">($D$25+$D$26*H67)*H58</f>
        <v>3.85875</v>
      </c>
      <c r="I97" s="40" t="n">
        <f aca="false">($D$25+$D$26*I67)*I58</f>
        <v>4.6305</v>
      </c>
      <c r="J97" s="40" t="n">
        <f aca="false">($D$25+$D$26*J67)*J58</f>
        <v>5.469778125</v>
      </c>
      <c r="K97" s="51" t="n">
        <f aca="false">SUM(F97:J97)</f>
        <v>18.584028125</v>
      </c>
      <c r="L97" s="49" t="s">
        <v>657</v>
      </c>
    </row>
    <row r="98" customFormat="false" ht="15" hidden="false" customHeight="false" outlineLevel="0" collapsed="false">
      <c r="A98" s="20" t="n">
        <v>89</v>
      </c>
      <c r="B98" s="6" t="s">
        <v>658</v>
      </c>
      <c r="C98" s="20" t="s">
        <v>71</v>
      </c>
      <c r="D98" s="23"/>
      <c r="E98" s="23"/>
      <c r="F98" s="40" t="n">
        <f aca="false">($D$27+$D$28*F77)*F58</f>
        <v>1.98</v>
      </c>
      <c r="G98" s="40" t="n">
        <f aca="false">($D$27+$D$28*G77)*G58</f>
        <v>2.457</v>
      </c>
      <c r="H98" s="40" t="n">
        <f aca="false">($D$27+$D$28*H77)*H58</f>
        <v>2.97675</v>
      </c>
      <c r="I98" s="40" t="n">
        <f aca="false">($D$27+$D$28*I77)*I58</f>
        <v>3.4034175</v>
      </c>
      <c r="J98" s="40" t="n">
        <f aca="false">($D$27+$D$28*J77)*J58</f>
        <v>4.011170625</v>
      </c>
      <c r="K98" s="51" t="n">
        <f aca="false">SUM(F98:J98)</f>
        <v>14.828338125</v>
      </c>
      <c r="L98" s="49" t="s">
        <v>659</v>
      </c>
    </row>
    <row r="99" customFormat="false" ht="15" hidden="false" customHeight="false" outlineLevel="0" collapsed="false">
      <c r="A99" s="20" t="n">
        <v>90</v>
      </c>
      <c r="B99" s="6" t="s">
        <v>660</v>
      </c>
      <c r="C99" s="20" t="s">
        <v>71</v>
      </c>
      <c r="D99" s="23"/>
      <c r="E99" s="23"/>
      <c r="F99" s="40" t="n">
        <f aca="false">$D$29*F78*F58</f>
        <v>0.5</v>
      </c>
      <c r="G99" s="40" t="n">
        <f aca="false">$D$29*G78*G58</f>
        <v>0.7875</v>
      </c>
      <c r="H99" s="40" t="n">
        <f aca="false">$D$29*H78*H58</f>
        <v>0.826875</v>
      </c>
      <c r="I99" s="40" t="n">
        <f aca="false">$D$29*I78*I58</f>
        <v>0.5788125</v>
      </c>
      <c r="J99" s="40" t="n">
        <f aca="false">$D$29*J78*J58</f>
        <v>0.9116296875</v>
      </c>
      <c r="K99" s="51" t="n">
        <f aca="false">SUM(F99:J99)</f>
        <v>3.6048171875</v>
      </c>
      <c r="L99" s="49" t="s">
        <v>661</v>
      </c>
    </row>
    <row r="100" customFormat="false" ht="15" hidden="false" customHeight="false" outlineLevel="0" collapsed="false">
      <c r="A100" s="20" t="n">
        <v>91</v>
      </c>
      <c r="B100" s="6" t="s">
        <v>570</v>
      </c>
      <c r="C100" s="20" t="s">
        <v>71</v>
      </c>
      <c r="D100" s="23"/>
      <c r="E100" s="23"/>
      <c r="F100" s="40" t="n">
        <f aca="false">IF(F$56=$F$56,$D$30,0)</f>
        <v>0.3</v>
      </c>
      <c r="G100" s="40" t="n">
        <f aca="false">IF(G$56=$F$56,$D$30,0)</f>
        <v>0</v>
      </c>
      <c r="H100" s="40" t="n">
        <f aca="false">IF(H$56=$F$56,$D$30,0)</f>
        <v>0</v>
      </c>
      <c r="I100" s="40" t="n">
        <f aca="false">IF(I$56=$F$56,$D$30,0)</f>
        <v>0</v>
      </c>
      <c r="J100" s="40" t="n">
        <f aca="false">IF(J$56=$F$56,$D$30,0)</f>
        <v>0</v>
      </c>
      <c r="K100" s="51" t="n">
        <f aca="false">SUM(F100:J100)</f>
        <v>0.3</v>
      </c>
      <c r="L100" s="49" t="s">
        <v>662</v>
      </c>
    </row>
    <row r="101" customFormat="false" ht="15" hidden="false" customHeight="false" outlineLevel="0" collapsed="false">
      <c r="A101" s="20" t="n">
        <v>92</v>
      </c>
      <c r="B101" s="6" t="s">
        <v>663</v>
      </c>
      <c r="C101" s="20" t="s">
        <v>71</v>
      </c>
      <c r="D101" s="23"/>
      <c r="E101" s="23"/>
      <c r="F101" s="40" t="n">
        <f aca="false">F91+F92+F94+F95+F96+F97+F98+F99+F100</f>
        <v>21.36928168</v>
      </c>
      <c r="G101" s="40" t="n">
        <f aca="false">G91+G92+G94+G95+G96+G97+G98+G99+G100</f>
        <v>33.6188556288</v>
      </c>
      <c r="H101" s="40" t="n">
        <f aca="false">H91+H92+H94+H95+H96+H97+H98+H99+H100</f>
        <v>49.278958894656</v>
      </c>
      <c r="I101" s="40" t="n">
        <f aca="false">I91+I92+I94+I95+I96+I97+I98+I99+I100</f>
        <v>61.1089182158285</v>
      </c>
      <c r="J101" s="40" t="n">
        <f aca="false">J91+J92+J94+J95+J96+J97+J98+J99+J100</f>
        <v>80.7255109428866</v>
      </c>
      <c r="K101" s="51" t="n">
        <f aca="false">SUM(F101:J101)</f>
        <v>246.101525362171</v>
      </c>
      <c r="L101" s="49"/>
    </row>
    <row r="102" customFormat="false" ht="15" hidden="false" customHeight="false" outlineLevel="0" collapsed="false">
      <c r="A102" s="20" t="n">
        <v>93</v>
      </c>
      <c r="B102" s="6" t="s">
        <v>329</v>
      </c>
      <c r="C102" s="20" t="s">
        <v>71</v>
      </c>
      <c r="D102" s="23"/>
      <c r="E102" s="23"/>
      <c r="F102" s="40" t="n">
        <f aca="false">F101*$D$32</f>
        <v>2.136928168</v>
      </c>
      <c r="G102" s="40" t="n">
        <f aca="false">G101*$D$32</f>
        <v>3.36188556288</v>
      </c>
      <c r="H102" s="40" t="n">
        <f aca="false">H101*$D$32</f>
        <v>4.9278958894656</v>
      </c>
      <c r="I102" s="40" t="n">
        <f aca="false">I101*$D$32</f>
        <v>6.11089182158285</v>
      </c>
      <c r="J102" s="40" t="n">
        <f aca="false">J101*$D$32</f>
        <v>8.07255109428866</v>
      </c>
      <c r="K102" s="51" t="n">
        <f aca="false">SUM(F102:J102)</f>
        <v>24.6101525362171</v>
      </c>
      <c r="L102" s="49"/>
    </row>
    <row r="103" customFormat="false" ht="15" hidden="false" customHeight="false" outlineLevel="0" collapsed="false">
      <c r="A103" s="20" t="n">
        <v>94</v>
      </c>
      <c r="B103" s="6" t="s">
        <v>664</v>
      </c>
      <c r="C103" s="20" t="s">
        <v>71</v>
      </c>
      <c r="D103" s="23"/>
      <c r="E103" s="23"/>
      <c r="F103" s="40" t="n">
        <f aca="false">F101+F102</f>
        <v>23.506209848</v>
      </c>
      <c r="G103" s="40" t="n">
        <f aca="false">G101+G102</f>
        <v>36.98074119168</v>
      </c>
      <c r="H103" s="40" t="n">
        <f aca="false">H101+H102</f>
        <v>54.2068547841216</v>
      </c>
      <c r="I103" s="40" t="n">
        <f aca="false">I101+I102</f>
        <v>67.2198100374113</v>
      </c>
      <c r="J103" s="40" t="n">
        <f aca="false">J101+J102</f>
        <v>88.7980620371753</v>
      </c>
      <c r="K103" s="51" t="n">
        <f aca="false">SUM(F103:J103)</f>
        <v>270.711677898388</v>
      </c>
      <c r="L103" s="49"/>
    </row>
    <row r="104" customFormat="false" ht="15" hidden="false" customHeight="false" outlineLevel="0" collapsed="false">
      <c r="A104" s="19" t="s">
        <v>665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customFormat="false" ht="15" hidden="false" customHeight="false" outlineLevel="0" collapsed="false">
      <c r="A105" s="20" t="n">
        <v>95</v>
      </c>
      <c r="B105" s="6" t="s">
        <v>666</v>
      </c>
      <c r="C105" s="20" t="s">
        <v>71</v>
      </c>
      <c r="D105" s="23"/>
      <c r="E105" s="23"/>
      <c r="F105" s="40" t="n">
        <f aca="false">F74-F103</f>
        <v>-13.506209848</v>
      </c>
      <c r="G105" s="40" t="n">
        <f aca="false">G74-G103</f>
        <v>-9.84474119167999</v>
      </c>
      <c r="H105" s="40" t="n">
        <f aca="false">H74-H103</f>
        <v>-0.674337284121599</v>
      </c>
      <c r="I105" s="40" t="n">
        <f aca="false">I74-I103</f>
        <v>22.9480525478159</v>
      </c>
      <c r="J105" s="40" t="n">
        <f aca="false">J74-J103</f>
        <v>53.0503253713418</v>
      </c>
      <c r="K105" s="51" t="n">
        <f aca="false">SUM(F105:J105)</f>
        <v>51.9730895953561</v>
      </c>
      <c r="L105" s="49" t="s">
        <v>667</v>
      </c>
    </row>
    <row r="106" customFormat="false" ht="15" hidden="false" customHeight="false" outlineLevel="0" collapsed="false">
      <c r="A106" s="20" t="n">
        <v>96</v>
      </c>
      <c r="B106" s="6" t="s">
        <v>668</v>
      </c>
      <c r="C106" s="20" t="s">
        <v>68</v>
      </c>
      <c r="D106" s="23"/>
      <c r="E106" s="23"/>
      <c r="F106" s="44" t="n">
        <f aca="false">IF(F74&gt;0,F105/F74,0)</f>
        <v>-1.3506209848</v>
      </c>
      <c r="G106" s="44" t="n">
        <f aca="false">IF(G74&gt;0,G105/G74,0)</f>
        <v>-0.362792644150943</v>
      </c>
      <c r="H106" s="44" t="n">
        <f aca="false">IF(H74&gt;0,H105/H74,0)</f>
        <v>-0.0125967788479516</v>
      </c>
      <c r="I106" s="44" t="n">
        <f aca="false">IF(I74&gt;0,I105/I74,0)</f>
        <v>0.25450367669662</v>
      </c>
      <c r="J106" s="44" t="n">
        <f aca="false">IF(J74&gt;0,J105/J74,0)</f>
        <v>0.37399315100114</v>
      </c>
      <c r="K106" s="23"/>
      <c r="L106" s="49"/>
    </row>
    <row r="107" customFormat="false" ht="15" hidden="false" customHeight="false" outlineLevel="0" collapsed="false">
      <c r="A107" s="20" t="n">
        <v>97</v>
      </c>
      <c r="B107" s="6" t="s">
        <v>669</v>
      </c>
      <c r="C107" s="20" t="s">
        <v>71</v>
      </c>
      <c r="D107" s="23"/>
      <c r="E107" s="23"/>
      <c r="F107" s="40" t="n">
        <f aca="false">E111</f>
        <v>0</v>
      </c>
      <c r="G107" s="40" t="n">
        <f aca="false">F111</f>
        <v>13.506209848</v>
      </c>
      <c r="H107" s="40" t="n">
        <f aca="false">G111</f>
        <v>23.35095103968</v>
      </c>
      <c r="I107" s="40" t="n">
        <f aca="false">H111</f>
        <v>24.0252883238016</v>
      </c>
      <c r="J107" s="40" t="n">
        <f aca="false">I111</f>
        <v>12.5512620498936</v>
      </c>
      <c r="K107" s="23"/>
      <c r="L107" s="49"/>
    </row>
    <row r="108" customFormat="false" ht="15" hidden="false" customHeight="false" outlineLevel="0" collapsed="false">
      <c r="A108" s="20" t="n">
        <v>98</v>
      </c>
      <c r="B108" s="6" t="s">
        <v>670</v>
      </c>
      <c r="C108" s="20" t="s">
        <v>71</v>
      </c>
      <c r="D108" s="23"/>
      <c r="E108" s="23"/>
      <c r="F108" s="40" t="n">
        <f aca="false">MIN(F107,MAX(0,F105)*$D$34)</f>
        <v>0</v>
      </c>
      <c r="G108" s="40" t="n">
        <f aca="false">MIN(G107,MAX(0,G105)*$D$34)</f>
        <v>0</v>
      </c>
      <c r="H108" s="40" t="n">
        <f aca="false">MIN(H107,MAX(0,H105)*$D$34)</f>
        <v>0</v>
      </c>
      <c r="I108" s="40" t="n">
        <f aca="false">MIN(I107,MAX(0,I105)*$D$34)</f>
        <v>11.474026273908</v>
      </c>
      <c r="J108" s="40" t="n">
        <f aca="false">MIN(J107,MAX(0,J105)*$D$34)</f>
        <v>12.5512620498936</v>
      </c>
      <c r="K108" s="23"/>
      <c r="L108" s="49" t="s">
        <v>671</v>
      </c>
    </row>
    <row r="109" customFormat="false" ht="15" hidden="false" customHeight="false" outlineLevel="0" collapsed="false">
      <c r="A109" s="20" t="n">
        <v>99</v>
      </c>
      <c r="B109" s="6" t="s">
        <v>672</v>
      </c>
      <c r="C109" s="20" t="s">
        <v>71</v>
      </c>
      <c r="D109" s="23"/>
      <c r="E109" s="23"/>
      <c r="F109" s="40" t="n">
        <f aca="false">MAX(0,F105)-F108</f>
        <v>0</v>
      </c>
      <c r="G109" s="40" t="n">
        <f aca="false">MAX(0,G105)-G108</f>
        <v>0</v>
      </c>
      <c r="H109" s="40" t="n">
        <f aca="false">MAX(0,H105)-H108</f>
        <v>0</v>
      </c>
      <c r="I109" s="40" t="n">
        <f aca="false">MAX(0,I105)-I108</f>
        <v>11.474026273908</v>
      </c>
      <c r="J109" s="40" t="n">
        <f aca="false">MAX(0,J105)-J108</f>
        <v>40.4990633214482</v>
      </c>
      <c r="K109" s="23"/>
      <c r="L109" s="49"/>
    </row>
    <row r="110" customFormat="false" ht="15" hidden="false" customHeight="false" outlineLevel="0" collapsed="false">
      <c r="A110" s="20" t="n">
        <v>100</v>
      </c>
      <c r="B110" s="6" t="s">
        <v>572</v>
      </c>
      <c r="C110" s="20" t="s">
        <v>71</v>
      </c>
      <c r="D110" s="23"/>
      <c r="E110" s="23"/>
      <c r="F110" s="40" t="n">
        <f aca="false">F109*$D$33</f>
        <v>0</v>
      </c>
      <c r="G110" s="40" t="n">
        <f aca="false">G109*$D$33</f>
        <v>0</v>
      </c>
      <c r="H110" s="40" t="n">
        <f aca="false">H109*$D$33</f>
        <v>0</v>
      </c>
      <c r="I110" s="40" t="n">
        <f aca="false">I109*$D$33</f>
        <v>0.573701313695399</v>
      </c>
      <c r="J110" s="40" t="n">
        <f aca="false">J109*$D$33</f>
        <v>2.02495316607241</v>
      </c>
      <c r="K110" s="51" t="n">
        <f aca="false">SUM(F110:J110)</f>
        <v>2.59865447976781</v>
      </c>
      <c r="L110" s="49"/>
    </row>
    <row r="111" customFormat="false" ht="15" hidden="false" customHeight="false" outlineLevel="0" collapsed="false">
      <c r="A111" s="20" t="n">
        <v>101</v>
      </c>
      <c r="B111" s="6" t="s">
        <v>673</v>
      </c>
      <c r="C111" s="20" t="s">
        <v>71</v>
      </c>
      <c r="D111" s="23"/>
      <c r="E111" s="40" t="n">
        <f aca="false">0</f>
        <v>0</v>
      </c>
      <c r="F111" s="40" t="n">
        <f aca="false">F107-F108+MAX(0,-F105)</f>
        <v>13.506209848</v>
      </c>
      <c r="G111" s="40" t="n">
        <f aca="false">G107-G108+MAX(0,-G105)</f>
        <v>23.35095103968</v>
      </c>
      <c r="H111" s="40" t="n">
        <f aca="false">H107-H108+MAX(0,-H105)</f>
        <v>24.0252883238016</v>
      </c>
      <c r="I111" s="40" t="n">
        <f aca="false">I107-I108+MAX(0,-I105)</f>
        <v>12.5512620498936</v>
      </c>
      <c r="J111" s="40" t="n">
        <f aca="false">J107-J108+MAX(0,-J105)</f>
        <v>0</v>
      </c>
      <c r="K111" s="23"/>
      <c r="L111" s="49"/>
    </row>
    <row r="112" customFormat="false" ht="15" hidden="false" customHeight="false" outlineLevel="0" collapsed="false">
      <c r="A112" s="20" t="n">
        <v>102</v>
      </c>
      <c r="B112" s="6" t="s">
        <v>674</v>
      </c>
      <c r="C112" s="20" t="s">
        <v>71</v>
      </c>
      <c r="D112" s="23"/>
      <c r="E112" s="23"/>
      <c r="F112" s="40" t="n">
        <f aca="false">F105-F110</f>
        <v>-13.506209848</v>
      </c>
      <c r="G112" s="40" t="n">
        <f aca="false">G105-G110</f>
        <v>-9.84474119167999</v>
      </c>
      <c r="H112" s="40" t="n">
        <f aca="false">H105-H110</f>
        <v>-0.674337284121599</v>
      </c>
      <c r="I112" s="40" t="n">
        <f aca="false">I105-I110</f>
        <v>22.3743512341206</v>
      </c>
      <c r="J112" s="40" t="n">
        <f aca="false">J105-J110</f>
        <v>51.0253722052694</v>
      </c>
      <c r="K112" s="51" t="n">
        <f aca="false">SUM(F112:J112)</f>
        <v>49.3744351155883</v>
      </c>
      <c r="L112" s="49"/>
    </row>
    <row r="113" customFormat="false" ht="15" hidden="false" customHeight="false" outlineLevel="0" collapsed="false">
      <c r="A113" s="19" t="s">
        <v>675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customFormat="false" ht="15" hidden="false" customHeight="false" outlineLevel="0" collapsed="false">
      <c r="A114" s="20" t="n">
        <v>103</v>
      </c>
      <c r="B114" s="6" t="s">
        <v>676</v>
      </c>
      <c r="C114" s="20" t="s">
        <v>71</v>
      </c>
      <c r="D114" s="23"/>
      <c r="E114" s="40" t="n">
        <f aca="false">0</f>
        <v>0</v>
      </c>
      <c r="F114" s="40" t="n">
        <f aca="false">F74*$D$35/365</f>
        <v>1.64383561643836</v>
      </c>
      <c r="G114" s="40" t="n">
        <f aca="false">G74*$D$35/365</f>
        <v>4.46071232876712</v>
      </c>
      <c r="H114" s="40" t="n">
        <f aca="false">H74*$D$35/365</f>
        <v>8.79986589041096</v>
      </c>
      <c r="I114" s="40" t="n">
        <f aca="false">I74*$D$35/365</f>
        <v>14.8221143975716</v>
      </c>
      <c r="J114" s="40" t="n">
        <f aca="false">J74*$D$35/365</f>
        <v>23.3175431356466</v>
      </c>
      <c r="K114" s="23"/>
      <c r="L114" s="49" t="s">
        <v>677</v>
      </c>
    </row>
    <row r="115" customFormat="false" ht="15" hidden="false" customHeight="false" outlineLevel="0" collapsed="false">
      <c r="A115" s="20" t="n">
        <v>104</v>
      </c>
      <c r="B115" s="6" t="s">
        <v>678</v>
      </c>
      <c r="C115" s="20" t="s">
        <v>71</v>
      </c>
      <c r="D115" s="23"/>
      <c r="E115" s="23"/>
      <c r="F115" s="40" t="n">
        <f aca="false">F114-E114</f>
        <v>1.64383561643836</v>
      </c>
      <c r="G115" s="40" t="n">
        <f aca="false">G114-F114</f>
        <v>2.81687671232877</v>
      </c>
      <c r="H115" s="40" t="n">
        <f aca="false">H114-G114</f>
        <v>4.33915356164384</v>
      </c>
      <c r="I115" s="40" t="n">
        <f aca="false">I114-H114</f>
        <v>6.02224850716065</v>
      </c>
      <c r="J115" s="40" t="n">
        <f aca="false">J114-I114</f>
        <v>8.49542873807503</v>
      </c>
      <c r="K115" s="51" t="n">
        <f aca="false">SUM(F115:J115)</f>
        <v>23.3175431356466</v>
      </c>
      <c r="L115" s="49"/>
    </row>
    <row r="116" customFormat="false" ht="15" hidden="false" customHeight="false" outlineLevel="0" collapsed="false">
      <c r="A116" s="20" t="n">
        <v>105</v>
      </c>
      <c r="B116" s="6" t="s">
        <v>679</v>
      </c>
      <c r="C116" s="20" t="s">
        <v>71</v>
      </c>
      <c r="D116" s="23"/>
      <c r="E116" s="23"/>
      <c r="F116" s="40" t="n">
        <f aca="false">F112-F115</f>
        <v>-15.1500454644384</v>
      </c>
      <c r="G116" s="40" t="n">
        <f aca="false">G112-G115</f>
        <v>-12.6616179040088</v>
      </c>
      <c r="H116" s="40" t="n">
        <f aca="false">H112-H115</f>
        <v>-5.01349084576544</v>
      </c>
      <c r="I116" s="40" t="n">
        <f aca="false">I112-I115</f>
        <v>16.3521027269599</v>
      </c>
      <c r="J116" s="40" t="n">
        <f aca="false">J112-J115</f>
        <v>42.5299434671943</v>
      </c>
      <c r="K116" s="51" t="n">
        <f aca="false">SUM(F116:J116)</f>
        <v>26.0568919799417</v>
      </c>
      <c r="L116" s="49" t="s">
        <v>680</v>
      </c>
    </row>
    <row r="117" customFormat="false" ht="15" hidden="false" customHeight="false" outlineLevel="0" collapsed="false">
      <c r="A117" s="20" t="n">
        <v>106</v>
      </c>
      <c r="B117" s="6" t="s">
        <v>93</v>
      </c>
      <c r="C117" s="20" t="s">
        <v>71</v>
      </c>
      <c r="D117" s="23"/>
      <c r="E117" s="40" t="n">
        <f aca="false">0</f>
        <v>0</v>
      </c>
      <c r="F117" s="40" t="n">
        <f aca="false">E117+F116</f>
        <v>-15.1500454644384</v>
      </c>
      <c r="G117" s="40" t="n">
        <f aca="false">F117+G116</f>
        <v>-27.8116633684471</v>
      </c>
      <c r="H117" s="40" t="n">
        <f aca="false">G117+H116</f>
        <v>-32.8251542142126</v>
      </c>
      <c r="I117" s="40" t="n">
        <f aca="false">H117+I116</f>
        <v>-16.4730514872527</v>
      </c>
      <c r="J117" s="40" t="n">
        <f aca="false">I117+J116</f>
        <v>26.0568919799417</v>
      </c>
      <c r="K117" s="23"/>
      <c r="L117" s="49" t="s">
        <v>681</v>
      </c>
    </row>
    <row r="118" customFormat="false" ht="15" hidden="false" customHeight="false" outlineLevel="0" collapsed="false">
      <c r="A118" s="20" t="n">
        <v>107</v>
      </c>
      <c r="B118" s="6" t="s">
        <v>682</v>
      </c>
      <c r="C118" s="20"/>
      <c r="D118" s="23"/>
      <c r="E118" s="23"/>
      <c r="F118" s="53" t="n">
        <f aca="false">1/(1+$D$36)^(F$56-$E$56)</f>
        <v>0.769230769230769</v>
      </c>
      <c r="G118" s="53" t="n">
        <f aca="false">1/(1+$D$36)^(G$56-$E$56)</f>
        <v>0.591715976331361</v>
      </c>
      <c r="H118" s="53" t="n">
        <f aca="false">1/(1+$D$36)^(H$56-$E$56)</f>
        <v>0.455166135639508</v>
      </c>
      <c r="I118" s="53" t="n">
        <f aca="false">1/(1+$D$36)^(I$56-$E$56)</f>
        <v>0.350127796645776</v>
      </c>
      <c r="J118" s="53" t="n">
        <f aca="false">1/(1+$D$36)^(J$56-$E$56)</f>
        <v>0.269329074342904</v>
      </c>
      <c r="K118" s="23"/>
      <c r="L118" s="49" t="s">
        <v>683</v>
      </c>
    </row>
    <row r="119" customFormat="false" ht="15" hidden="false" customHeight="false" outlineLevel="0" collapsed="false">
      <c r="A119" s="20" t="n">
        <v>108</v>
      </c>
      <c r="B119" s="6" t="s">
        <v>684</v>
      </c>
      <c r="C119" s="20" t="s">
        <v>71</v>
      </c>
      <c r="D119" s="23"/>
      <c r="E119" s="23"/>
      <c r="F119" s="40" t="n">
        <f aca="false">F116*F118</f>
        <v>-11.653881126491</v>
      </c>
      <c r="G119" s="40" t="n">
        <f aca="false">G116*G118</f>
        <v>-7.49208160000518</v>
      </c>
      <c r="H119" s="40" t="n">
        <f aca="false">H116*H118</f>
        <v>-2.2819712543311</v>
      </c>
      <c r="I119" s="40" t="n">
        <f aca="false">I116*I118</f>
        <v>5.72532569831585</v>
      </c>
      <c r="J119" s="40" t="n">
        <f aca="false">J116*J118</f>
        <v>11.4545503058755</v>
      </c>
      <c r="K119" s="51" t="n">
        <f aca="false">SUM(F119:J119)</f>
        <v>-4.24805797663597</v>
      </c>
      <c r="L119" s="49"/>
    </row>
    <row r="120" customFormat="false" ht="15" hidden="false" customHeight="false" outlineLevel="0" collapsed="false">
      <c r="A120" s="20" t="n">
        <v>109</v>
      </c>
      <c r="B120" s="6" t="s">
        <v>685</v>
      </c>
      <c r="C120" s="20" t="s">
        <v>71</v>
      </c>
      <c r="D120" s="23"/>
      <c r="E120" s="23"/>
      <c r="F120" s="40" t="n">
        <f aca="false">IF(F$56=$J$56,MAX(0,F116)*(1+$D$37)/($D$36-$D$37),0)</f>
        <v>0</v>
      </c>
      <c r="G120" s="40" t="n">
        <f aca="false">IF(G$56=$J$56,MAX(0,G116)*(1+$D$37)/($D$36-$D$37),0)</f>
        <v>0</v>
      </c>
      <c r="H120" s="40" t="n">
        <f aca="false">IF(H$56=$J$56,MAX(0,H116)*(1+$D$37)/($D$36-$D$37),0)</f>
        <v>0</v>
      </c>
      <c r="I120" s="40" t="n">
        <f aca="false">IF(I$56=$J$56,MAX(0,I116)*(1+$D$37)/($D$36-$D$37),0)</f>
        <v>0</v>
      </c>
      <c r="J120" s="40" t="n">
        <f aca="false">IF(J$56=$J$56,MAX(0,J116)*(1+$D$37)/($D$36-$D$37),0)</f>
        <v>170.119773868777</v>
      </c>
      <c r="K120" s="23"/>
      <c r="L120" s="49" t="s">
        <v>686</v>
      </c>
    </row>
    <row r="121" customFormat="false" ht="15" hidden="false" customHeight="false" outlineLevel="0" collapsed="false">
      <c r="A121" s="20" t="n">
        <v>110</v>
      </c>
      <c r="B121" s="6" t="s">
        <v>687</v>
      </c>
      <c r="C121" s="20" t="s">
        <v>71</v>
      </c>
      <c r="D121" s="23"/>
      <c r="E121" s="23"/>
      <c r="F121" s="40" t="n">
        <f aca="false">F120*F118</f>
        <v>0</v>
      </c>
      <c r="G121" s="40" t="n">
        <f aca="false">G120*G118</f>
        <v>0</v>
      </c>
      <c r="H121" s="40" t="n">
        <f aca="false">H120*H118</f>
        <v>0</v>
      </c>
      <c r="I121" s="40" t="n">
        <f aca="false">I120*I118</f>
        <v>0</v>
      </c>
      <c r="J121" s="40" t="n">
        <f aca="false">J120*J118</f>
        <v>45.818201223502</v>
      </c>
      <c r="K121" s="51" t="n">
        <f aca="false">SUM(F121:J121)</f>
        <v>45.818201223502</v>
      </c>
      <c r="L121" s="49"/>
    </row>
    <row r="122" customFormat="false" ht="15" hidden="false" customHeight="false" outlineLevel="0" collapsed="false">
      <c r="A122" s="20" t="n">
        <v>111</v>
      </c>
      <c r="B122" s="6" t="s">
        <v>688</v>
      </c>
      <c r="C122" s="20" t="s">
        <v>71</v>
      </c>
      <c r="D122" s="23"/>
      <c r="E122" s="23"/>
      <c r="F122" s="40" t="n">
        <f aca="false">F116+F120</f>
        <v>-15.1500454644384</v>
      </c>
      <c r="G122" s="40" t="n">
        <f aca="false">G116+G120</f>
        <v>-12.6616179040088</v>
      </c>
      <c r="H122" s="40" t="n">
        <f aca="false">H116+H120</f>
        <v>-5.01349084576544</v>
      </c>
      <c r="I122" s="40" t="n">
        <f aca="false">I116+I120</f>
        <v>16.3521027269599</v>
      </c>
      <c r="J122" s="40" t="n">
        <f aca="false">J116+J120</f>
        <v>212.649717335972</v>
      </c>
      <c r="K122" s="23"/>
      <c r="L122" s="49" t="s">
        <v>689</v>
      </c>
    </row>
    <row r="123" customFormat="false" ht="15" hidden="false" customHeight="false" outlineLevel="0" collapsed="false">
      <c r="A123" s="20" t="n">
        <v>112</v>
      </c>
      <c r="B123" s="6" t="s">
        <v>690</v>
      </c>
      <c r="C123" s="20"/>
      <c r="D123" s="23"/>
      <c r="E123" s="23"/>
      <c r="F123" s="52" t="str">
        <f aca="false">IF(AND(F105&gt;0,COUNTIF($F$105:F$105,"&gt;0")=1),F$56,"")</f>
        <v/>
      </c>
      <c r="G123" s="52" t="str">
        <f aca="false">IF(AND(G105&gt;0,COUNTIF($F$105:G$105,"&gt;0")=1),G$56,"")</f>
        <v/>
      </c>
      <c r="H123" s="52" t="str">
        <f aca="false">IF(AND(H105&gt;0,COUNTIF($F$105:H$105,"&gt;0")=1),H$56,"")</f>
        <v/>
      </c>
      <c r="I123" s="52" t="n">
        <f aca="false">IF(AND(I105&gt;0,COUNTIF($F$105:I$105,"&gt;0")=1),I$56,"")</f>
        <v>2030</v>
      </c>
      <c r="J123" s="52" t="str">
        <f aca="false">IF(AND(J105&gt;0,COUNTIF($F$105:J$105,"&gt;0")=1),J$56,"")</f>
        <v/>
      </c>
      <c r="K123" s="23"/>
      <c r="L123" s="49" t="s">
        <v>691</v>
      </c>
    </row>
    <row r="124" customFormat="false" ht="15" hidden="false" customHeight="false" outlineLevel="0" collapsed="false">
      <c r="A124" s="20" t="n">
        <v>113</v>
      </c>
      <c r="B124" s="6" t="s">
        <v>692</v>
      </c>
      <c r="C124" s="20"/>
      <c r="D124" s="23"/>
      <c r="E124" s="23"/>
      <c r="F124" s="52" t="str">
        <f aca="false">IF(AND(F117&gt;0,COUNTIF($F$117:F$117,"&gt;0")=1),F$56,"")</f>
        <v/>
      </c>
      <c r="G124" s="52" t="str">
        <f aca="false">IF(AND(G117&gt;0,COUNTIF($F$117:G$117,"&gt;0")=1),G$56,"")</f>
        <v/>
      </c>
      <c r="H124" s="52" t="str">
        <f aca="false">IF(AND(H117&gt;0,COUNTIF($F$117:H$117,"&gt;0")=1),H$56,"")</f>
        <v/>
      </c>
      <c r="I124" s="52" t="str">
        <f aca="false">IF(AND(I117&gt;0,COUNTIF($F$117:I$117,"&gt;0")=1),I$56,"")</f>
        <v/>
      </c>
      <c r="J124" s="52" t="n">
        <f aca="false">IF(AND(J117&gt;0,COUNTIF($F$117:J$117,"&gt;0")=1),J$56,"")</f>
        <v>2031</v>
      </c>
      <c r="K124" s="23"/>
      <c r="L124" s="49" t="s">
        <v>691</v>
      </c>
    </row>
    <row r="125" customFormat="false" ht="15" hidden="false" customHeight="false" outlineLevel="0" collapsed="false">
      <c r="A125" s="19" t="s">
        <v>693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customFormat="false" ht="15" hidden="false" customHeight="false" outlineLevel="0" collapsed="false">
      <c r="A126" s="20" t="n">
        <v>114</v>
      </c>
      <c r="B126" s="6" t="s">
        <v>70</v>
      </c>
      <c r="C126" s="20" t="s">
        <v>71</v>
      </c>
      <c r="D126" s="51" t="n">
        <f aca="false">SUM(F74:J74)</f>
        <v>322.684767493744</v>
      </c>
      <c r="E126" s="23"/>
      <c r="F126" s="23"/>
      <c r="G126" s="23"/>
      <c r="H126" s="23"/>
      <c r="I126" s="23"/>
      <c r="J126" s="23"/>
      <c r="K126" s="23"/>
      <c r="L126" s="49"/>
    </row>
    <row r="127" customFormat="false" ht="15" hidden="false" customHeight="false" outlineLevel="0" collapsed="false">
      <c r="A127" s="20" t="n">
        <v>115</v>
      </c>
      <c r="B127" s="6" t="s">
        <v>694</v>
      </c>
      <c r="C127" s="20" t="s">
        <v>71</v>
      </c>
      <c r="D127" s="51" t="n">
        <f aca="false">J74</f>
        <v>141.848387408517</v>
      </c>
      <c r="E127" s="23"/>
      <c r="F127" s="23"/>
      <c r="G127" s="23"/>
      <c r="H127" s="23"/>
      <c r="I127" s="23"/>
      <c r="J127" s="23"/>
      <c r="K127" s="23"/>
      <c r="L127" s="49"/>
    </row>
    <row r="128" customFormat="false" ht="15" hidden="false" customHeight="false" outlineLevel="0" collapsed="false">
      <c r="A128" s="20" t="n">
        <v>116</v>
      </c>
      <c r="B128" s="6" t="s">
        <v>695</v>
      </c>
      <c r="C128" s="20" t="s">
        <v>71</v>
      </c>
      <c r="D128" s="51" t="n">
        <f aca="false">J75</f>
        <v>170.108985715237</v>
      </c>
      <c r="E128" s="23"/>
      <c r="F128" s="23"/>
      <c r="G128" s="23"/>
      <c r="H128" s="23"/>
      <c r="I128" s="23"/>
      <c r="J128" s="23"/>
      <c r="K128" s="23"/>
      <c r="L128" s="49"/>
    </row>
    <row r="129" customFormat="false" ht="15" hidden="false" customHeight="false" outlineLevel="0" collapsed="false">
      <c r="A129" s="20" t="n">
        <v>117</v>
      </c>
      <c r="B129" s="6" t="s">
        <v>696</v>
      </c>
      <c r="C129" s="20" t="s">
        <v>71</v>
      </c>
      <c r="D129" s="51" t="n">
        <f aca="false">J105</f>
        <v>53.0503253713418</v>
      </c>
      <c r="E129" s="23"/>
      <c r="F129" s="23"/>
      <c r="G129" s="23"/>
      <c r="H129" s="23"/>
      <c r="I129" s="23"/>
      <c r="J129" s="23"/>
      <c r="K129" s="23"/>
      <c r="L129" s="49"/>
    </row>
    <row r="130" customFormat="false" ht="15" hidden="false" customHeight="false" outlineLevel="0" collapsed="false">
      <c r="A130" s="20" t="n">
        <v>118</v>
      </c>
      <c r="B130" s="6" t="s">
        <v>697</v>
      </c>
      <c r="C130" s="20" t="s">
        <v>76</v>
      </c>
      <c r="D130" s="54" t="n">
        <f aca="false">J66</f>
        <v>18</v>
      </c>
      <c r="E130" s="23"/>
      <c r="F130" s="23"/>
      <c r="G130" s="23"/>
      <c r="H130" s="23"/>
      <c r="I130" s="23"/>
      <c r="J130" s="23"/>
      <c r="K130" s="23"/>
      <c r="L130" s="49"/>
    </row>
    <row r="131" customFormat="false" ht="15" hidden="false" customHeight="false" outlineLevel="0" collapsed="false">
      <c r="A131" s="20" t="n">
        <v>119</v>
      </c>
      <c r="B131" s="6" t="s">
        <v>698</v>
      </c>
      <c r="C131" s="20" t="s">
        <v>53</v>
      </c>
      <c r="D131" s="51" t="n">
        <f aca="false">J77</f>
        <v>15</v>
      </c>
      <c r="E131" s="23"/>
      <c r="F131" s="23"/>
      <c r="G131" s="23"/>
      <c r="H131" s="23"/>
      <c r="I131" s="23"/>
      <c r="J131" s="23"/>
      <c r="K131" s="23"/>
      <c r="L131" s="49"/>
    </row>
    <row r="132" customFormat="false" ht="15" hidden="false" customHeight="false" outlineLevel="0" collapsed="false">
      <c r="A132" s="20" t="n">
        <v>120</v>
      </c>
      <c r="B132" s="6" t="s">
        <v>699</v>
      </c>
      <c r="C132" s="20" t="s">
        <v>71</v>
      </c>
      <c r="D132" s="51" t="n">
        <f aca="false">MIN(0,MIN(F117:J117))</f>
        <v>-32.8251542142126</v>
      </c>
      <c r="E132" s="23"/>
      <c r="F132" s="23"/>
      <c r="G132" s="23"/>
      <c r="H132" s="23"/>
      <c r="I132" s="23"/>
      <c r="J132" s="23"/>
      <c r="K132" s="23"/>
      <c r="L132" s="49"/>
    </row>
    <row r="133" customFormat="false" ht="15" hidden="false" customHeight="false" outlineLevel="0" collapsed="false">
      <c r="A133" s="20" t="n">
        <v>121</v>
      </c>
      <c r="B133" s="6" t="s">
        <v>700</v>
      </c>
      <c r="C133" s="20" t="s">
        <v>71</v>
      </c>
      <c r="D133" s="51" t="n">
        <f aca="false">-$D$132*(1+$D$38)</f>
        <v>39.3901850570551</v>
      </c>
      <c r="E133" s="23"/>
      <c r="F133" s="23"/>
      <c r="G133" s="23"/>
      <c r="H133" s="23"/>
      <c r="I133" s="23"/>
      <c r="J133" s="23"/>
      <c r="K133" s="23"/>
      <c r="L133" s="49"/>
    </row>
    <row r="134" customFormat="false" ht="15" hidden="false" customHeight="false" outlineLevel="0" collapsed="false">
      <c r="A134" s="20" t="n">
        <v>122</v>
      </c>
      <c r="B134" s="6" t="s">
        <v>701</v>
      </c>
      <c r="C134" s="20" t="s">
        <v>71</v>
      </c>
      <c r="D134" s="51" t="n">
        <f aca="false">J117</f>
        <v>26.0568919799417</v>
      </c>
      <c r="E134" s="23"/>
      <c r="F134" s="23"/>
      <c r="G134" s="23"/>
      <c r="H134" s="23"/>
      <c r="I134" s="23"/>
      <c r="J134" s="23"/>
      <c r="K134" s="23"/>
      <c r="L134" s="49"/>
    </row>
    <row r="135" customFormat="false" ht="15" hidden="false" customHeight="false" outlineLevel="0" collapsed="false">
      <c r="A135" s="20" t="n">
        <v>123</v>
      </c>
      <c r="B135" s="6" t="s">
        <v>702</v>
      </c>
      <c r="C135" s="20" t="s">
        <v>71</v>
      </c>
      <c r="D135" s="51" t="n">
        <f aca="false">SUM(F119:J119)</f>
        <v>-4.24805797663597</v>
      </c>
      <c r="E135" s="23"/>
      <c r="F135" s="23"/>
      <c r="G135" s="23"/>
      <c r="H135" s="23"/>
      <c r="I135" s="23"/>
      <c r="J135" s="23"/>
      <c r="K135" s="23"/>
      <c r="L135" s="49"/>
    </row>
    <row r="136" customFormat="false" ht="15" hidden="false" customHeight="false" outlineLevel="0" collapsed="false">
      <c r="A136" s="20" t="n">
        <v>124</v>
      </c>
      <c r="B136" s="6" t="s">
        <v>82</v>
      </c>
      <c r="C136" s="20" t="s">
        <v>71</v>
      </c>
      <c r="D136" s="51" t="n">
        <f aca="false">SUM(F119:J119)+SUM(F121:J121)</f>
        <v>41.5701432468661</v>
      </c>
      <c r="E136" s="23"/>
      <c r="F136" s="23"/>
      <c r="G136" s="23"/>
      <c r="H136" s="23"/>
      <c r="I136" s="23"/>
      <c r="J136" s="23"/>
      <c r="K136" s="23"/>
      <c r="L136" s="49"/>
    </row>
    <row r="137" customFormat="false" ht="15" hidden="false" customHeight="false" outlineLevel="0" collapsed="false">
      <c r="A137" s="20" t="n">
        <v>125</v>
      </c>
      <c r="B137" s="6" t="s">
        <v>83</v>
      </c>
      <c r="C137" s="20" t="s">
        <v>68</v>
      </c>
      <c r="D137" s="55" t="n">
        <f aca="false">IFERROR(IRR(F122:J122),"н/д")</f>
        <v>0.785103934932262</v>
      </c>
      <c r="E137" s="23"/>
      <c r="F137" s="23"/>
      <c r="G137" s="23"/>
      <c r="H137" s="23"/>
      <c r="I137" s="23"/>
      <c r="J137" s="23"/>
      <c r="K137" s="23"/>
      <c r="L137" s="49"/>
    </row>
    <row r="138" customFormat="false" ht="15" hidden="false" customHeight="false" outlineLevel="0" collapsed="false">
      <c r="A138" s="20" t="n">
        <v>126</v>
      </c>
      <c r="B138" s="6" t="s">
        <v>13</v>
      </c>
      <c r="C138" s="20" t="s">
        <v>79</v>
      </c>
      <c r="D138" s="56" t="n">
        <f aca="false">IF(COUNT(F123:J123)=0,"после 2031",MIN(F123:J123))</f>
        <v>2030</v>
      </c>
      <c r="E138" s="23"/>
      <c r="F138" s="23"/>
      <c r="G138" s="23"/>
      <c r="H138" s="23"/>
      <c r="I138" s="23"/>
      <c r="J138" s="23"/>
      <c r="K138" s="23"/>
      <c r="L138" s="49"/>
    </row>
    <row r="139" customFormat="false" ht="15" hidden="false" customHeight="false" outlineLevel="0" collapsed="false">
      <c r="A139" s="20" t="n">
        <v>127</v>
      </c>
      <c r="B139" s="6" t="s">
        <v>703</v>
      </c>
      <c r="C139" s="20" t="s">
        <v>79</v>
      </c>
      <c r="D139" s="56" t="n">
        <f aca="false">IF(COUNT(F124:J124)=0,"после 2031",MIN(F124:J124))</f>
        <v>2031</v>
      </c>
      <c r="E139" s="23"/>
      <c r="F139" s="23"/>
      <c r="G139" s="23"/>
      <c r="H139" s="23"/>
      <c r="I139" s="23"/>
      <c r="J139" s="23"/>
      <c r="K139" s="23"/>
      <c r="L139" s="49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CBC"/>
    <pageSetUpPr fitToPage="true"/>
  </sheetPr>
  <dimension ref="A1:L27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17" t="s">
        <v>706</v>
      </c>
    </row>
    <row r="2" customFormat="false" ht="15" hidden="false" customHeight="false" outlineLevel="0" collapsed="false">
      <c r="A2" s="18" t="s">
        <v>707</v>
      </c>
    </row>
    <row r="4" customFormat="false" ht="30" hidden="false" customHeight="true" outlineLevel="0" collapsed="false">
      <c r="A4" s="4" t="s">
        <v>49</v>
      </c>
      <c r="B4" s="4" t="s">
        <v>708</v>
      </c>
      <c r="C4" s="5" t="s">
        <v>709</v>
      </c>
      <c r="D4" s="5" t="s">
        <v>710</v>
      </c>
      <c r="E4" s="5" t="s">
        <v>711</v>
      </c>
      <c r="F4" s="5" t="s">
        <v>712</v>
      </c>
      <c r="G4" s="5" t="s">
        <v>713</v>
      </c>
    </row>
    <row r="5" customFormat="false" ht="15" hidden="false" customHeight="false" outlineLevel="0" collapsed="false">
      <c r="A5" s="23" t="n">
        <v>1</v>
      </c>
      <c r="B5" s="6" t="s">
        <v>714</v>
      </c>
      <c r="C5" s="23" t="s">
        <v>715</v>
      </c>
      <c r="D5" s="40" t="n">
        <f aca="false">$D$290</f>
        <v>-18.2132636840789</v>
      </c>
      <c r="E5" s="40" t="n">
        <f aca="false">$D$429</f>
        <v>17.4523156574077</v>
      </c>
      <c r="F5" s="9" t="n">
        <f aca="false">Базовый!$D$136</f>
        <v>-0.149594728978126</v>
      </c>
      <c r="G5" s="40" t="n">
        <f aca="false">ABS(E5-D5)</f>
        <v>35.6655793414865</v>
      </c>
    </row>
    <row r="6" customFormat="false" ht="15" hidden="false" customHeight="false" outlineLevel="0" collapsed="false">
      <c r="A6" s="23" t="n">
        <v>2</v>
      </c>
      <c r="B6" s="6" t="s">
        <v>716</v>
      </c>
      <c r="C6" s="23" t="s">
        <v>715</v>
      </c>
      <c r="D6" s="40" t="n">
        <f aca="false">$D$568</f>
        <v>-11.0876522484514</v>
      </c>
      <c r="E6" s="40" t="n">
        <f aca="false">$D$707</f>
        <v>10.7786344564498</v>
      </c>
      <c r="F6" s="9" t="n">
        <f aca="false">Базовый!$D$136</f>
        <v>-0.149594728978126</v>
      </c>
      <c r="G6" s="40" t="n">
        <f aca="false">ABS(E6-D6)</f>
        <v>21.8662867049012</v>
      </c>
    </row>
    <row r="7" customFormat="false" ht="15" hidden="false" customHeight="false" outlineLevel="0" collapsed="false">
      <c r="A7" s="23" t="n">
        <v>3</v>
      </c>
      <c r="B7" s="6" t="s">
        <v>561</v>
      </c>
      <c r="C7" s="23" t="s">
        <v>715</v>
      </c>
      <c r="D7" s="40" t="n">
        <f aca="false">$D$846</f>
        <v>-3.71131422175125</v>
      </c>
      <c r="E7" s="40" t="n">
        <f aca="false">$D$985</f>
        <v>3.5450610862528</v>
      </c>
      <c r="F7" s="9" t="n">
        <f aca="false">Базовый!$D$136</f>
        <v>-0.149594728978126</v>
      </c>
      <c r="G7" s="40" t="n">
        <f aca="false">ABS(E7-D7)</f>
        <v>7.25637530800405</v>
      </c>
    </row>
    <row r="8" customFormat="false" ht="15" hidden="false" customHeight="false" outlineLevel="0" collapsed="false">
      <c r="A8" s="23" t="n">
        <v>4</v>
      </c>
      <c r="B8" s="6" t="s">
        <v>717</v>
      </c>
      <c r="C8" s="23" t="s">
        <v>715</v>
      </c>
      <c r="D8" s="40" t="n">
        <f aca="false">$D$1124</f>
        <v>-6.54168178257734</v>
      </c>
      <c r="E8" s="40" t="n">
        <f aca="false">$D$1263</f>
        <v>6.23346847182858</v>
      </c>
      <c r="F8" s="9" t="n">
        <f aca="false">Базовый!$D$136</f>
        <v>-0.149594728978126</v>
      </c>
      <c r="G8" s="40" t="n">
        <f aca="false">ABS(E8-D8)</f>
        <v>12.7751502544059</v>
      </c>
    </row>
    <row r="9" customFormat="false" ht="15" hidden="false" customHeight="false" outlineLevel="0" collapsed="false">
      <c r="A9" s="23" t="n">
        <v>5</v>
      </c>
      <c r="B9" s="6" t="s">
        <v>718</v>
      </c>
      <c r="C9" s="23" t="s">
        <v>715</v>
      </c>
      <c r="D9" s="40" t="n">
        <f aca="false">$D$1402</f>
        <v>17.7095197320431</v>
      </c>
      <c r="E9" s="40" t="n">
        <f aca="false">$D$1541</f>
        <v>-18.1790209928431</v>
      </c>
      <c r="F9" s="9" t="n">
        <f aca="false">Базовый!$D$136</f>
        <v>-0.149594728978126</v>
      </c>
      <c r="G9" s="40" t="n">
        <f aca="false">ABS(E9-D9)</f>
        <v>35.8885407248862</v>
      </c>
    </row>
    <row r="10" customFormat="false" ht="15" hidden="false" customHeight="false" outlineLevel="0" collapsed="false">
      <c r="A10" s="23" t="n">
        <v>6</v>
      </c>
      <c r="B10" s="6" t="s">
        <v>630</v>
      </c>
      <c r="C10" s="23" t="s">
        <v>715</v>
      </c>
      <c r="D10" s="40" t="n">
        <f aca="false">$D$1680</f>
        <v>19.2435997108702</v>
      </c>
      <c r="E10" s="40" t="n">
        <f aca="false">$D$1819</f>
        <v>-20.2055381592495</v>
      </c>
      <c r="F10" s="9" t="n">
        <f aca="false">Базовый!$D$136</f>
        <v>-0.149594728978126</v>
      </c>
      <c r="G10" s="40" t="n">
        <f aca="false">ABS(E10-D10)</f>
        <v>39.4491378701197</v>
      </c>
    </row>
    <row r="11" customFormat="false" ht="15" hidden="false" customHeight="false" outlineLevel="0" collapsed="false">
      <c r="A11" s="23" t="n">
        <v>7</v>
      </c>
      <c r="B11" s="6" t="s">
        <v>719</v>
      </c>
      <c r="C11" s="23" t="s">
        <v>715</v>
      </c>
      <c r="D11" s="40" t="n">
        <f aca="false">$D$1958</f>
        <v>5.88508661150802</v>
      </c>
      <c r="E11" s="40" t="n">
        <f aca="false">$D$2097</f>
        <v>-6.18427606946428</v>
      </c>
      <c r="F11" s="9" t="n">
        <f aca="false">Базовый!$D$136</f>
        <v>-0.149594728978126</v>
      </c>
      <c r="G11" s="40" t="n">
        <f aca="false">ABS(E11-D11)</f>
        <v>12.0693626809723</v>
      </c>
    </row>
    <row r="12" customFormat="false" ht="15" hidden="false" customHeight="false" outlineLevel="0" collapsed="false">
      <c r="A12" s="23" t="n">
        <v>8</v>
      </c>
      <c r="B12" s="6" t="s">
        <v>574</v>
      </c>
      <c r="C12" s="23" t="s">
        <v>715</v>
      </c>
      <c r="D12" s="40" t="n">
        <f aca="false">$D$2236</f>
        <v>2.58703151850614</v>
      </c>
      <c r="E12" s="40" t="n">
        <f aca="false">$D$2375</f>
        <v>-2.88622097646239</v>
      </c>
      <c r="F12" s="9" t="n">
        <f aca="false">Базовый!$D$136</f>
        <v>-0.149594728978126</v>
      </c>
      <c r="G12" s="40" t="n">
        <f aca="false">ABS(E12-D12)</f>
        <v>5.47325249496853</v>
      </c>
    </row>
    <row r="13" customFormat="false" ht="15" hidden="false" customHeight="false" outlineLevel="0" collapsed="false">
      <c r="A13" s="23" t="n">
        <v>9</v>
      </c>
      <c r="B13" s="6" t="s">
        <v>345</v>
      </c>
      <c r="C13" s="23" t="s">
        <v>715</v>
      </c>
      <c r="D13" s="40" t="n">
        <f aca="false">$D$2514</f>
        <v>9.07795076620801</v>
      </c>
      <c r="E13" s="40" t="n">
        <f aca="false">$D$2653</f>
        <v>-4.96035347593131</v>
      </c>
      <c r="F13" s="9" t="n">
        <f aca="false">Базовый!$D$136</f>
        <v>-0.149594728978126</v>
      </c>
      <c r="G13" s="40" t="n">
        <f aca="false">ABS(E13-D13)</f>
        <v>14.0383042421393</v>
      </c>
    </row>
    <row r="14" customFormat="false" ht="15" hidden="false" customHeight="false" outlineLevel="0" collapsed="false">
      <c r="A14" s="23" t="n">
        <v>10</v>
      </c>
      <c r="B14" s="23" t="s">
        <v>720</v>
      </c>
      <c r="C14" s="23" t="s">
        <v>721</v>
      </c>
      <c r="D14" s="40" t="n">
        <f aca="false">$D$2792</f>
        <v>-15.2498138907244</v>
      </c>
      <c r="E14" s="23"/>
      <c r="F14" s="9" t="n">
        <f aca="false">Базовый!$D$136</f>
        <v>-0.149594728978126</v>
      </c>
      <c r="G14" s="40" t="n">
        <f aca="false">ABS(D14-F14)</f>
        <v>15.1002191617463</v>
      </c>
    </row>
    <row r="16" customFormat="false" ht="15" hidden="false" customHeight="false" outlineLevel="0" collapsed="false">
      <c r="A16" s="18" t="s">
        <v>722</v>
      </c>
    </row>
    <row r="18" customFormat="false" ht="15" hidden="true" customHeight="false" outlineLevel="1" collapsed="false">
      <c r="A18" s="57" t="s">
        <v>723</v>
      </c>
    </row>
    <row r="19" customFormat="false" ht="30" hidden="true" customHeight="true" outlineLevel="1" collapsed="false">
      <c r="A19" s="4" t="s">
        <v>49</v>
      </c>
      <c r="B19" s="4" t="s">
        <v>3</v>
      </c>
      <c r="C19" s="5" t="s">
        <v>50</v>
      </c>
      <c r="D19" s="5" t="s">
        <v>551</v>
      </c>
      <c r="E19" s="5" t="s">
        <v>356</v>
      </c>
      <c r="F19" s="5" t="s">
        <v>86</v>
      </c>
      <c r="G19" s="5" t="s">
        <v>87</v>
      </c>
      <c r="H19" s="5" t="s">
        <v>88</v>
      </c>
      <c r="I19" s="5" t="s">
        <v>89</v>
      </c>
      <c r="J19" s="5" t="s">
        <v>90</v>
      </c>
      <c r="K19" s="5" t="s">
        <v>552</v>
      </c>
      <c r="L19" s="5" t="s">
        <v>393</v>
      </c>
    </row>
    <row r="20" customFormat="false" ht="15" hidden="true" customHeight="false" outlineLevel="1" collapsed="false">
      <c r="A20" s="19" t="s">
        <v>553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15" hidden="true" customHeight="false" outlineLevel="1" collapsed="false">
      <c r="A21" s="20" t="n">
        <v>1</v>
      </c>
      <c r="B21" s="6" t="s">
        <v>554</v>
      </c>
      <c r="C21" s="20" t="s">
        <v>79</v>
      </c>
      <c r="D21" s="10" t="n">
        <f aca="false">Допущения!$E$49</f>
        <v>2027</v>
      </c>
      <c r="E21" s="23"/>
      <c r="F21" s="23"/>
      <c r="G21" s="23"/>
      <c r="H21" s="23"/>
      <c r="I21" s="23"/>
      <c r="J21" s="23"/>
      <c r="K21" s="23"/>
      <c r="L21" s="49"/>
    </row>
    <row r="22" customFormat="false" ht="15" hidden="true" customHeight="false" outlineLevel="1" collapsed="false">
      <c r="A22" s="20" t="n">
        <v>2</v>
      </c>
      <c r="B22" s="6" t="s">
        <v>555</v>
      </c>
      <c r="C22" s="20" t="s">
        <v>105</v>
      </c>
      <c r="D22" s="45" t="n">
        <f aca="false">Допущения!$E$7</f>
        <v>1.8</v>
      </c>
      <c r="E22" s="23"/>
      <c r="F22" s="23"/>
      <c r="G22" s="23"/>
      <c r="H22" s="23"/>
      <c r="I22" s="23"/>
      <c r="J22" s="23"/>
      <c r="K22" s="23"/>
      <c r="L22" s="49"/>
    </row>
    <row r="23" customFormat="false" ht="15" hidden="true" customHeight="false" outlineLevel="1" collapsed="false">
      <c r="A23" s="20" t="n">
        <v>3</v>
      </c>
      <c r="B23" s="6" t="s">
        <v>556</v>
      </c>
      <c r="C23" s="20" t="s">
        <v>55</v>
      </c>
      <c r="D23" s="9" t="n">
        <f aca="false">Допущения!$E$42</f>
        <v>6</v>
      </c>
      <c r="E23" s="23"/>
      <c r="F23" s="23"/>
      <c r="G23" s="23"/>
      <c r="H23" s="23"/>
      <c r="I23" s="23"/>
      <c r="J23" s="23"/>
      <c r="K23" s="23"/>
      <c r="L23" s="49"/>
    </row>
    <row r="24" customFormat="false" ht="15" hidden="true" customHeight="false" outlineLevel="1" collapsed="false">
      <c r="A24" s="20" t="n">
        <v>4</v>
      </c>
      <c r="B24" s="6" t="s">
        <v>557</v>
      </c>
      <c r="C24" s="20" t="s">
        <v>244</v>
      </c>
      <c r="D24" s="9" t="n">
        <f aca="false">Допущения!$E$43</f>
        <v>5</v>
      </c>
      <c r="E24" s="23"/>
      <c r="F24" s="23"/>
      <c r="G24" s="23"/>
      <c r="H24" s="23"/>
      <c r="I24" s="23"/>
      <c r="J24" s="23"/>
      <c r="K24" s="23"/>
      <c r="L24" s="49"/>
    </row>
    <row r="25" customFormat="false" ht="15" hidden="true" customHeight="false" outlineLevel="1" collapsed="false">
      <c r="A25" s="20" t="n">
        <v>5</v>
      </c>
      <c r="B25" s="6" t="s">
        <v>558</v>
      </c>
      <c r="C25" s="20" t="s">
        <v>55</v>
      </c>
      <c r="D25" s="9" t="n">
        <f aca="false">Допущения!$E$44</f>
        <v>1.5</v>
      </c>
      <c r="E25" s="23"/>
      <c r="F25" s="23"/>
      <c r="G25" s="23"/>
      <c r="H25" s="23"/>
      <c r="I25" s="23"/>
      <c r="J25" s="23"/>
      <c r="K25" s="23"/>
      <c r="L25" s="49"/>
    </row>
    <row r="26" customFormat="false" ht="15" hidden="true" customHeight="false" outlineLevel="1" collapsed="false">
      <c r="A26" s="20" t="n">
        <v>6</v>
      </c>
      <c r="B26" s="6" t="s">
        <v>559</v>
      </c>
      <c r="C26" s="20" t="s">
        <v>71</v>
      </c>
      <c r="D26" s="9" t="n">
        <f aca="false">Допущения!$E$45</f>
        <v>8</v>
      </c>
      <c r="E26" s="23"/>
      <c r="F26" s="23"/>
      <c r="G26" s="23"/>
      <c r="H26" s="23"/>
      <c r="I26" s="23"/>
      <c r="J26" s="23"/>
      <c r="K26" s="23"/>
      <c r="L26" s="49"/>
    </row>
    <row r="27" customFormat="false" ht="15" hidden="true" customHeight="false" outlineLevel="1" collapsed="false">
      <c r="A27" s="20" t="n">
        <v>7</v>
      </c>
      <c r="B27" s="6" t="s">
        <v>560</v>
      </c>
      <c r="C27" s="20" t="s">
        <v>71</v>
      </c>
      <c r="D27" s="9" t="n">
        <f aca="false">Допущения!$E$46</f>
        <v>2</v>
      </c>
      <c r="E27" s="23"/>
      <c r="F27" s="23"/>
      <c r="G27" s="23"/>
      <c r="H27" s="23"/>
      <c r="I27" s="23"/>
      <c r="J27" s="23"/>
      <c r="K27" s="23"/>
      <c r="L27" s="49"/>
    </row>
    <row r="28" customFormat="false" ht="15" hidden="true" customHeight="false" outlineLevel="1" collapsed="false">
      <c r="A28" s="20" t="n">
        <v>8</v>
      </c>
      <c r="B28" s="6" t="s">
        <v>260</v>
      </c>
      <c r="C28" s="20" t="s">
        <v>261</v>
      </c>
      <c r="D28" s="22" t="n">
        <f aca="false">Допущения!$E$47</f>
        <v>0.05</v>
      </c>
      <c r="E28" s="23"/>
      <c r="F28" s="23"/>
      <c r="G28" s="23"/>
      <c r="H28" s="23"/>
      <c r="I28" s="23"/>
      <c r="J28" s="23"/>
      <c r="K28" s="23"/>
      <c r="L28" s="49"/>
    </row>
    <row r="29" customFormat="false" ht="15" hidden="true" customHeight="false" outlineLevel="1" collapsed="false">
      <c r="A29" s="20" t="n">
        <v>9</v>
      </c>
      <c r="B29" s="6" t="s">
        <v>561</v>
      </c>
      <c r="C29" s="20" t="s">
        <v>261</v>
      </c>
      <c r="D29" s="22" t="n">
        <f aca="false">Допущения!$E$48</f>
        <v>0.15</v>
      </c>
      <c r="E29" s="23"/>
      <c r="F29" s="23"/>
      <c r="G29" s="23"/>
      <c r="H29" s="23"/>
      <c r="I29" s="23"/>
      <c r="J29" s="23"/>
      <c r="K29" s="23"/>
      <c r="L29" s="49"/>
    </row>
    <row r="30" customFormat="false" ht="15" hidden="true" customHeight="false" outlineLevel="1" collapsed="false">
      <c r="A30" s="20" t="n">
        <v>10</v>
      </c>
      <c r="B30" s="6" t="s">
        <v>274</v>
      </c>
      <c r="C30" s="20" t="s">
        <v>261</v>
      </c>
      <c r="D30" s="22" t="n">
        <f aca="false">Допущения!$E$51</f>
        <v>0.07</v>
      </c>
      <c r="E30" s="23"/>
      <c r="F30" s="23"/>
      <c r="G30" s="23"/>
      <c r="H30" s="23"/>
      <c r="I30" s="23"/>
      <c r="J30" s="23"/>
      <c r="K30" s="23"/>
      <c r="L30" s="49"/>
    </row>
    <row r="31" customFormat="false" ht="15" hidden="true" customHeight="false" outlineLevel="1" collapsed="false">
      <c r="A31" s="20" t="n">
        <v>11</v>
      </c>
      <c r="B31" s="6" t="s">
        <v>562</v>
      </c>
      <c r="C31" s="20" t="s">
        <v>68</v>
      </c>
      <c r="D31" s="22" t="n">
        <f aca="false">Допущения!$E$52</f>
        <v>0.15</v>
      </c>
      <c r="E31" s="23"/>
      <c r="F31" s="23"/>
      <c r="G31" s="23"/>
      <c r="H31" s="23"/>
      <c r="I31" s="23"/>
      <c r="J31" s="23"/>
      <c r="K31" s="23"/>
      <c r="L31" s="49"/>
    </row>
    <row r="32" customFormat="false" ht="15" hidden="true" customHeight="false" outlineLevel="1" collapsed="false">
      <c r="A32" s="20" t="n">
        <v>12</v>
      </c>
      <c r="B32" s="6" t="s">
        <v>563</v>
      </c>
      <c r="C32" s="20" t="s">
        <v>68</v>
      </c>
      <c r="D32" s="22" t="n">
        <f aca="false">Допущения!$E$53</f>
        <v>0.076</v>
      </c>
      <c r="E32" s="23"/>
      <c r="F32" s="23"/>
      <c r="G32" s="23"/>
      <c r="H32" s="23"/>
      <c r="I32" s="23"/>
      <c r="J32" s="23"/>
      <c r="K32" s="23"/>
      <c r="L32" s="49"/>
    </row>
    <row r="33" customFormat="false" ht="15" hidden="true" customHeight="false" outlineLevel="1" collapsed="false">
      <c r="A33" s="20" t="n">
        <v>13</v>
      </c>
      <c r="B33" s="6" t="s">
        <v>284</v>
      </c>
      <c r="C33" s="20" t="s">
        <v>68</v>
      </c>
      <c r="D33" s="22" t="n">
        <f aca="false">Допущения!$E$54</f>
        <v>0.002</v>
      </c>
      <c r="E33" s="23"/>
      <c r="F33" s="23"/>
      <c r="G33" s="23"/>
      <c r="H33" s="23"/>
      <c r="I33" s="23"/>
      <c r="J33" s="23"/>
      <c r="K33" s="23"/>
      <c r="L33" s="49"/>
    </row>
    <row r="34" customFormat="false" ht="15" hidden="true" customHeight="false" outlineLevel="1" collapsed="false">
      <c r="A34" s="20" t="n">
        <v>14</v>
      </c>
      <c r="B34" s="6" t="s">
        <v>564</v>
      </c>
      <c r="C34" s="20" t="s">
        <v>55</v>
      </c>
      <c r="D34" s="50" t="n">
        <f aca="false">Допущения!$E$55</f>
        <v>2.979</v>
      </c>
      <c r="E34" s="23"/>
      <c r="F34" s="23"/>
      <c r="G34" s="23"/>
      <c r="H34" s="23"/>
      <c r="I34" s="23"/>
      <c r="J34" s="23"/>
      <c r="K34" s="23"/>
      <c r="L34" s="49"/>
    </row>
    <row r="35" customFormat="false" ht="15" hidden="true" customHeight="false" outlineLevel="1" collapsed="false">
      <c r="A35" s="20" t="n">
        <v>15</v>
      </c>
      <c r="B35" s="6" t="s">
        <v>565</v>
      </c>
      <c r="C35" s="20" t="s">
        <v>261</v>
      </c>
      <c r="D35" s="22" t="n">
        <f aca="false">Допущения!$E$56</f>
        <v>0.08</v>
      </c>
      <c r="E35" s="23"/>
      <c r="F35" s="23"/>
      <c r="G35" s="23"/>
      <c r="H35" s="23"/>
      <c r="I35" s="23"/>
      <c r="J35" s="23"/>
      <c r="K35" s="23"/>
      <c r="L35" s="49"/>
    </row>
    <row r="36" customFormat="false" ht="15" hidden="true" customHeight="false" outlineLevel="1" collapsed="false">
      <c r="A36" s="20" t="n">
        <v>16</v>
      </c>
      <c r="B36" s="6" t="s">
        <v>566</v>
      </c>
      <c r="C36" s="20" t="s">
        <v>71</v>
      </c>
      <c r="D36" s="9" t="n">
        <f aca="false">Допущения!$E$58</f>
        <v>2.5</v>
      </c>
      <c r="E36" s="23"/>
      <c r="F36" s="23"/>
      <c r="G36" s="23"/>
      <c r="H36" s="23"/>
      <c r="I36" s="23"/>
      <c r="J36" s="23"/>
      <c r="K36" s="23"/>
      <c r="L36" s="49"/>
    </row>
    <row r="37" customFormat="false" ht="15" hidden="true" customHeight="false" outlineLevel="1" collapsed="false">
      <c r="A37" s="20" t="n">
        <v>17</v>
      </c>
      <c r="B37" s="6" t="s">
        <v>299</v>
      </c>
      <c r="C37" s="20" t="s">
        <v>55</v>
      </c>
      <c r="D37" s="9" t="n">
        <f aca="false">Допущения!$E$59</f>
        <v>1</v>
      </c>
      <c r="E37" s="23"/>
      <c r="F37" s="23"/>
      <c r="G37" s="23"/>
      <c r="H37" s="23"/>
      <c r="I37" s="23"/>
      <c r="J37" s="23"/>
      <c r="K37" s="23"/>
      <c r="L37" s="49"/>
    </row>
    <row r="38" customFormat="false" ht="15" hidden="true" customHeight="false" outlineLevel="1" collapsed="false">
      <c r="A38" s="20" t="n">
        <v>18</v>
      </c>
      <c r="B38" s="6" t="s">
        <v>302</v>
      </c>
      <c r="C38" s="20" t="s">
        <v>55</v>
      </c>
      <c r="D38" s="9" t="n">
        <f aca="false">Допущения!$E$60</f>
        <v>0.6</v>
      </c>
      <c r="E38" s="23"/>
      <c r="F38" s="23"/>
      <c r="G38" s="23"/>
      <c r="H38" s="23"/>
      <c r="I38" s="23"/>
      <c r="J38" s="23"/>
      <c r="K38" s="23"/>
      <c r="L38" s="49"/>
    </row>
    <row r="39" customFormat="false" ht="15" hidden="true" customHeight="false" outlineLevel="1" collapsed="false">
      <c r="A39" s="20" t="n">
        <v>19</v>
      </c>
      <c r="B39" s="6" t="s">
        <v>567</v>
      </c>
      <c r="C39" s="20" t="s">
        <v>55</v>
      </c>
      <c r="D39" s="45" t="n">
        <f aca="false">Допущения!$E$61</f>
        <v>0.15</v>
      </c>
      <c r="E39" s="23"/>
      <c r="F39" s="23"/>
      <c r="G39" s="23"/>
      <c r="H39" s="23"/>
      <c r="I39" s="23"/>
      <c r="J39" s="23"/>
      <c r="K39" s="23"/>
      <c r="L39" s="49"/>
    </row>
    <row r="40" customFormat="false" ht="15" hidden="true" customHeight="false" outlineLevel="1" collapsed="false">
      <c r="A40" s="20" t="n">
        <v>20</v>
      </c>
      <c r="B40" s="6" t="s">
        <v>568</v>
      </c>
      <c r="C40" s="20" t="s">
        <v>55</v>
      </c>
      <c r="D40" s="9" t="n">
        <f aca="false">Допущения!$E$62</f>
        <v>1</v>
      </c>
      <c r="E40" s="23"/>
      <c r="F40" s="23"/>
      <c r="G40" s="23"/>
      <c r="H40" s="23"/>
      <c r="I40" s="23"/>
      <c r="J40" s="23"/>
      <c r="K40" s="23"/>
      <c r="L40" s="49"/>
    </row>
    <row r="41" customFormat="false" ht="15" hidden="true" customHeight="false" outlineLevel="1" collapsed="false">
      <c r="A41" s="20" t="n">
        <v>21</v>
      </c>
      <c r="B41" s="6" t="s">
        <v>569</v>
      </c>
      <c r="C41" s="20" t="s">
        <v>71</v>
      </c>
      <c r="D41" s="9" t="n">
        <f aca="false">Допущения!$E$63</f>
        <v>0.4</v>
      </c>
      <c r="E41" s="23"/>
      <c r="F41" s="23"/>
      <c r="G41" s="23"/>
      <c r="H41" s="23"/>
      <c r="I41" s="23"/>
      <c r="J41" s="23"/>
      <c r="K41" s="23"/>
      <c r="L41" s="49"/>
    </row>
    <row r="42" customFormat="false" ht="15" hidden="true" customHeight="false" outlineLevel="1" collapsed="false">
      <c r="A42" s="20" t="n">
        <v>22</v>
      </c>
      <c r="B42" s="6" t="s">
        <v>314</v>
      </c>
      <c r="C42" s="20" t="s">
        <v>55</v>
      </c>
      <c r="D42" s="9" t="n">
        <f aca="false">Допущения!$E$64</f>
        <v>1.2</v>
      </c>
      <c r="E42" s="23"/>
      <c r="F42" s="23"/>
      <c r="G42" s="23"/>
      <c r="H42" s="23"/>
      <c r="I42" s="23"/>
      <c r="J42" s="23"/>
      <c r="K42" s="23"/>
      <c r="L42" s="49"/>
    </row>
    <row r="43" customFormat="false" ht="15" hidden="true" customHeight="false" outlineLevel="1" collapsed="false">
      <c r="A43" s="20" t="n">
        <v>23</v>
      </c>
      <c r="B43" s="6" t="s">
        <v>317</v>
      </c>
      <c r="C43" s="20" t="s">
        <v>55</v>
      </c>
      <c r="D43" s="45" t="n">
        <f aca="false">Допущения!$E$65</f>
        <v>0.1</v>
      </c>
      <c r="E43" s="23"/>
      <c r="F43" s="23"/>
      <c r="G43" s="23"/>
      <c r="H43" s="23"/>
      <c r="I43" s="23"/>
      <c r="J43" s="23"/>
      <c r="K43" s="23"/>
      <c r="L43" s="49"/>
    </row>
    <row r="44" customFormat="false" ht="15" hidden="true" customHeight="false" outlineLevel="1" collapsed="false">
      <c r="A44" s="20" t="n">
        <v>24</v>
      </c>
      <c r="B44" s="6" t="s">
        <v>320</v>
      </c>
      <c r="C44" s="20" t="s">
        <v>71</v>
      </c>
      <c r="D44" s="45" t="n">
        <f aca="false">Допущения!$E$66</f>
        <v>0.25</v>
      </c>
      <c r="E44" s="23"/>
      <c r="F44" s="23"/>
      <c r="G44" s="23"/>
      <c r="H44" s="23"/>
      <c r="I44" s="23"/>
      <c r="J44" s="23"/>
      <c r="K44" s="23"/>
      <c r="L44" s="49"/>
    </row>
    <row r="45" customFormat="false" ht="15" hidden="true" customHeight="false" outlineLevel="1" collapsed="false">
      <c r="A45" s="20" t="n">
        <v>25</v>
      </c>
      <c r="B45" s="6" t="s">
        <v>570</v>
      </c>
      <c r="C45" s="20" t="s">
        <v>71</v>
      </c>
      <c r="D45" s="9" t="n">
        <f aca="false">Допущения!$E$67</f>
        <v>0.3</v>
      </c>
      <c r="E45" s="23"/>
      <c r="F45" s="23"/>
      <c r="G45" s="23"/>
      <c r="H45" s="23"/>
      <c r="I45" s="23"/>
      <c r="J45" s="23"/>
      <c r="K45" s="23"/>
      <c r="L45" s="49"/>
    </row>
    <row r="46" customFormat="false" ht="15" hidden="true" customHeight="false" outlineLevel="1" collapsed="false">
      <c r="A46" s="20" t="n">
        <v>26</v>
      </c>
      <c r="B46" s="6" t="s">
        <v>326</v>
      </c>
      <c r="C46" s="20" t="s">
        <v>261</v>
      </c>
      <c r="D46" s="22" t="n">
        <f aca="false">Допущения!$E$68</f>
        <v>0.05</v>
      </c>
      <c r="E46" s="23"/>
      <c r="F46" s="23"/>
      <c r="G46" s="23"/>
      <c r="H46" s="23"/>
      <c r="I46" s="23"/>
      <c r="J46" s="23"/>
      <c r="K46" s="23"/>
      <c r="L46" s="49"/>
    </row>
    <row r="47" customFormat="false" ht="15" hidden="true" customHeight="false" outlineLevel="1" collapsed="false">
      <c r="A47" s="20" t="n">
        <v>27</v>
      </c>
      <c r="B47" s="6" t="s">
        <v>571</v>
      </c>
      <c r="C47" s="20" t="s">
        <v>330</v>
      </c>
      <c r="D47" s="22" t="n">
        <f aca="false">Допущения!$E$69</f>
        <v>0.1</v>
      </c>
      <c r="E47" s="23"/>
      <c r="F47" s="23"/>
      <c r="G47" s="23"/>
      <c r="H47" s="23"/>
      <c r="I47" s="23"/>
      <c r="J47" s="23"/>
      <c r="K47" s="23"/>
      <c r="L47" s="49"/>
    </row>
    <row r="48" customFormat="false" ht="15" hidden="true" customHeight="false" outlineLevel="1" collapsed="false">
      <c r="A48" s="20" t="n">
        <v>28</v>
      </c>
      <c r="B48" s="6" t="s">
        <v>572</v>
      </c>
      <c r="C48" s="20" t="s">
        <v>68</v>
      </c>
      <c r="D48" s="22" t="n">
        <f aca="false">Допущения!$E$71</f>
        <v>0.05</v>
      </c>
      <c r="E48" s="23"/>
      <c r="F48" s="23"/>
      <c r="G48" s="23"/>
      <c r="H48" s="23"/>
      <c r="I48" s="23"/>
      <c r="J48" s="23"/>
      <c r="K48" s="23"/>
      <c r="L48" s="49"/>
    </row>
    <row r="49" customFormat="false" ht="15" hidden="true" customHeight="false" outlineLevel="1" collapsed="false">
      <c r="A49" s="20" t="n">
        <v>29</v>
      </c>
      <c r="B49" s="6" t="s">
        <v>573</v>
      </c>
      <c r="C49" s="20" t="s">
        <v>68</v>
      </c>
      <c r="D49" s="22" t="n">
        <f aca="false">Допущения!$E$72</f>
        <v>0.5</v>
      </c>
      <c r="E49" s="23"/>
      <c r="F49" s="23"/>
      <c r="G49" s="23"/>
      <c r="H49" s="23"/>
      <c r="I49" s="23"/>
      <c r="J49" s="23"/>
      <c r="K49" s="23"/>
      <c r="L49" s="49"/>
    </row>
    <row r="50" customFormat="false" ht="15" hidden="true" customHeight="false" outlineLevel="1" collapsed="false">
      <c r="A50" s="20" t="n">
        <v>30</v>
      </c>
      <c r="B50" s="6" t="s">
        <v>574</v>
      </c>
      <c r="C50" s="20" t="s">
        <v>575</v>
      </c>
      <c r="D50" s="7" t="n">
        <f aca="false">Допущения!$E$73</f>
        <v>90</v>
      </c>
      <c r="E50" s="23"/>
      <c r="F50" s="23"/>
      <c r="G50" s="23"/>
      <c r="H50" s="23"/>
      <c r="I50" s="23"/>
      <c r="J50" s="23"/>
      <c r="K50" s="23"/>
      <c r="L50" s="49"/>
    </row>
    <row r="51" customFormat="false" ht="15" hidden="true" customHeight="false" outlineLevel="1" collapsed="false">
      <c r="A51" s="20" t="n">
        <v>31</v>
      </c>
      <c r="B51" s="6" t="s">
        <v>345</v>
      </c>
      <c r="C51" s="20" t="s">
        <v>68</v>
      </c>
      <c r="D51" s="22" t="n">
        <f aca="false">Допущения!$E$74</f>
        <v>0.3</v>
      </c>
      <c r="E51" s="23"/>
      <c r="F51" s="23"/>
      <c r="G51" s="23"/>
      <c r="H51" s="23"/>
      <c r="I51" s="23"/>
      <c r="J51" s="23"/>
      <c r="K51" s="23"/>
      <c r="L51" s="49"/>
    </row>
    <row r="52" customFormat="false" ht="15" hidden="true" customHeight="false" outlineLevel="1" collapsed="false">
      <c r="A52" s="20" t="n">
        <v>32</v>
      </c>
      <c r="B52" s="6" t="s">
        <v>576</v>
      </c>
      <c r="C52" s="20" t="s">
        <v>261</v>
      </c>
      <c r="D52" s="22" t="n">
        <f aca="false">Допущения!$E$75</f>
        <v>0.04</v>
      </c>
      <c r="E52" s="23"/>
      <c r="F52" s="23"/>
      <c r="G52" s="23"/>
      <c r="H52" s="23"/>
      <c r="I52" s="23"/>
      <c r="J52" s="23"/>
      <c r="K52" s="23"/>
      <c r="L52" s="49"/>
    </row>
    <row r="53" customFormat="false" ht="15" hidden="true" customHeight="false" outlineLevel="1" collapsed="false">
      <c r="A53" s="20" t="n">
        <v>33</v>
      </c>
      <c r="B53" s="6" t="s">
        <v>577</v>
      </c>
      <c r="C53" s="20" t="s">
        <v>68</v>
      </c>
      <c r="D53" s="22" t="n">
        <f aca="false">Допущения!$E$76</f>
        <v>0.2</v>
      </c>
      <c r="E53" s="23"/>
      <c r="F53" s="23"/>
      <c r="G53" s="23"/>
      <c r="H53" s="23"/>
      <c r="I53" s="23"/>
      <c r="J53" s="23"/>
      <c r="K53" s="23"/>
      <c r="L53" s="49"/>
    </row>
    <row r="54" customFormat="false" ht="15" hidden="true" customHeight="false" outlineLevel="1" collapsed="false">
      <c r="A54" s="20" t="n">
        <v>34</v>
      </c>
      <c r="B54" s="6" t="s">
        <v>578</v>
      </c>
      <c r="C54" s="20" t="s">
        <v>105</v>
      </c>
      <c r="D54" s="50" t="n">
        <f aca="false">Рынок!$E$30</f>
        <v>0.490909090909091</v>
      </c>
      <c r="E54" s="23"/>
      <c r="F54" s="23"/>
      <c r="G54" s="23"/>
      <c r="H54" s="23"/>
      <c r="I54" s="23"/>
      <c r="J54" s="23"/>
      <c r="K54" s="23"/>
      <c r="L54" s="49" t="s">
        <v>579</v>
      </c>
    </row>
    <row r="55" customFormat="false" ht="15" hidden="true" customHeight="false" outlineLevel="1" collapsed="false">
      <c r="A55" s="20" t="n">
        <v>35</v>
      </c>
      <c r="B55" s="6" t="s">
        <v>580</v>
      </c>
      <c r="C55" s="20" t="s">
        <v>105</v>
      </c>
      <c r="D55" s="50" t="n">
        <f aca="false">Рынок!$E$31</f>
        <v>0.028125</v>
      </c>
      <c r="E55" s="23"/>
      <c r="F55" s="23"/>
      <c r="G55" s="23"/>
      <c r="H55" s="23"/>
      <c r="I55" s="23"/>
      <c r="J55" s="23"/>
      <c r="K55" s="23"/>
      <c r="L55" s="49" t="s">
        <v>579</v>
      </c>
    </row>
    <row r="56" customFormat="false" ht="15" hidden="true" customHeight="false" outlineLevel="1" collapsed="false">
      <c r="A56" s="20" t="n">
        <v>36</v>
      </c>
      <c r="B56" s="6" t="s">
        <v>581</v>
      </c>
      <c r="C56" s="20" t="s">
        <v>142</v>
      </c>
      <c r="D56" s="7" t="n">
        <f aca="false">План!$D$18</f>
        <v>200</v>
      </c>
      <c r="E56" s="23"/>
      <c r="F56" s="23"/>
      <c r="G56" s="23"/>
      <c r="H56" s="23"/>
      <c r="I56" s="23"/>
      <c r="J56" s="23"/>
      <c r="K56" s="23"/>
      <c r="L56" s="49" t="s">
        <v>582</v>
      </c>
    </row>
    <row r="57" customFormat="false" ht="15" hidden="true" customHeight="false" outlineLevel="1" collapsed="false">
      <c r="A57" s="20" t="n">
        <v>37</v>
      </c>
      <c r="B57" s="6" t="s">
        <v>583</v>
      </c>
      <c r="C57" s="20" t="s">
        <v>142</v>
      </c>
      <c r="D57" s="7" t="n">
        <f aca="false">План!$D$19</f>
        <v>280</v>
      </c>
      <c r="E57" s="23"/>
      <c r="F57" s="23"/>
      <c r="G57" s="23"/>
      <c r="H57" s="23"/>
      <c r="I57" s="23"/>
      <c r="J57" s="23"/>
      <c r="K57" s="23"/>
      <c r="L57" s="49" t="s">
        <v>582</v>
      </c>
    </row>
    <row r="58" customFormat="false" ht="15" hidden="true" customHeight="false" outlineLevel="1" collapsed="false">
      <c r="A58" s="20" t="n">
        <v>38</v>
      </c>
      <c r="B58" s="6" t="s">
        <v>584</v>
      </c>
      <c r="C58" s="20" t="s">
        <v>142</v>
      </c>
      <c r="D58" s="7" t="n">
        <f aca="false">План!$D$20</f>
        <v>230</v>
      </c>
      <c r="E58" s="23"/>
      <c r="F58" s="23"/>
      <c r="G58" s="23"/>
      <c r="H58" s="23"/>
      <c r="I58" s="23"/>
      <c r="J58" s="23"/>
      <c r="K58" s="23"/>
      <c r="L58" s="49" t="s">
        <v>582</v>
      </c>
    </row>
    <row r="59" customFormat="false" ht="15" hidden="true" customHeight="false" outlineLevel="1" collapsed="false">
      <c r="A59" s="20" t="n">
        <v>39</v>
      </c>
      <c r="B59" s="6" t="s">
        <v>585</v>
      </c>
      <c r="C59" s="20" t="s">
        <v>142</v>
      </c>
      <c r="D59" s="7" t="n">
        <f aca="false">План!$D$21</f>
        <v>220</v>
      </c>
      <c r="E59" s="23"/>
      <c r="F59" s="23"/>
      <c r="G59" s="23"/>
      <c r="H59" s="23"/>
      <c r="I59" s="23"/>
      <c r="J59" s="23"/>
      <c r="K59" s="23"/>
      <c r="L59" s="49" t="s">
        <v>582</v>
      </c>
    </row>
    <row r="60" customFormat="false" ht="15" hidden="true" customHeight="false" outlineLevel="1" collapsed="false">
      <c r="A60" s="20" t="n">
        <v>40</v>
      </c>
      <c r="B60" s="6" t="s">
        <v>586</v>
      </c>
      <c r="C60" s="20" t="s">
        <v>142</v>
      </c>
      <c r="D60" s="7" t="n">
        <f aca="false">План!$D$22</f>
        <v>250</v>
      </c>
      <c r="E60" s="23"/>
      <c r="F60" s="23"/>
      <c r="G60" s="23"/>
      <c r="H60" s="23"/>
      <c r="I60" s="23"/>
      <c r="J60" s="23"/>
      <c r="K60" s="23"/>
      <c r="L60" s="49" t="s">
        <v>582</v>
      </c>
    </row>
    <row r="61" customFormat="false" ht="15" hidden="true" customHeight="false" outlineLevel="1" collapsed="false">
      <c r="A61" s="20" t="n">
        <v>41</v>
      </c>
      <c r="B61" s="6" t="s">
        <v>587</v>
      </c>
      <c r="C61" s="20" t="s">
        <v>142</v>
      </c>
      <c r="D61" s="7" t="n">
        <f aca="false">План!$D$23</f>
        <v>220</v>
      </c>
      <c r="E61" s="23"/>
      <c r="F61" s="23"/>
      <c r="G61" s="23"/>
      <c r="H61" s="23"/>
      <c r="I61" s="23"/>
      <c r="J61" s="23"/>
      <c r="K61" s="23"/>
      <c r="L61" s="49" t="s">
        <v>582</v>
      </c>
    </row>
    <row r="62" customFormat="false" ht="15" hidden="true" customHeight="false" outlineLevel="1" collapsed="false">
      <c r="A62" s="20" t="n">
        <v>42</v>
      </c>
      <c r="B62" s="6" t="s">
        <v>359</v>
      </c>
      <c r="C62" s="20" t="s">
        <v>76</v>
      </c>
      <c r="D62" s="23"/>
      <c r="E62" s="9" t="n">
        <f aca="false">План!E16</f>
        <v>0</v>
      </c>
      <c r="F62" s="9" t="n">
        <f aca="false">План!F16</f>
        <v>0</v>
      </c>
      <c r="G62" s="9" t="n">
        <f aca="false">План!G16</f>
        <v>0</v>
      </c>
      <c r="H62" s="9" t="n">
        <f aca="false">План!H16</f>
        <v>1</v>
      </c>
      <c r="I62" s="9" t="n">
        <f aca="false">План!I16</f>
        <v>0</v>
      </c>
      <c r="J62" s="9" t="n">
        <f aca="false">План!J16</f>
        <v>1</v>
      </c>
      <c r="K62" s="51" t="n">
        <f aca="false">SUM(F62:J62)</f>
        <v>2</v>
      </c>
      <c r="L62" s="49" t="s">
        <v>582</v>
      </c>
    </row>
    <row r="63" customFormat="false" ht="15" hidden="true" customHeight="false" outlineLevel="1" collapsed="false">
      <c r="A63" s="20" t="n">
        <v>43</v>
      </c>
      <c r="B63" s="6" t="s">
        <v>361</v>
      </c>
      <c r="C63" s="20" t="s">
        <v>76</v>
      </c>
      <c r="D63" s="23"/>
      <c r="E63" s="9" t="n">
        <f aca="false">План!E17</f>
        <v>0</v>
      </c>
      <c r="F63" s="9" t="n">
        <f aca="false">План!F17</f>
        <v>0</v>
      </c>
      <c r="G63" s="9" t="n">
        <f aca="false">План!G17</f>
        <v>1</v>
      </c>
      <c r="H63" s="9" t="n">
        <f aca="false">План!H17</f>
        <v>2</v>
      </c>
      <c r="I63" s="9" t="n">
        <f aca="false">План!I17</f>
        <v>2</v>
      </c>
      <c r="J63" s="9" t="n">
        <f aca="false">План!J17</f>
        <v>3</v>
      </c>
      <c r="K63" s="51" t="n">
        <f aca="false">SUM(F63:J63)</f>
        <v>8</v>
      </c>
      <c r="L63" s="49" t="s">
        <v>582</v>
      </c>
    </row>
    <row r="64" customFormat="false" ht="15" hidden="true" customHeight="false" outlineLevel="1" collapsed="false">
      <c r="A64" s="20" t="n">
        <v>44</v>
      </c>
      <c r="B64" s="6" t="s">
        <v>588</v>
      </c>
      <c r="C64" s="20" t="s">
        <v>53</v>
      </c>
      <c r="D64" s="23"/>
      <c r="E64" s="9" t="n">
        <f aca="false">План!E18</f>
        <v>2</v>
      </c>
      <c r="F64" s="9" t="n">
        <f aca="false">План!F18</f>
        <v>2</v>
      </c>
      <c r="G64" s="9" t="n">
        <f aca="false">План!G18</f>
        <v>2</v>
      </c>
      <c r="H64" s="9" t="n">
        <f aca="false">План!H18</f>
        <v>2</v>
      </c>
      <c r="I64" s="9" t="n">
        <f aca="false">План!I18</f>
        <v>2</v>
      </c>
      <c r="J64" s="9" t="n">
        <f aca="false">План!J18</f>
        <v>2</v>
      </c>
      <c r="K64" s="23"/>
      <c r="L64" s="49" t="s">
        <v>582</v>
      </c>
    </row>
    <row r="65" customFormat="false" ht="15" hidden="true" customHeight="false" outlineLevel="1" collapsed="false">
      <c r="A65" s="20" t="n">
        <v>45</v>
      </c>
      <c r="B65" s="6" t="s">
        <v>589</v>
      </c>
      <c r="C65" s="20" t="s">
        <v>53</v>
      </c>
      <c r="D65" s="23"/>
      <c r="E65" s="9" t="n">
        <f aca="false">План!E19</f>
        <v>0</v>
      </c>
      <c r="F65" s="9" t="n">
        <f aca="false">План!F19</f>
        <v>1</v>
      </c>
      <c r="G65" s="9" t="n">
        <f aca="false">План!G19</f>
        <v>1</v>
      </c>
      <c r="H65" s="9" t="n">
        <f aca="false">План!H19</f>
        <v>1</v>
      </c>
      <c r="I65" s="9" t="n">
        <f aca="false">План!I19</f>
        <v>2</v>
      </c>
      <c r="J65" s="9" t="n">
        <f aca="false">План!J19</f>
        <v>2</v>
      </c>
      <c r="K65" s="23"/>
      <c r="L65" s="49" t="s">
        <v>582</v>
      </c>
    </row>
    <row r="66" customFormat="false" ht="15" hidden="true" customHeight="false" outlineLevel="1" collapsed="false">
      <c r="A66" s="20" t="n">
        <v>46</v>
      </c>
      <c r="B66" s="6" t="s">
        <v>590</v>
      </c>
      <c r="C66" s="20" t="s">
        <v>53</v>
      </c>
      <c r="D66" s="23"/>
      <c r="E66" s="9" t="n">
        <f aca="false">План!E20</f>
        <v>0</v>
      </c>
      <c r="F66" s="9" t="n">
        <f aca="false">План!F20</f>
        <v>1</v>
      </c>
      <c r="G66" s="9" t="n">
        <f aca="false">План!G20</f>
        <v>1</v>
      </c>
      <c r="H66" s="9" t="n">
        <f aca="false">План!H20</f>
        <v>1</v>
      </c>
      <c r="I66" s="9" t="n">
        <f aca="false">План!I20</f>
        <v>1</v>
      </c>
      <c r="J66" s="9" t="n">
        <f aca="false">План!J20</f>
        <v>1</v>
      </c>
      <c r="K66" s="23"/>
      <c r="L66" s="49" t="s">
        <v>582</v>
      </c>
    </row>
    <row r="67" customFormat="false" ht="15" hidden="true" customHeight="false" outlineLevel="1" collapsed="false">
      <c r="A67" s="20" t="n">
        <v>47</v>
      </c>
      <c r="B67" s="6" t="s">
        <v>591</v>
      </c>
      <c r="C67" s="20" t="s">
        <v>53</v>
      </c>
      <c r="D67" s="23"/>
      <c r="E67" s="9" t="n">
        <f aca="false">План!E21</f>
        <v>0</v>
      </c>
      <c r="F67" s="9" t="n">
        <f aca="false">План!F21</f>
        <v>0</v>
      </c>
      <c r="G67" s="9" t="n">
        <f aca="false">План!G21</f>
        <v>1</v>
      </c>
      <c r="H67" s="9" t="n">
        <f aca="false">План!H21</f>
        <v>1</v>
      </c>
      <c r="I67" s="9" t="n">
        <f aca="false">План!I21</f>
        <v>1</v>
      </c>
      <c r="J67" s="9" t="n">
        <f aca="false">План!J21</f>
        <v>1</v>
      </c>
      <c r="K67" s="23"/>
      <c r="L67" s="49" t="s">
        <v>582</v>
      </c>
    </row>
    <row r="68" customFormat="false" ht="15" hidden="true" customHeight="false" outlineLevel="1" collapsed="false">
      <c r="A68" s="20" t="n">
        <v>48</v>
      </c>
      <c r="B68" s="6" t="s">
        <v>592</v>
      </c>
      <c r="C68" s="20" t="s">
        <v>53</v>
      </c>
      <c r="D68" s="23"/>
      <c r="E68" s="9" t="n">
        <f aca="false">План!E22</f>
        <v>0</v>
      </c>
      <c r="F68" s="9" t="n">
        <f aca="false">План!F22</f>
        <v>0</v>
      </c>
      <c r="G68" s="9" t="n">
        <f aca="false">План!G22</f>
        <v>0</v>
      </c>
      <c r="H68" s="9" t="n">
        <f aca="false">План!H22</f>
        <v>1</v>
      </c>
      <c r="I68" s="9" t="n">
        <f aca="false">План!I22</f>
        <v>1</v>
      </c>
      <c r="J68" s="9" t="n">
        <f aca="false">План!J22</f>
        <v>1</v>
      </c>
      <c r="K68" s="23"/>
      <c r="L68" s="49" t="s">
        <v>582</v>
      </c>
    </row>
    <row r="69" customFormat="false" ht="15" hidden="true" customHeight="false" outlineLevel="1" collapsed="false">
      <c r="A69" s="20" t="n">
        <v>49</v>
      </c>
      <c r="B69" s="6" t="s">
        <v>593</v>
      </c>
      <c r="C69" s="20" t="s">
        <v>53</v>
      </c>
      <c r="D69" s="23"/>
      <c r="E69" s="9" t="n">
        <f aca="false">План!E23</f>
        <v>0</v>
      </c>
      <c r="F69" s="9" t="n">
        <f aca="false">План!F23</f>
        <v>0</v>
      </c>
      <c r="G69" s="9" t="n">
        <f aca="false">План!G23</f>
        <v>0</v>
      </c>
      <c r="H69" s="9" t="n">
        <f aca="false">План!H23</f>
        <v>0</v>
      </c>
      <c r="I69" s="9" t="n">
        <f aca="false">План!I23</f>
        <v>0</v>
      </c>
      <c r="J69" s="9" t="n">
        <f aca="false">План!J23</f>
        <v>1</v>
      </c>
      <c r="K69" s="23"/>
      <c r="L69" s="49" t="s">
        <v>582</v>
      </c>
    </row>
    <row r="70" customFormat="false" ht="15" hidden="true" customHeight="false" outlineLevel="1" collapsed="false">
      <c r="A70" s="19" t="s">
        <v>594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customFormat="false" ht="15" hidden="true" customHeight="false" outlineLevel="1" collapsed="false">
      <c r="A71" s="20" t="n">
        <v>50</v>
      </c>
      <c r="B71" s="6" t="s">
        <v>595</v>
      </c>
      <c r="C71" s="20"/>
      <c r="D71" s="23"/>
      <c r="E71" s="10" t="n">
        <f aca="false">Допущения!$D$3</f>
        <v>2026</v>
      </c>
      <c r="F71" s="52" t="n">
        <f aca="false">E71+1</f>
        <v>2027</v>
      </c>
      <c r="G71" s="52" t="n">
        <f aca="false">F71+1</f>
        <v>2028</v>
      </c>
      <c r="H71" s="52" t="n">
        <f aca="false">G71+1</f>
        <v>2029</v>
      </c>
      <c r="I71" s="52" t="n">
        <f aca="false">H71+1</f>
        <v>2030</v>
      </c>
      <c r="J71" s="52" t="n">
        <f aca="false">I71+1</f>
        <v>2031</v>
      </c>
      <c r="K71" s="23"/>
      <c r="L71" s="49" t="s">
        <v>596</v>
      </c>
    </row>
    <row r="72" customFormat="false" ht="15" hidden="true" customHeight="false" outlineLevel="1" collapsed="false">
      <c r="A72" s="20" t="n">
        <v>51</v>
      </c>
      <c r="B72" s="6" t="s">
        <v>597</v>
      </c>
      <c r="C72" s="20" t="s">
        <v>62</v>
      </c>
      <c r="D72" s="23"/>
      <c r="E72" s="23"/>
      <c r="F72" s="53" t="n">
        <f aca="false">(1+$D$28)^(F$71-$E$71-1)</f>
        <v>1</v>
      </c>
      <c r="G72" s="53" t="n">
        <f aca="false">(1+$D$28)^(G$71-$E$71-1)</f>
        <v>1.05</v>
      </c>
      <c r="H72" s="53" t="n">
        <f aca="false">(1+$D$28)^(H$71-$E$71-1)</f>
        <v>1.1025</v>
      </c>
      <c r="I72" s="53" t="n">
        <f aca="false">(1+$D$28)^(I$71-$E$71-1)</f>
        <v>1.157625</v>
      </c>
      <c r="J72" s="53" t="n">
        <f aca="false">(1+$D$28)^(J$71-$E$71-1)</f>
        <v>1.21550625</v>
      </c>
      <c r="K72" s="23"/>
      <c r="L72" s="49" t="s">
        <v>598</v>
      </c>
    </row>
    <row r="73" customFormat="false" ht="15" hidden="true" customHeight="false" outlineLevel="1" collapsed="false">
      <c r="A73" s="20" t="n">
        <v>52</v>
      </c>
      <c r="B73" s="6" t="s">
        <v>599</v>
      </c>
      <c r="C73" s="20" t="s">
        <v>62</v>
      </c>
      <c r="D73" s="23"/>
      <c r="E73" s="23"/>
      <c r="F73" s="53" t="n">
        <f aca="false">(1+$D$46)^(F$71-$E$71-1)</f>
        <v>1</v>
      </c>
      <c r="G73" s="53" t="n">
        <f aca="false">(1+$D$46)^(G$71-$E$71-1)</f>
        <v>1.05</v>
      </c>
      <c r="H73" s="53" t="n">
        <f aca="false">(1+$D$46)^(H$71-$E$71-1)</f>
        <v>1.1025</v>
      </c>
      <c r="I73" s="53" t="n">
        <f aca="false">(1+$D$46)^(I$71-$E$71-1)</f>
        <v>1.157625</v>
      </c>
      <c r="J73" s="53" t="n">
        <f aca="false">(1+$D$46)^(J$71-$E$71-1)</f>
        <v>1.21550625</v>
      </c>
      <c r="K73" s="23"/>
      <c r="L73" s="49" t="s">
        <v>600</v>
      </c>
    </row>
    <row r="74" customFormat="false" ht="15" hidden="true" customHeight="false" outlineLevel="1" collapsed="false">
      <c r="A74" s="20" t="n">
        <v>53</v>
      </c>
      <c r="B74" s="6" t="s">
        <v>601</v>
      </c>
      <c r="C74" s="20" t="s">
        <v>62</v>
      </c>
      <c r="D74" s="23"/>
      <c r="E74" s="23"/>
      <c r="F74" s="53" t="n">
        <f aca="false">(1+$D$30)^(F$71-$E$71-1)</f>
        <v>1</v>
      </c>
      <c r="G74" s="53" t="n">
        <f aca="false">(1+$D$30)^(G$71-$E$71-1)</f>
        <v>1.07</v>
      </c>
      <c r="H74" s="53" t="n">
        <f aca="false">(1+$D$30)^(H$71-$E$71-1)</f>
        <v>1.1449</v>
      </c>
      <c r="I74" s="53" t="n">
        <f aca="false">(1+$D$30)^(I$71-$E$71-1)</f>
        <v>1.225043</v>
      </c>
      <c r="J74" s="53" t="n">
        <f aca="false">(1+$D$30)^(J$71-$E$71-1)</f>
        <v>1.31079601</v>
      </c>
      <c r="K74" s="23"/>
      <c r="L74" s="49" t="s">
        <v>602</v>
      </c>
    </row>
    <row r="75" customFormat="false" ht="15" hidden="true" customHeight="false" outlineLevel="1" collapsed="false">
      <c r="A75" s="20" t="n">
        <v>54</v>
      </c>
      <c r="B75" s="6" t="s">
        <v>603</v>
      </c>
      <c r="C75" s="20" t="s">
        <v>55</v>
      </c>
      <c r="D75" s="23"/>
      <c r="E75" s="23"/>
      <c r="F75" s="46" t="n">
        <f aca="false">$D$34*(1+$D$35)^(F$71-$E$71)</f>
        <v>3.21732</v>
      </c>
      <c r="G75" s="46" t="n">
        <f aca="false">$D$34*(1+$D$35)^(G$71-$E$71)</f>
        <v>3.4747056</v>
      </c>
      <c r="H75" s="46" t="n">
        <f aca="false">$D$34*(1+$D$35)^(H$71-$E$71)</f>
        <v>3.752682048</v>
      </c>
      <c r="I75" s="46" t="n">
        <f aca="false">$D$34*(1+$D$35)^(I$71-$E$71)</f>
        <v>4.05289661184</v>
      </c>
      <c r="J75" s="46" t="n">
        <f aca="false">$D$34*(1+$D$35)^(J$71-$E$71)</f>
        <v>4.3771283407872</v>
      </c>
      <c r="K75" s="23"/>
      <c r="L75" s="49" t="s">
        <v>604</v>
      </c>
    </row>
    <row r="76" customFormat="false" ht="15" hidden="true" customHeight="false" outlineLevel="1" collapsed="false">
      <c r="A76" s="19" t="s">
        <v>605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customFormat="false" ht="15" hidden="true" customHeight="false" outlineLevel="1" collapsed="false">
      <c r="A77" s="20" t="n">
        <v>55</v>
      </c>
      <c r="B77" s="6" t="s">
        <v>606</v>
      </c>
      <c r="C77" s="20" t="s">
        <v>76</v>
      </c>
      <c r="D77" s="23"/>
      <c r="E77" s="23"/>
      <c r="F77" s="38" t="n">
        <f aca="false">IF(F$71=$D$21,1,0)</f>
        <v>1</v>
      </c>
      <c r="G77" s="38" t="n">
        <f aca="false">IF(G$71=$D$21,1,0)</f>
        <v>0</v>
      </c>
      <c r="H77" s="38" t="n">
        <f aca="false">IF(H$71=$D$21,1,0)</f>
        <v>0</v>
      </c>
      <c r="I77" s="38" t="n">
        <f aca="false">IF(I$71=$D$21,1,0)</f>
        <v>0</v>
      </c>
      <c r="J77" s="38" t="n">
        <f aca="false">IF(J$71=$D$21,1,0)</f>
        <v>0</v>
      </c>
      <c r="K77" s="23"/>
      <c r="L77" s="49" t="s">
        <v>607</v>
      </c>
    </row>
    <row r="78" customFormat="false" ht="15" hidden="true" customHeight="false" outlineLevel="1" collapsed="false">
      <c r="A78" s="20" t="n">
        <v>56</v>
      </c>
      <c r="B78" s="6" t="s">
        <v>608</v>
      </c>
      <c r="C78" s="20" t="s">
        <v>76</v>
      </c>
      <c r="D78" s="23"/>
      <c r="E78" s="38" t="n">
        <f aca="false">0</f>
        <v>0</v>
      </c>
      <c r="F78" s="38" t="n">
        <f aca="false">F77+F62</f>
        <v>1</v>
      </c>
      <c r="G78" s="38" t="n">
        <f aca="false">G77+G62</f>
        <v>0</v>
      </c>
      <c r="H78" s="38" t="n">
        <f aca="false">H77+H62</f>
        <v>1</v>
      </c>
      <c r="I78" s="38" t="n">
        <f aca="false">I77+I62</f>
        <v>0</v>
      </c>
      <c r="J78" s="38" t="n">
        <f aca="false">J77+J62</f>
        <v>1</v>
      </c>
      <c r="K78" s="54" t="n">
        <f aca="false">SUM(F78:J78)</f>
        <v>3</v>
      </c>
      <c r="L78" s="49" t="s">
        <v>609</v>
      </c>
    </row>
    <row r="79" customFormat="false" ht="15" hidden="true" customHeight="false" outlineLevel="1" collapsed="false">
      <c r="A79" s="20" t="n">
        <v>57</v>
      </c>
      <c r="B79" s="6" t="s">
        <v>610</v>
      </c>
      <c r="C79" s="20" t="s">
        <v>76</v>
      </c>
      <c r="D79" s="23"/>
      <c r="E79" s="38" t="n">
        <f aca="false">0</f>
        <v>0</v>
      </c>
      <c r="F79" s="38" t="n">
        <f aca="false">E79+F78</f>
        <v>1</v>
      </c>
      <c r="G79" s="38" t="n">
        <f aca="false">F79+G78</f>
        <v>1</v>
      </c>
      <c r="H79" s="38" t="n">
        <f aca="false">G79+H78</f>
        <v>2</v>
      </c>
      <c r="I79" s="38" t="n">
        <f aca="false">H79+I78</f>
        <v>2</v>
      </c>
      <c r="J79" s="38" t="n">
        <f aca="false">I79+J78</f>
        <v>3</v>
      </c>
      <c r="K79" s="23"/>
      <c r="L79" s="49" t="s">
        <v>611</v>
      </c>
    </row>
    <row r="80" customFormat="false" ht="15" hidden="true" customHeight="false" outlineLevel="1" collapsed="false">
      <c r="A80" s="20" t="n">
        <v>58</v>
      </c>
      <c r="B80" s="6" t="s">
        <v>612</v>
      </c>
      <c r="C80" s="20" t="s">
        <v>76</v>
      </c>
      <c r="D80" s="23"/>
      <c r="E80" s="38" t="n">
        <f aca="false">0</f>
        <v>0</v>
      </c>
      <c r="F80" s="38" t="n">
        <f aca="false">E80+F63</f>
        <v>0</v>
      </c>
      <c r="G80" s="38" t="n">
        <f aca="false">F80+G63</f>
        <v>1</v>
      </c>
      <c r="H80" s="38" t="n">
        <f aca="false">G80+H63</f>
        <v>3</v>
      </c>
      <c r="I80" s="38" t="n">
        <f aca="false">H80+I63</f>
        <v>5</v>
      </c>
      <c r="J80" s="38" t="n">
        <f aca="false">I80+J63</f>
        <v>8</v>
      </c>
      <c r="K80" s="23"/>
      <c r="L80" s="49" t="s">
        <v>611</v>
      </c>
    </row>
    <row r="81" customFormat="false" ht="15" hidden="true" customHeight="false" outlineLevel="1" collapsed="false">
      <c r="A81" s="20" t="n">
        <v>59</v>
      </c>
      <c r="B81" s="6" t="s">
        <v>613</v>
      </c>
      <c r="C81" s="20" t="s">
        <v>76</v>
      </c>
      <c r="D81" s="23"/>
      <c r="E81" s="38" t="n">
        <f aca="false">0</f>
        <v>0</v>
      </c>
      <c r="F81" s="38" t="n">
        <f aca="false">F79+F80</f>
        <v>1</v>
      </c>
      <c r="G81" s="38" t="n">
        <f aca="false">G79+G80</f>
        <v>2</v>
      </c>
      <c r="H81" s="38" t="n">
        <f aca="false">H79+H80</f>
        <v>5</v>
      </c>
      <c r="I81" s="38" t="n">
        <f aca="false">I79+I80</f>
        <v>7</v>
      </c>
      <c r="J81" s="38" t="n">
        <f aca="false">J79+J80</f>
        <v>11</v>
      </c>
      <c r="K81" s="23"/>
      <c r="L81" s="49" t="s">
        <v>614</v>
      </c>
    </row>
    <row r="82" customFormat="false" ht="15" hidden="true" customHeight="false" outlineLevel="1" collapsed="false">
      <c r="A82" s="20" t="n">
        <v>60</v>
      </c>
      <c r="B82" s="6" t="s">
        <v>615</v>
      </c>
      <c r="C82" s="20" t="s">
        <v>76</v>
      </c>
      <c r="D82" s="23"/>
      <c r="E82" s="23"/>
      <c r="F82" s="38" t="n">
        <f aca="false">F78+F63</f>
        <v>1</v>
      </c>
      <c r="G82" s="38" t="n">
        <f aca="false">G78+G63</f>
        <v>1</v>
      </c>
      <c r="H82" s="38" t="n">
        <f aca="false">H78+H63</f>
        <v>3</v>
      </c>
      <c r="I82" s="38" t="n">
        <f aca="false">I78+I63</f>
        <v>2</v>
      </c>
      <c r="J82" s="38" t="n">
        <f aca="false">J78+J63</f>
        <v>4</v>
      </c>
      <c r="K82" s="54" t="n">
        <f aca="false">SUM(F82:J82)</f>
        <v>11</v>
      </c>
      <c r="L82" s="49"/>
    </row>
    <row r="83" customFormat="false" ht="15" hidden="true" customHeight="false" outlineLevel="1" collapsed="false">
      <c r="A83" s="19" t="s">
        <v>616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customFormat="false" ht="15" hidden="true" customHeight="false" outlineLevel="1" collapsed="false">
      <c r="A84" s="20" t="n">
        <v>61</v>
      </c>
      <c r="B84" s="6" t="s">
        <v>617</v>
      </c>
      <c r="C84" s="20" t="s">
        <v>71</v>
      </c>
      <c r="D84" s="23"/>
      <c r="E84" s="23"/>
      <c r="F84" s="40" t="n">
        <f aca="false">IF(F$71&gt;$D$21,($D$23+$D$22*$D$24)*(1+$D$29)^(F$71-$D$21-1)*F72,0)</f>
        <v>0</v>
      </c>
      <c r="G84" s="40" t="n">
        <f aca="false">IF(G$71&gt;$D$21,($D$23+$D$22*$D$24)*(1+$D$29)^(G$71-$D$21-1)*G72,0)</f>
        <v>15.75</v>
      </c>
      <c r="H84" s="40" t="n">
        <f aca="false">IF(H$71&gt;$D$21,($D$23+$D$22*$D$24)*(1+$D$29)^(H$71-$D$21-1)*H72,0)</f>
        <v>19.018125</v>
      </c>
      <c r="I84" s="40" t="n">
        <f aca="false">IF(I$71&gt;$D$21,($D$23+$D$22*$D$24)*(1+$D$29)^(I$71-$D$21-1)*I72,0)</f>
        <v>22.9643859375</v>
      </c>
      <c r="J84" s="40" t="n">
        <f aca="false">IF(J$71&gt;$D$21,($D$23+$D$22*$D$24)*(1+$D$29)^(J$71-$D$21-1)*J72,0)</f>
        <v>27.7294960195313</v>
      </c>
      <c r="K84" s="51" t="n">
        <f aca="false">SUM(F84:J84)</f>
        <v>85.4620069570313</v>
      </c>
      <c r="L84" s="49" t="s">
        <v>618</v>
      </c>
    </row>
    <row r="85" customFormat="false" ht="15" hidden="true" customHeight="false" outlineLevel="1" collapsed="false">
      <c r="A85" s="20" t="n">
        <v>62</v>
      </c>
      <c r="B85" s="6" t="s">
        <v>619</v>
      </c>
      <c r="C85" s="20" t="s">
        <v>71</v>
      </c>
      <c r="D85" s="23"/>
      <c r="E85" s="23"/>
      <c r="F85" s="40" t="n">
        <f aca="false">($D$23+$D$54*$D$24)*F72*SUMPRODUCT($E$62:E$62,(1+$D$29)^(F$71-$E$71:E$71-1))</f>
        <v>0</v>
      </c>
      <c r="G85" s="40" t="n">
        <f aca="false">($D$23+$D$54*$D$24)*G72*SUMPRODUCT($E$62:F$62,(1+$D$29)^(G$71-$E$71:F$71-1))</f>
        <v>0</v>
      </c>
      <c r="H85" s="40" t="n">
        <f aca="false">($D$23+$D$54*$D$24)*H72*SUMPRODUCT($E$62:G$62,(1+$D$29)^(H$71-$E$71:G$71-1))</f>
        <v>0</v>
      </c>
      <c r="I85" s="40" t="n">
        <f aca="false">($D$23+$D$54*$D$24)*I72*SUMPRODUCT($E$62:H$62,(1+$D$29)^(I$71-$E$71:H$71-1))</f>
        <v>9.78719318181818</v>
      </c>
      <c r="J85" s="40" t="n">
        <f aca="false">($D$23+$D$54*$D$24)*J72*SUMPRODUCT($E$62:I$62,(1+$D$29)^(J$71-$E$71:I$71-1))</f>
        <v>11.8180357670455</v>
      </c>
      <c r="K85" s="51" t="n">
        <f aca="false">SUM(F85:J85)</f>
        <v>21.6052289488636</v>
      </c>
      <c r="L85" s="49" t="s">
        <v>620</v>
      </c>
    </row>
    <row r="86" customFormat="false" ht="15" hidden="true" customHeight="false" outlineLevel="1" collapsed="false">
      <c r="A86" s="20" t="n">
        <v>63</v>
      </c>
      <c r="B86" s="6" t="s">
        <v>621</v>
      </c>
      <c r="C86" s="20" t="s">
        <v>71</v>
      </c>
      <c r="D86" s="23"/>
      <c r="E86" s="23"/>
      <c r="F86" s="40" t="n">
        <f aca="false">($D$25+$D$55*$D$24)*F72*SUMPRODUCT($E$63:E$63,(1+$D$29)^(F$71-$E$71:E$71-1))</f>
        <v>0</v>
      </c>
      <c r="G86" s="40" t="n">
        <f aca="false">($D$25+$D$55*$D$24)*G72*SUMPRODUCT($E$63:F$63,(1+$D$29)^(G$71-$E$71:F$71-1))</f>
        <v>0</v>
      </c>
      <c r="H86" s="40" t="n">
        <f aca="false">($D$25+$D$55*$D$24)*H72*SUMPRODUCT($E$63:G$63,(1+$D$29)^(H$71-$E$71:G$71-1))</f>
        <v>1.8087890625</v>
      </c>
      <c r="I86" s="40" t="n">
        <f aca="false">($D$25+$D$55*$D$24)*I72*SUMPRODUCT($E$63:H$63,(1+$D$29)^(I$71-$E$71:H$71-1))</f>
        <v>5.98256982421875</v>
      </c>
      <c r="J86" s="40" t="n">
        <f aca="false">($D$25+$D$55*$D$24)*J72*SUMPRODUCT($E$63:I$63,(1+$D$29)^(J$71-$E$71:I$71-1))</f>
        <v>11.2123329455566</v>
      </c>
      <c r="K86" s="51" t="n">
        <f aca="false">SUM(F86:J86)</f>
        <v>19.0036918322754</v>
      </c>
      <c r="L86" s="49" t="s">
        <v>622</v>
      </c>
    </row>
    <row r="87" customFormat="false" ht="15" hidden="true" customHeight="false" outlineLevel="1" collapsed="false">
      <c r="A87" s="20" t="n">
        <v>64</v>
      </c>
      <c r="B87" s="6" t="s">
        <v>623</v>
      </c>
      <c r="C87" s="20" t="s">
        <v>71</v>
      </c>
      <c r="D87" s="23"/>
      <c r="E87" s="23"/>
      <c r="F87" s="40" t="n">
        <f aca="false">(F78*$D$26+F63*$D$27)*F72</f>
        <v>8</v>
      </c>
      <c r="G87" s="40" t="n">
        <f aca="false">(G78*$D$26+G63*$D$27)*G72</f>
        <v>2.1</v>
      </c>
      <c r="H87" s="40" t="n">
        <f aca="false">(H78*$D$26+H63*$D$27)*H72</f>
        <v>13.23</v>
      </c>
      <c r="I87" s="40" t="n">
        <f aca="false">(I78*$D$26+I63*$D$27)*I72</f>
        <v>4.6305</v>
      </c>
      <c r="J87" s="40" t="n">
        <f aca="false">(J78*$D$26+J63*$D$27)*J72</f>
        <v>17.0170875</v>
      </c>
      <c r="K87" s="51" t="n">
        <f aca="false">SUM(F87:J87)</f>
        <v>44.9775875</v>
      </c>
      <c r="L87" s="49" t="s">
        <v>624</v>
      </c>
    </row>
    <row r="88" customFormat="false" ht="15" hidden="true" customHeight="false" outlineLevel="1" collapsed="false">
      <c r="A88" s="20" t="n">
        <v>65</v>
      </c>
      <c r="B88" s="6" t="s">
        <v>625</v>
      </c>
      <c r="C88" s="20" t="s">
        <v>71</v>
      </c>
      <c r="D88" s="23"/>
      <c r="E88" s="23"/>
      <c r="F88" s="40" t="n">
        <f aca="false">F84+F85+F86</f>
        <v>0</v>
      </c>
      <c r="G88" s="40" t="n">
        <f aca="false">G84+G85+G86</f>
        <v>15.75</v>
      </c>
      <c r="H88" s="40" t="n">
        <f aca="false">H84+H85+H86</f>
        <v>20.8269140625</v>
      </c>
      <c r="I88" s="40" t="n">
        <f aca="false">I84+I85+I86</f>
        <v>38.7341489435369</v>
      </c>
      <c r="J88" s="40" t="n">
        <f aca="false">J84+J85+J86</f>
        <v>50.7598647321333</v>
      </c>
      <c r="K88" s="51" t="n">
        <f aca="false">SUM(F88:J88)</f>
        <v>126.07092773817</v>
      </c>
      <c r="L88" s="49"/>
    </row>
    <row r="89" customFormat="false" ht="15" hidden="true" customHeight="false" outlineLevel="1" collapsed="false">
      <c r="A89" s="20" t="n">
        <v>66</v>
      </c>
      <c r="B89" s="6" t="s">
        <v>91</v>
      </c>
      <c r="C89" s="20" t="s">
        <v>71</v>
      </c>
      <c r="D89" s="23"/>
      <c r="E89" s="23"/>
      <c r="F89" s="40" t="n">
        <f aca="false">F88+F87</f>
        <v>8</v>
      </c>
      <c r="G89" s="40" t="n">
        <f aca="false">G88+G87</f>
        <v>17.85</v>
      </c>
      <c r="H89" s="40" t="n">
        <f aca="false">H88+H87</f>
        <v>34.0569140625</v>
      </c>
      <c r="I89" s="40" t="n">
        <f aca="false">I88+I87</f>
        <v>43.3646489435369</v>
      </c>
      <c r="J89" s="40" t="n">
        <f aca="false">J88+J87</f>
        <v>67.7769522321333</v>
      </c>
      <c r="K89" s="51" t="n">
        <f aca="false">SUM(F89:J89)</f>
        <v>171.04851523817</v>
      </c>
      <c r="L89" s="49" t="s">
        <v>626</v>
      </c>
    </row>
    <row r="90" customFormat="false" ht="15" hidden="true" customHeight="false" outlineLevel="1" collapsed="false">
      <c r="A90" s="20" t="n">
        <v>67</v>
      </c>
      <c r="B90" s="6" t="s">
        <v>627</v>
      </c>
      <c r="C90" s="20" t="s">
        <v>55</v>
      </c>
      <c r="D90" s="23"/>
      <c r="E90" s="23"/>
      <c r="F90" s="40" t="n">
        <f aca="false">IF(F$71&gt;=$D$21,($D$23+$D$22*$D$24)*(1+$D$29)^(F$71-$D$21)*F72,0)+($D$23+$D$54*$D$24)*F72*SUMPRODUCT($E$62:F$62,(1+$D$29)^(F$71-$E$71:F$71))+($D$25+$D$55*$D$24)*F72*SUMPRODUCT($E$63:F$63,(1+$D$29)^(F$71-$E$71:F$71))</f>
        <v>15</v>
      </c>
      <c r="G90" s="40" t="n">
        <f aca="false">IF(G$71&gt;=$D$21,($D$23+$D$22*$D$24)*(1+$D$29)^(G$71-$D$21)*G72,0)+($D$23+$D$54*$D$24)*G72*SUMPRODUCT($E$62:G$62,(1+$D$29)^(G$71-$E$71:G$71))+($D$25+$D$55*$D$24)*G72*SUMPRODUCT($E$63:G$63,(1+$D$29)^(G$71-$E$71:G$71))</f>
        <v>19.83515625</v>
      </c>
      <c r="H90" s="40" t="n">
        <f aca="false">IF(H$71&gt;=$D$21,($D$23+$D$22*$D$24)*(1+$D$29)^(H$71-$D$21)*H72,0)+($D$23+$D$54*$D$24)*H72*SUMPRODUCT($E$62:H$62,(1+$D$29)^(H$71-$E$71:H$71))+($D$25+$D$55*$D$24)*H72*SUMPRODUCT($E$63:H$63,(1+$D$29)^(H$71-$E$71:H$71))</f>
        <v>36.8896656605114</v>
      </c>
      <c r="I90" s="40" t="n">
        <f aca="false">IF(I$71&gt;=$D$21,($D$23+$D$22*$D$24)*(1+$D$29)^(I$71-$D$21)*I72,0)+($D$23+$D$54*$D$24)*I72*SUMPRODUCT($E$62:I$62,(1+$D$29)^(I$71-$E$71:I$71))+($D$25+$D$55*$D$24)*I72*SUMPRODUCT($E$63:I$63,(1+$D$29)^(I$71-$E$71:I$71))</f>
        <v>48.3427283163175</v>
      </c>
      <c r="J90" s="40" t="n">
        <f aca="false">IF(J$71&gt;=$D$21,($D$23+$D$22*$D$24)*(1+$D$29)^(J$71-$D$21)*J72,0)+($D$23+$D$54*$D$24)*J72*SUMPRODUCT($E$62:J$62,(1+$D$29)^(J$71-$E$71:J$71))+($D$25+$D$55*$D$24)*J72*SUMPRODUCT($E$63:J$63,(1+$D$29)^(J$71-$E$71:J$71))</f>
        <v>74.6329671070812</v>
      </c>
      <c r="K90" s="23"/>
      <c r="L90" s="49" t="s">
        <v>628</v>
      </c>
    </row>
    <row r="91" customFormat="false" ht="15" hidden="true" customHeight="false" outlineLevel="1" collapsed="false">
      <c r="A91" s="19" t="s">
        <v>629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customFormat="false" ht="15" hidden="true" customHeight="false" outlineLevel="1" collapsed="false">
      <c r="A92" s="20" t="n">
        <v>68</v>
      </c>
      <c r="B92" s="6" t="s">
        <v>630</v>
      </c>
      <c r="C92" s="20" t="s">
        <v>53</v>
      </c>
      <c r="D92" s="23"/>
      <c r="E92" s="40" t="n">
        <f aca="false">E64+E65+E66+E67+E68+E69</f>
        <v>2</v>
      </c>
      <c r="F92" s="40" t="n">
        <f aca="false">F64+F65+F66+F67+F68+F69</f>
        <v>4</v>
      </c>
      <c r="G92" s="40" t="n">
        <f aca="false">G64+G65+G66+G67+G68+G69</f>
        <v>5</v>
      </c>
      <c r="H92" s="40" t="n">
        <f aca="false">H64+H65+H66+H67+H68+H69</f>
        <v>6</v>
      </c>
      <c r="I92" s="40" t="n">
        <f aca="false">I64+I65+I66+I67+I68+I69</f>
        <v>7</v>
      </c>
      <c r="J92" s="40" t="n">
        <f aca="false">J64+J65+J66+J67+J68+J69</f>
        <v>8</v>
      </c>
      <c r="K92" s="23"/>
      <c r="L92" s="49" t="s">
        <v>631</v>
      </c>
    </row>
    <row r="93" customFormat="false" ht="15" hidden="true" customHeight="false" outlineLevel="1" collapsed="false">
      <c r="A93" s="20" t="n">
        <v>69</v>
      </c>
      <c r="B93" s="6" t="s">
        <v>632</v>
      </c>
      <c r="C93" s="20" t="s">
        <v>53</v>
      </c>
      <c r="D93" s="23"/>
      <c r="E93" s="23"/>
      <c r="F93" s="40" t="n">
        <f aca="false">MAX(0,F92-E92)</f>
        <v>2</v>
      </c>
      <c r="G93" s="40" t="n">
        <f aca="false">MAX(0,G92-F92)</f>
        <v>1</v>
      </c>
      <c r="H93" s="40" t="n">
        <f aca="false">MAX(0,H92-G92)</f>
        <v>1</v>
      </c>
      <c r="I93" s="40" t="n">
        <f aca="false">MAX(0,I92-H92)</f>
        <v>1</v>
      </c>
      <c r="J93" s="40" t="n">
        <f aca="false">MAX(0,J92-I92)</f>
        <v>1</v>
      </c>
      <c r="K93" s="23"/>
      <c r="L93" s="49" t="s">
        <v>633</v>
      </c>
    </row>
    <row r="94" customFormat="false" ht="15" hidden="true" customHeight="false" outlineLevel="1" collapsed="false">
      <c r="A94" s="20" t="n">
        <v>70</v>
      </c>
      <c r="B94" s="6" t="s">
        <v>634</v>
      </c>
      <c r="C94" s="20" t="s">
        <v>71</v>
      </c>
      <c r="D94" s="23"/>
      <c r="E94" s="23"/>
      <c r="F94" s="41" t="n">
        <f aca="false">$D$56*12/1000*F74</f>
        <v>2.4</v>
      </c>
      <c r="G94" s="41" t="n">
        <f aca="false">$D$56*12/1000*G74</f>
        <v>2.568</v>
      </c>
      <c r="H94" s="41" t="n">
        <f aca="false">$D$56*12/1000*H74</f>
        <v>2.74776</v>
      </c>
      <c r="I94" s="41" t="n">
        <f aca="false">$D$56*12/1000*I74</f>
        <v>2.9401032</v>
      </c>
      <c r="J94" s="41" t="n">
        <f aca="false">$D$56*12/1000*J74</f>
        <v>3.145910424</v>
      </c>
      <c r="K94" s="23"/>
      <c r="L94" s="49" t="s">
        <v>635</v>
      </c>
    </row>
    <row r="95" customFormat="false" ht="15" hidden="true" customHeight="false" outlineLevel="1" collapsed="false">
      <c r="A95" s="20" t="n">
        <v>71</v>
      </c>
      <c r="B95" s="6" t="s">
        <v>636</v>
      </c>
      <c r="C95" s="20" t="s">
        <v>71</v>
      </c>
      <c r="D95" s="23"/>
      <c r="E95" s="23"/>
      <c r="F95" s="41" t="n">
        <f aca="false">$D$57*12/1000*F74</f>
        <v>3.36</v>
      </c>
      <c r="G95" s="41" t="n">
        <f aca="false">$D$57*12/1000*G74</f>
        <v>3.5952</v>
      </c>
      <c r="H95" s="41" t="n">
        <f aca="false">$D$57*12/1000*H74</f>
        <v>3.846864</v>
      </c>
      <c r="I95" s="41" t="n">
        <f aca="false">$D$57*12/1000*I74</f>
        <v>4.11614448</v>
      </c>
      <c r="J95" s="41" t="n">
        <f aca="false">$D$57*12/1000*J74</f>
        <v>4.4042745936</v>
      </c>
      <c r="K95" s="23"/>
      <c r="L95" s="49" t="s">
        <v>635</v>
      </c>
    </row>
    <row r="96" customFormat="false" ht="15" hidden="true" customHeight="false" outlineLevel="1" collapsed="false">
      <c r="A96" s="20" t="n">
        <v>72</v>
      </c>
      <c r="B96" s="6" t="s">
        <v>637</v>
      </c>
      <c r="C96" s="20" t="s">
        <v>71</v>
      </c>
      <c r="D96" s="23"/>
      <c r="E96" s="23"/>
      <c r="F96" s="41" t="n">
        <f aca="false">$D$58*12/1000*F74</f>
        <v>2.76</v>
      </c>
      <c r="G96" s="41" t="n">
        <f aca="false">$D$58*12/1000*G74</f>
        <v>2.9532</v>
      </c>
      <c r="H96" s="41" t="n">
        <f aca="false">$D$58*12/1000*H74</f>
        <v>3.159924</v>
      </c>
      <c r="I96" s="41" t="n">
        <f aca="false">$D$58*12/1000*I74</f>
        <v>3.38111868</v>
      </c>
      <c r="J96" s="41" t="n">
        <f aca="false">$D$58*12/1000*J74</f>
        <v>3.6177969876</v>
      </c>
      <c r="K96" s="23"/>
      <c r="L96" s="49" t="s">
        <v>635</v>
      </c>
    </row>
    <row r="97" customFormat="false" ht="15" hidden="true" customHeight="false" outlineLevel="1" collapsed="false">
      <c r="A97" s="20" t="n">
        <v>73</v>
      </c>
      <c r="B97" s="6" t="s">
        <v>638</v>
      </c>
      <c r="C97" s="20" t="s">
        <v>71</v>
      </c>
      <c r="D97" s="23"/>
      <c r="E97" s="23"/>
      <c r="F97" s="41" t="n">
        <f aca="false">$D$59*12/1000*F74</f>
        <v>2.64</v>
      </c>
      <c r="G97" s="41" t="n">
        <f aca="false">$D$59*12/1000*G74</f>
        <v>2.8248</v>
      </c>
      <c r="H97" s="41" t="n">
        <f aca="false">$D$59*12/1000*H74</f>
        <v>3.022536</v>
      </c>
      <c r="I97" s="41" t="n">
        <f aca="false">$D$59*12/1000*I74</f>
        <v>3.23411352</v>
      </c>
      <c r="J97" s="41" t="n">
        <f aca="false">$D$59*12/1000*J74</f>
        <v>3.4605014664</v>
      </c>
      <c r="K97" s="23"/>
      <c r="L97" s="49" t="s">
        <v>635</v>
      </c>
    </row>
    <row r="98" customFormat="false" ht="15" hidden="true" customHeight="false" outlineLevel="1" collapsed="false">
      <c r="A98" s="20" t="n">
        <v>74</v>
      </c>
      <c r="B98" s="6" t="s">
        <v>639</v>
      </c>
      <c r="C98" s="20" t="s">
        <v>71</v>
      </c>
      <c r="D98" s="23"/>
      <c r="E98" s="23"/>
      <c r="F98" s="41" t="n">
        <f aca="false">$D$60*12/1000*F74</f>
        <v>3</v>
      </c>
      <c r="G98" s="41" t="n">
        <f aca="false">$D$60*12/1000*G74</f>
        <v>3.21</v>
      </c>
      <c r="H98" s="41" t="n">
        <f aca="false">$D$60*12/1000*H74</f>
        <v>3.4347</v>
      </c>
      <c r="I98" s="41" t="n">
        <f aca="false">$D$60*12/1000*I74</f>
        <v>3.675129</v>
      </c>
      <c r="J98" s="41" t="n">
        <f aca="false">$D$60*12/1000*J74</f>
        <v>3.93238803</v>
      </c>
      <c r="K98" s="23"/>
      <c r="L98" s="49" t="s">
        <v>635</v>
      </c>
    </row>
    <row r="99" customFormat="false" ht="15" hidden="true" customHeight="false" outlineLevel="1" collapsed="false">
      <c r="A99" s="20" t="n">
        <v>75</v>
      </c>
      <c r="B99" s="6" t="s">
        <v>640</v>
      </c>
      <c r="C99" s="20" t="s">
        <v>71</v>
      </c>
      <c r="D99" s="23"/>
      <c r="E99" s="23"/>
      <c r="F99" s="41" t="n">
        <f aca="false">$D$61*12/1000*F74</f>
        <v>2.64</v>
      </c>
      <c r="G99" s="41" t="n">
        <f aca="false">$D$61*12/1000*G74</f>
        <v>2.8248</v>
      </c>
      <c r="H99" s="41" t="n">
        <f aca="false">$D$61*12/1000*H74</f>
        <v>3.022536</v>
      </c>
      <c r="I99" s="41" t="n">
        <f aca="false">$D$61*12/1000*I74</f>
        <v>3.23411352</v>
      </c>
      <c r="J99" s="41" t="n">
        <f aca="false">$D$61*12/1000*J74</f>
        <v>3.4605014664</v>
      </c>
      <c r="K99" s="23"/>
      <c r="L99" s="49" t="s">
        <v>635</v>
      </c>
    </row>
    <row r="100" customFormat="false" ht="15" hidden="true" customHeight="false" outlineLevel="1" collapsed="false">
      <c r="A100" s="20" t="n">
        <v>76</v>
      </c>
      <c r="B100" s="6" t="s">
        <v>641</v>
      </c>
      <c r="C100" s="20" t="s">
        <v>71</v>
      </c>
      <c r="D100" s="23"/>
      <c r="E100" s="23"/>
      <c r="F100" s="40" t="n">
        <f aca="false">F64*F94</f>
        <v>4.8</v>
      </c>
      <c r="G100" s="40" t="n">
        <f aca="false">G64*G94</f>
        <v>5.136</v>
      </c>
      <c r="H100" s="40" t="n">
        <f aca="false">H64*H94</f>
        <v>5.49552</v>
      </c>
      <c r="I100" s="40" t="n">
        <f aca="false">I64*I94</f>
        <v>5.8802064</v>
      </c>
      <c r="J100" s="40" t="n">
        <f aca="false">J64*J94</f>
        <v>6.291820848</v>
      </c>
      <c r="K100" s="51" t="n">
        <f aca="false">SUM(F100:J100)</f>
        <v>27.603547248</v>
      </c>
      <c r="L100" s="49" t="s">
        <v>642</v>
      </c>
    </row>
    <row r="101" customFormat="false" ht="15" hidden="true" customHeight="false" outlineLevel="1" collapsed="false">
      <c r="A101" s="20" t="n">
        <v>77</v>
      </c>
      <c r="B101" s="6" t="s">
        <v>643</v>
      </c>
      <c r="C101" s="20" t="s">
        <v>71</v>
      </c>
      <c r="D101" s="23"/>
      <c r="E101" s="23"/>
      <c r="F101" s="40" t="n">
        <f aca="false">F65*F95</f>
        <v>3.36</v>
      </c>
      <c r="G101" s="40" t="n">
        <f aca="false">G65*G95</f>
        <v>3.5952</v>
      </c>
      <c r="H101" s="40" t="n">
        <f aca="false">H65*H95</f>
        <v>3.846864</v>
      </c>
      <c r="I101" s="40" t="n">
        <f aca="false">I65*I95</f>
        <v>8.23228896</v>
      </c>
      <c r="J101" s="40" t="n">
        <f aca="false">J65*J95</f>
        <v>8.8085491872</v>
      </c>
      <c r="K101" s="51" t="n">
        <f aca="false">SUM(F101:J101)</f>
        <v>27.8429021472</v>
      </c>
      <c r="L101" s="49" t="s">
        <v>642</v>
      </c>
    </row>
    <row r="102" customFormat="false" ht="15" hidden="true" customHeight="false" outlineLevel="1" collapsed="false">
      <c r="A102" s="20" t="n">
        <v>78</v>
      </c>
      <c r="B102" s="6" t="s">
        <v>644</v>
      </c>
      <c r="C102" s="20" t="s">
        <v>71</v>
      </c>
      <c r="D102" s="23"/>
      <c r="E102" s="23"/>
      <c r="F102" s="40" t="n">
        <f aca="false">F66*F96</f>
        <v>2.76</v>
      </c>
      <c r="G102" s="40" t="n">
        <f aca="false">G66*G96</f>
        <v>2.9532</v>
      </c>
      <c r="H102" s="40" t="n">
        <f aca="false">H66*H96</f>
        <v>3.159924</v>
      </c>
      <c r="I102" s="40" t="n">
        <f aca="false">I66*I96</f>
        <v>3.38111868</v>
      </c>
      <c r="J102" s="40" t="n">
        <f aca="false">J66*J96</f>
        <v>3.6177969876</v>
      </c>
      <c r="K102" s="51" t="n">
        <f aca="false">SUM(F102:J102)</f>
        <v>15.8720396676</v>
      </c>
      <c r="L102" s="49" t="s">
        <v>642</v>
      </c>
    </row>
    <row r="103" customFormat="false" ht="15" hidden="true" customHeight="false" outlineLevel="1" collapsed="false">
      <c r="A103" s="20" t="n">
        <v>79</v>
      </c>
      <c r="B103" s="6" t="s">
        <v>645</v>
      </c>
      <c r="C103" s="20" t="s">
        <v>71</v>
      </c>
      <c r="D103" s="23"/>
      <c r="E103" s="23"/>
      <c r="F103" s="40" t="n">
        <f aca="false">F67*F97</f>
        <v>0</v>
      </c>
      <c r="G103" s="40" t="n">
        <f aca="false">G67*G97</f>
        <v>2.8248</v>
      </c>
      <c r="H103" s="40" t="n">
        <f aca="false">H67*H97</f>
        <v>3.022536</v>
      </c>
      <c r="I103" s="40" t="n">
        <f aca="false">I67*I97</f>
        <v>3.23411352</v>
      </c>
      <c r="J103" s="40" t="n">
        <f aca="false">J67*J97</f>
        <v>3.4605014664</v>
      </c>
      <c r="K103" s="51" t="n">
        <f aca="false">SUM(F103:J103)</f>
        <v>12.5419509864</v>
      </c>
      <c r="L103" s="49" t="s">
        <v>642</v>
      </c>
    </row>
    <row r="104" customFormat="false" ht="15" hidden="true" customHeight="false" outlineLevel="1" collapsed="false">
      <c r="A104" s="20" t="n">
        <v>80</v>
      </c>
      <c r="B104" s="6" t="s">
        <v>646</v>
      </c>
      <c r="C104" s="20" t="s">
        <v>71</v>
      </c>
      <c r="D104" s="23"/>
      <c r="E104" s="23"/>
      <c r="F104" s="40" t="n">
        <f aca="false">F68*F98</f>
        <v>0</v>
      </c>
      <c r="G104" s="40" t="n">
        <f aca="false">G68*G98</f>
        <v>0</v>
      </c>
      <c r="H104" s="40" t="n">
        <f aca="false">H68*H98</f>
        <v>3.4347</v>
      </c>
      <c r="I104" s="40" t="n">
        <f aca="false">I68*I98</f>
        <v>3.675129</v>
      </c>
      <c r="J104" s="40" t="n">
        <f aca="false">J68*J98</f>
        <v>3.93238803</v>
      </c>
      <c r="K104" s="51" t="n">
        <f aca="false">SUM(F104:J104)</f>
        <v>11.04221703</v>
      </c>
      <c r="L104" s="49" t="s">
        <v>642</v>
      </c>
    </row>
    <row r="105" customFormat="false" ht="15" hidden="true" customHeight="false" outlineLevel="1" collapsed="false">
      <c r="A105" s="20" t="n">
        <v>81</v>
      </c>
      <c r="B105" s="6" t="s">
        <v>647</v>
      </c>
      <c r="C105" s="20" t="s">
        <v>71</v>
      </c>
      <c r="D105" s="23"/>
      <c r="E105" s="23"/>
      <c r="F105" s="40" t="n">
        <f aca="false">F69*F99</f>
        <v>0</v>
      </c>
      <c r="G105" s="40" t="n">
        <f aca="false">G69*G99</f>
        <v>0</v>
      </c>
      <c r="H105" s="40" t="n">
        <f aca="false">H69*H99</f>
        <v>0</v>
      </c>
      <c r="I105" s="40" t="n">
        <f aca="false">I69*I99</f>
        <v>0</v>
      </c>
      <c r="J105" s="40" t="n">
        <f aca="false">J69*J99</f>
        <v>3.4605014664</v>
      </c>
      <c r="K105" s="51" t="n">
        <f aca="false">SUM(F105:J105)</f>
        <v>3.4605014664</v>
      </c>
      <c r="L105" s="49" t="s">
        <v>642</v>
      </c>
    </row>
    <row r="106" customFormat="false" ht="15" hidden="true" customHeight="false" outlineLevel="1" collapsed="false">
      <c r="A106" s="20" t="n">
        <v>82</v>
      </c>
      <c r="B106" s="6" t="s">
        <v>648</v>
      </c>
      <c r="C106" s="20" t="s">
        <v>71</v>
      </c>
      <c r="D106" s="23"/>
      <c r="E106" s="23"/>
      <c r="F106" s="40" t="n">
        <f aca="false">F100+F101+F102+F103+F104+F105</f>
        <v>10.92</v>
      </c>
      <c r="G106" s="40" t="n">
        <f aca="false">G100+G101+G102+G103+G104+G105</f>
        <v>14.5092</v>
      </c>
      <c r="H106" s="40" t="n">
        <f aca="false">H100+H101+H102+H103+H104+H105</f>
        <v>18.959544</v>
      </c>
      <c r="I106" s="40" t="n">
        <f aca="false">I100+I101+I102+I103+I104+I105</f>
        <v>24.40285656</v>
      </c>
      <c r="J106" s="40" t="n">
        <f aca="false">J100+J101+J102+J103+J104+J105</f>
        <v>29.5715579856</v>
      </c>
      <c r="K106" s="51" t="n">
        <f aca="false">SUM(F106:J106)</f>
        <v>98.3631585456</v>
      </c>
      <c r="L106" s="49"/>
    </row>
    <row r="107" customFormat="false" ht="15" hidden="true" customHeight="false" outlineLevel="1" collapsed="false">
      <c r="A107" s="20" t="n">
        <v>83</v>
      </c>
      <c r="B107" s="6" t="s">
        <v>649</v>
      </c>
      <c r="C107" s="20" t="s">
        <v>71</v>
      </c>
      <c r="D107" s="23"/>
      <c r="E107" s="23"/>
      <c r="F107" s="40" t="n">
        <f aca="false">F64*(MIN(F94,F75)*$D$31+MAX(0,F94-F75)*$D$32+F94*$D$33)+F65*(MIN(F95,F75)*$D$31+MAX(0,F95-F75)*$D$32+F95*$D$33)+F66*(MIN(F96,F75)*$D$31+MAX(0,F96-F75)*$D$32+F96*$D$33)+F67*(MIN(F97,F75)*$D$31+MAX(0,F97-F75)*$D$32+F97*$D$33)+F68*(MIN(F98,F75)*$D$31+MAX(0,F98-F75)*$D$32+F98*$D$33)+F69*(MIN(F99,F75)*$D$31+MAX(0,F99-F75)*$D$32+F99*$D$33)</f>
        <v>1.64928168</v>
      </c>
      <c r="G107" s="40" t="n">
        <f aca="false">G64*(MIN(G94,G75)*$D$31+MAX(0,G94-G75)*$D$32+G94*$D$33)+G65*(MIN(G95,G75)*$D$31+MAX(0,G95-G75)*$D$32+G95*$D$33)+G66*(MIN(G96,G75)*$D$31+MAX(0,G96-G75)*$D$32+G96*$D$33)+G67*(MIN(G97,G75)*$D$31+MAX(0,G97-G75)*$D$32+G97*$D$33)+G68*(MIN(G98,G75)*$D$31+MAX(0,G98-G75)*$D$32+G98*$D$33)+G69*(MIN(G99,G75)*$D$31+MAX(0,G99-G75)*$D$32+G99*$D$33)</f>
        <v>2.1964818144</v>
      </c>
      <c r="H107" s="40" t="n">
        <f aca="false">H64*(MIN(H94,H75)*$D$31+MAX(0,H94-H75)*$D$32+H94*$D$33)+H65*(MIN(H95,H75)*$D$31+MAX(0,H95-H75)*$D$32+H95*$D$33)+H66*(MIN(H96,H75)*$D$31+MAX(0,H96-H75)*$D$32+H96*$D$33)+H67*(MIN(H97,H75)*$D$31+MAX(0,H97-H75)*$D$32+H97*$D$33)+H68*(MIN(H98,H75)*$D$31+MAX(0,H98-H75)*$D$32+H98*$D$33)+H69*(MIN(H99,H75)*$D$31+MAX(0,H99-H75)*$D$32+H99*$D$33)</f>
        <v>2.874881223552</v>
      </c>
      <c r="I107" s="40" t="n">
        <f aca="false">I64*(MIN(I94,I75)*$D$31+MAX(0,I94-I75)*$D$32+I94*$D$33)+I65*(MIN(I95,I75)*$D$31+MAX(0,I95-I75)*$D$32+I95*$D$33)+I66*(MIN(I96,I75)*$D$31+MAX(0,I96-I75)*$D$32+I96*$D$33)+I67*(MIN(I97,I75)*$D$31+MAX(0,I97-I75)*$D$32+I97*$D$33)+I68*(MIN(I98,I75)*$D$31+MAX(0,I98-I75)*$D$32+I98*$D$33)+I69*(MIN(I99,I75)*$D$31+MAX(0,I99-I75)*$D$32+I99*$D$33)</f>
        <v>3.69987351263232</v>
      </c>
      <c r="J107" s="40" t="n">
        <f aca="false">J64*(MIN(J94,J75)*$D$31+MAX(0,J94-J75)*$D$32+J94*$D$33)+J65*(MIN(J95,J75)*$D$31+MAX(0,J95-J75)*$D$32+J95*$D$33)+J66*(MIN(J96,J75)*$D$31+MAX(0,J96-J75)*$D$32+J96*$D$33)+J67*(MIN(J97,J75)*$D$31+MAX(0,J97-J75)*$D$32+J97*$D$33)+J68*(MIN(J98,J75)*$D$31+MAX(0,J98-J75)*$D$32+J98*$D$33)+J69*(MIN(J99,J75)*$D$31+MAX(0,J99-J75)*$D$32+J99*$D$33)</f>
        <v>4.49085916839491</v>
      </c>
      <c r="K107" s="51" t="n">
        <f aca="false">SUM(F107:J107)</f>
        <v>14.9113773989792</v>
      </c>
      <c r="L107" s="49" t="s">
        <v>650</v>
      </c>
    </row>
    <row r="108" customFormat="false" ht="15" hidden="true" customHeight="false" outlineLevel="1" collapsed="false">
      <c r="A108" s="20" t="n">
        <v>84</v>
      </c>
      <c r="B108" s="6" t="s">
        <v>651</v>
      </c>
      <c r="C108" s="20"/>
      <c r="D108" s="23"/>
      <c r="E108" s="23"/>
      <c r="F108" s="38" t="n">
        <f aca="false">IF(AND(F81&gt;0,E81=0),1,0)</f>
        <v>1</v>
      </c>
      <c r="G108" s="38" t="n">
        <f aca="false">IF(AND(G81&gt;0,F81=0),1,0)</f>
        <v>0</v>
      </c>
      <c r="H108" s="38" t="n">
        <f aca="false">IF(AND(H81&gt;0,G81=0),1,0)</f>
        <v>0</v>
      </c>
      <c r="I108" s="38" t="n">
        <f aca="false">IF(AND(I81&gt;0,H81=0),1,0)</f>
        <v>0</v>
      </c>
      <c r="J108" s="38" t="n">
        <f aca="false">IF(AND(J81&gt;0,I81=0),1,0)</f>
        <v>0</v>
      </c>
      <c r="K108" s="23"/>
      <c r="L108" s="49"/>
    </row>
    <row r="109" customFormat="false" ht="15" hidden="true" customHeight="false" outlineLevel="1" collapsed="false">
      <c r="A109" s="20" t="n">
        <v>85</v>
      </c>
      <c r="B109" s="6" t="s">
        <v>652</v>
      </c>
      <c r="C109" s="20" t="s">
        <v>71</v>
      </c>
      <c r="D109" s="23"/>
      <c r="E109" s="23"/>
      <c r="F109" s="40" t="n">
        <f aca="false">(F108*$D$36+IF(E81&gt;0,1,0)*$D$37)*F73</f>
        <v>2.5</v>
      </c>
      <c r="G109" s="40" t="n">
        <f aca="false">(G108*$D$36+IF(F81&gt;0,1,0)*$D$37)*G73</f>
        <v>1.05</v>
      </c>
      <c r="H109" s="40" t="n">
        <f aca="false">(H108*$D$36+IF(G81&gt;0,1,0)*$D$37)*H73</f>
        <v>1.1025</v>
      </c>
      <c r="I109" s="40" t="n">
        <f aca="false">(I108*$D$36+IF(H81&gt;0,1,0)*$D$37)*I73</f>
        <v>1.157625</v>
      </c>
      <c r="J109" s="40" t="n">
        <f aca="false">(J108*$D$36+IF(I81&gt;0,1,0)*$D$37)*J73</f>
        <v>1.21550625</v>
      </c>
      <c r="K109" s="51" t="n">
        <f aca="false">SUM(F109:J109)</f>
        <v>7.02563125</v>
      </c>
      <c r="L109" s="49" t="s">
        <v>653</v>
      </c>
    </row>
    <row r="110" customFormat="false" ht="15" hidden="true" customHeight="false" outlineLevel="1" collapsed="false">
      <c r="A110" s="20" t="n">
        <v>86</v>
      </c>
      <c r="B110" s="6" t="s">
        <v>302</v>
      </c>
      <c r="C110" s="20" t="s">
        <v>71</v>
      </c>
      <c r="D110" s="23"/>
      <c r="E110" s="23"/>
      <c r="F110" s="40" t="n">
        <f aca="false">$D$38*F73</f>
        <v>0.6</v>
      </c>
      <c r="G110" s="40" t="n">
        <f aca="false">$D$38*G73</f>
        <v>0.63</v>
      </c>
      <c r="H110" s="40" t="n">
        <f aca="false">$D$38*H73</f>
        <v>0.6615</v>
      </c>
      <c r="I110" s="40" t="n">
        <f aca="false">$D$38*I73</f>
        <v>0.694575</v>
      </c>
      <c r="J110" s="40" t="n">
        <f aca="false">$D$38*J73</f>
        <v>0.72930375</v>
      </c>
      <c r="K110" s="51" t="n">
        <f aca="false">SUM(F110:J110)</f>
        <v>3.31537875</v>
      </c>
      <c r="L110" s="49"/>
    </row>
    <row r="111" customFormat="false" ht="15" hidden="true" customHeight="false" outlineLevel="1" collapsed="false">
      <c r="A111" s="20" t="n">
        <v>87</v>
      </c>
      <c r="B111" s="6" t="s">
        <v>654</v>
      </c>
      <c r="C111" s="20" t="s">
        <v>71</v>
      </c>
      <c r="D111" s="23"/>
      <c r="E111" s="23"/>
      <c r="F111" s="40" t="n">
        <f aca="false">$D$39*F92*F73</f>
        <v>0.6</v>
      </c>
      <c r="G111" s="40" t="n">
        <f aca="false">$D$39*G92*G73</f>
        <v>0.7875</v>
      </c>
      <c r="H111" s="40" t="n">
        <f aca="false">$D$39*H92*H73</f>
        <v>0.99225</v>
      </c>
      <c r="I111" s="40" t="n">
        <f aca="false">$D$39*I92*I73</f>
        <v>1.21550625</v>
      </c>
      <c r="J111" s="40" t="n">
        <f aca="false">$D$39*J92*J73</f>
        <v>1.4586075</v>
      </c>
      <c r="K111" s="51" t="n">
        <f aca="false">SUM(F111:J111)</f>
        <v>5.05386375</v>
      </c>
      <c r="L111" s="49" t="s">
        <v>655</v>
      </c>
    </row>
    <row r="112" customFormat="false" ht="15" hidden="true" customHeight="false" outlineLevel="1" collapsed="false">
      <c r="A112" s="20" t="n">
        <v>88</v>
      </c>
      <c r="B112" s="6" t="s">
        <v>656</v>
      </c>
      <c r="C112" s="20" t="s">
        <v>71</v>
      </c>
      <c r="D112" s="23"/>
      <c r="E112" s="23"/>
      <c r="F112" s="40" t="n">
        <f aca="false">($D$40+$D$41*F82)*F73</f>
        <v>1.4</v>
      </c>
      <c r="G112" s="40" t="n">
        <f aca="false">($D$40+$D$41*G82)*G73</f>
        <v>1.47</v>
      </c>
      <c r="H112" s="40" t="n">
        <f aca="false">($D$40+$D$41*H82)*H73</f>
        <v>2.4255</v>
      </c>
      <c r="I112" s="40" t="n">
        <f aca="false">($D$40+$D$41*I82)*I73</f>
        <v>2.083725</v>
      </c>
      <c r="J112" s="40" t="n">
        <f aca="false">($D$40+$D$41*J82)*J73</f>
        <v>3.16031625</v>
      </c>
      <c r="K112" s="51" t="n">
        <f aca="false">SUM(F112:J112)</f>
        <v>10.53954125</v>
      </c>
      <c r="L112" s="49" t="s">
        <v>657</v>
      </c>
    </row>
    <row r="113" customFormat="false" ht="15" hidden="true" customHeight="false" outlineLevel="1" collapsed="false">
      <c r="A113" s="20" t="n">
        <v>89</v>
      </c>
      <c r="B113" s="6" t="s">
        <v>658</v>
      </c>
      <c r="C113" s="20" t="s">
        <v>71</v>
      </c>
      <c r="D113" s="23"/>
      <c r="E113" s="23"/>
      <c r="F113" s="40" t="n">
        <f aca="false">($D$42+$D$43*F92)*F73</f>
        <v>1.6</v>
      </c>
      <c r="G113" s="40" t="n">
        <f aca="false">($D$42+$D$43*G92)*G73</f>
        <v>1.785</v>
      </c>
      <c r="H113" s="40" t="n">
        <f aca="false">($D$42+$D$43*H92)*H73</f>
        <v>1.9845</v>
      </c>
      <c r="I113" s="40" t="n">
        <f aca="false">($D$42+$D$43*I92)*I73</f>
        <v>2.1994875</v>
      </c>
      <c r="J113" s="40" t="n">
        <f aca="false">($D$42+$D$43*J92)*J73</f>
        <v>2.4310125</v>
      </c>
      <c r="K113" s="51" t="n">
        <f aca="false">SUM(F113:J113)</f>
        <v>10</v>
      </c>
      <c r="L113" s="49" t="s">
        <v>659</v>
      </c>
    </row>
    <row r="114" customFormat="false" ht="15" hidden="true" customHeight="false" outlineLevel="1" collapsed="false">
      <c r="A114" s="20" t="n">
        <v>90</v>
      </c>
      <c r="B114" s="6" t="s">
        <v>660</v>
      </c>
      <c r="C114" s="20" t="s">
        <v>71</v>
      </c>
      <c r="D114" s="23"/>
      <c r="E114" s="23"/>
      <c r="F114" s="40" t="n">
        <f aca="false">$D$44*F93*F73</f>
        <v>0.5</v>
      </c>
      <c r="G114" s="40" t="n">
        <f aca="false">$D$44*G93*G73</f>
        <v>0.2625</v>
      </c>
      <c r="H114" s="40" t="n">
        <f aca="false">$D$44*H93*H73</f>
        <v>0.275625</v>
      </c>
      <c r="I114" s="40" t="n">
        <f aca="false">$D$44*I93*I73</f>
        <v>0.28940625</v>
      </c>
      <c r="J114" s="40" t="n">
        <f aca="false">$D$44*J93*J73</f>
        <v>0.3038765625</v>
      </c>
      <c r="K114" s="51" t="n">
        <f aca="false">SUM(F114:J114)</f>
        <v>1.6314078125</v>
      </c>
      <c r="L114" s="49" t="s">
        <v>661</v>
      </c>
    </row>
    <row r="115" customFormat="false" ht="15" hidden="true" customHeight="false" outlineLevel="1" collapsed="false">
      <c r="A115" s="20" t="n">
        <v>91</v>
      </c>
      <c r="B115" s="6" t="s">
        <v>570</v>
      </c>
      <c r="C115" s="20" t="s">
        <v>71</v>
      </c>
      <c r="D115" s="23"/>
      <c r="E115" s="23"/>
      <c r="F115" s="40" t="n">
        <f aca="false">IF(F$71=$F$71,$D$45,0)</f>
        <v>0.3</v>
      </c>
      <c r="G115" s="40" t="n">
        <f aca="false">IF(G$71=$F$71,$D$45,0)</f>
        <v>0</v>
      </c>
      <c r="H115" s="40" t="n">
        <f aca="false">IF(H$71=$F$71,$D$45,0)</f>
        <v>0</v>
      </c>
      <c r="I115" s="40" t="n">
        <f aca="false">IF(I$71=$F$71,$D$45,0)</f>
        <v>0</v>
      </c>
      <c r="J115" s="40" t="n">
        <f aca="false">IF(J$71=$F$71,$D$45,0)</f>
        <v>0</v>
      </c>
      <c r="K115" s="51" t="n">
        <f aca="false">SUM(F115:J115)</f>
        <v>0.3</v>
      </c>
      <c r="L115" s="49" t="s">
        <v>662</v>
      </c>
    </row>
    <row r="116" customFormat="false" ht="15" hidden="true" customHeight="false" outlineLevel="1" collapsed="false">
      <c r="A116" s="20" t="n">
        <v>92</v>
      </c>
      <c r="B116" s="6" t="s">
        <v>663</v>
      </c>
      <c r="C116" s="20" t="s">
        <v>71</v>
      </c>
      <c r="D116" s="23"/>
      <c r="E116" s="23"/>
      <c r="F116" s="40" t="n">
        <f aca="false">F106+F107+F109+F110+F111+F112+F113+F114+F115</f>
        <v>20.06928168</v>
      </c>
      <c r="G116" s="40" t="n">
        <f aca="false">G106+G107+G109+G110+G111+G112+G113+G114+G115</f>
        <v>22.6906818144</v>
      </c>
      <c r="H116" s="40" t="n">
        <f aca="false">H106+H107+H109+H110+H111+H112+H113+H114+H115</f>
        <v>29.276300223552</v>
      </c>
      <c r="I116" s="40" t="n">
        <f aca="false">I106+I107+I109+I110+I111+I112+I113+I114+I115</f>
        <v>35.7430550726323</v>
      </c>
      <c r="J116" s="40" t="n">
        <f aca="false">J106+J107+J109+J110+J111+J112+J113+J114+J115</f>
        <v>43.3610399664949</v>
      </c>
      <c r="K116" s="51" t="n">
        <f aca="false">SUM(F116:J116)</f>
        <v>151.140358757079</v>
      </c>
      <c r="L116" s="49"/>
    </row>
    <row r="117" customFormat="false" ht="15" hidden="true" customHeight="false" outlineLevel="1" collapsed="false">
      <c r="A117" s="20" t="n">
        <v>93</v>
      </c>
      <c r="B117" s="6" t="s">
        <v>329</v>
      </c>
      <c r="C117" s="20" t="s">
        <v>71</v>
      </c>
      <c r="D117" s="23"/>
      <c r="E117" s="23"/>
      <c r="F117" s="40" t="n">
        <f aca="false">F116*$D$47</f>
        <v>2.006928168</v>
      </c>
      <c r="G117" s="40" t="n">
        <f aca="false">G116*$D$47</f>
        <v>2.26906818144</v>
      </c>
      <c r="H117" s="40" t="n">
        <f aca="false">H116*$D$47</f>
        <v>2.9276300223552</v>
      </c>
      <c r="I117" s="40" t="n">
        <f aca="false">I116*$D$47</f>
        <v>3.57430550726323</v>
      </c>
      <c r="J117" s="40" t="n">
        <f aca="false">J116*$D$47</f>
        <v>4.33610399664949</v>
      </c>
      <c r="K117" s="51" t="n">
        <f aca="false">SUM(F117:J117)</f>
        <v>15.1140358757079</v>
      </c>
      <c r="L117" s="49"/>
    </row>
    <row r="118" customFormat="false" ht="15" hidden="true" customHeight="false" outlineLevel="1" collapsed="false">
      <c r="A118" s="20" t="n">
        <v>94</v>
      </c>
      <c r="B118" s="6" t="s">
        <v>664</v>
      </c>
      <c r="C118" s="20" t="s">
        <v>71</v>
      </c>
      <c r="D118" s="23"/>
      <c r="E118" s="23"/>
      <c r="F118" s="40" t="n">
        <f aca="false">F116+F117</f>
        <v>22.076209848</v>
      </c>
      <c r="G118" s="40" t="n">
        <f aca="false">G116+G117</f>
        <v>24.95974999584</v>
      </c>
      <c r="H118" s="40" t="n">
        <f aca="false">H116+H117</f>
        <v>32.2039302459072</v>
      </c>
      <c r="I118" s="40" t="n">
        <f aca="false">I116+I117</f>
        <v>39.3173605798956</v>
      </c>
      <c r="J118" s="40" t="n">
        <f aca="false">J116+J117</f>
        <v>47.6971439631444</v>
      </c>
      <c r="K118" s="51" t="n">
        <f aca="false">SUM(F118:J118)</f>
        <v>166.254394632787</v>
      </c>
      <c r="L118" s="49"/>
    </row>
    <row r="119" customFormat="false" ht="15" hidden="true" customHeight="false" outlineLevel="1" collapsed="false">
      <c r="A119" s="19" t="s">
        <v>665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customFormat="false" ht="15" hidden="true" customHeight="false" outlineLevel="1" collapsed="false">
      <c r="A120" s="20" t="n">
        <v>95</v>
      </c>
      <c r="B120" s="6" t="s">
        <v>666</v>
      </c>
      <c r="C120" s="20" t="s">
        <v>71</v>
      </c>
      <c r="D120" s="23"/>
      <c r="E120" s="23"/>
      <c r="F120" s="40" t="n">
        <f aca="false">F89-F118</f>
        <v>-14.076209848</v>
      </c>
      <c r="G120" s="40" t="n">
        <f aca="false">G89-G118</f>
        <v>-7.10974999584</v>
      </c>
      <c r="H120" s="40" t="n">
        <f aca="false">H89-H118</f>
        <v>1.8529838165928</v>
      </c>
      <c r="I120" s="40" t="n">
        <f aca="false">I89-I118</f>
        <v>4.04728836364139</v>
      </c>
      <c r="J120" s="40" t="n">
        <f aca="false">J89-J118</f>
        <v>20.0798082689889</v>
      </c>
      <c r="K120" s="51" t="n">
        <f aca="false">SUM(F120:J120)</f>
        <v>4.79412060538312</v>
      </c>
      <c r="L120" s="49" t="s">
        <v>667</v>
      </c>
    </row>
    <row r="121" customFormat="false" ht="15" hidden="true" customHeight="false" outlineLevel="1" collapsed="false">
      <c r="A121" s="20" t="n">
        <v>96</v>
      </c>
      <c r="B121" s="6" t="s">
        <v>668</v>
      </c>
      <c r="C121" s="20" t="s">
        <v>68</v>
      </c>
      <c r="D121" s="23"/>
      <c r="E121" s="23"/>
      <c r="F121" s="44" t="n">
        <f aca="false">IF(F89&gt;0,F120/F89,0)</f>
        <v>-1.759526231</v>
      </c>
      <c r="G121" s="44" t="n">
        <f aca="false">IF(G89&gt;0,G120/G89,0)</f>
        <v>-0.398305321895798</v>
      </c>
      <c r="H121" s="44" t="n">
        <f aca="false">IF(H89&gt;0,H120/H89,0)</f>
        <v>0.0544084473770075</v>
      </c>
      <c r="I121" s="44" t="n">
        <f aca="false">IF(I89&gt;0,I120/I89,0)</f>
        <v>0.0933315145456653</v>
      </c>
      <c r="J121" s="44" t="n">
        <f aca="false">IF(J89&gt;0,J120/J89,0)</f>
        <v>0.296263074801835</v>
      </c>
      <c r="K121" s="23"/>
      <c r="L121" s="49"/>
    </row>
    <row r="122" customFormat="false" ht="15" hidden="true" customHeight="false" outlineLevel="1" collapsed="false">
      <c r="A122" s="20" t="n">
        <v>97</v>
      </c>
      <c r="B122" s="6" t="s">
        <v>669</v>
      </c>
      <c r="C122" s="20" t="s">
        <v>71</v>
      </c>
      <c r="D122" s="23"/>
      <c r="E122" s="23"/>
      <c r="F122" s="40" t="n">
        <f aca="false">E126</f>
        <v>0</v>
      </c>
      <c r="G122" s="40" t="n">
        <f aca="false">F126</f>
        <v>14.076209848</v>
      </c>
      <c r="H122" s="40" t="n">
        <f aca="false">G126</f>
        <v>21.18595984384</v>
      </c>
      <c r="I122" s="40" t="n">
        <f aca="false">H126</f>
        <v>20.2594679355436</v>
      </c>
      <c r="J122" s="40" t="n">
        <f aca="false">I126</f>
        <v>18.2358237537229</v>
      </c>
      <c r="K122" s="23"/>
      <c r="L122" s="49"/>
    </row>
    <row r="123" customFormat="false" ht="15" hidden="true" customHeight="false" outlineLevel="1" collapsed="false">
      <c r="A123" s="20" t="n">
        <v>98</v>
      </c>
      <c r="B123" s="6" t="s">
        <v>670</v>
      </c>
      <c r="C123" s="20" t="s">
        <v>71</v>
      </c>
      <c r="D123" s="23"/>
      <c r="E123" s="23"/>
      <c r="F123" s="40" t="n">
        <f aca="false">MIN(F122,MAX(0,F120)*$D$49)</f>
        <v>0</v>
      </c>
      <c r="G123" s="40" t="n">
        <f aca="false">MIN(G122,MAX(0,G120)*$D$49)</f>
        <v>0</v>
      </c>
      <c r="H123" s="40" t="n">
        <f aca="false">MIN(H122,MAX(0,H120)*$D$49)</f>
        <v>0.926491908296399</v>
      </c>
      <c r="I123" s="40" t="n">
        <f aca="false">MIN(I122,MAX(0,I120)*$D$49)</f>
        <v>2.02364418182069</v>
      </c>
      <c r="J123" s="40" t="n">
        <f aca="false">MIN(J122,MAX(0,J120)*$D$49)</f>
        <v>10.0399041344945</v>
      </c>
      <c r="K123" s="23"/>
      <c r="L123" s="49" t="s">
        <v>671</v>
      </c>
    </row>
    <row r="124" customFormat="false" ht="15" hidden="true" customHeight="false" outlineLevel="1" collapsed="false">
      <c r="A124" s="20" t="n">
        <v>99</v>
      </c>
      <c r="B124" s="6" t="s">
        <v>672</v>
      </c>
      <c r="C124" s="20" t="s">
        <v>71</v>
      </c>
      <c r="D124" s="23"/>
      <c r="E124" s="23"/>
      <c r="F124" s="40" t="n">
        <f aca="false">MAX(0,F120)-F123</f>
        <v>0</v>
      </c>
      <c r="G124" s="40" t="n">
        <f aca="false">MAX(0,G120)-G123</f>
        <v>0</v>
      </c>
      <c r="H124" s="40" t="n">
        <f aca="false">MAX(0,H120)-H123</f>
        <v>0.926491908296399</v>
      </c>
      <c r="I124" s="40" t="n">
        <f aca="false">MAX(0,I120)-I123</f>
        <v>2.02364418182069</v>
      </c>
      <c r="J124" s="40" t="n">
        <f aca="false">MAX(0,J120)-J123</f>
        <v>10.0399041344945</v>
      </c>
      <c r="K124" s="23"/>
      <c r="L124" s="49"/>
    </row>
    <row r="125" customFormat="false" ht="15" hidden="true" customHeight="false" outlineLevel="1" collapsed="false">
      <c r="A125" s="20" t="n">
        <v>100</v>
      </c>
      <c r="B125" s="6" t="s">
        <v>572</v>
      </c>
      <c r="C125" s="20" t="s">
        <v>71</v>
      </c>
      <c r="D125" s="23"/>
      <c r="E125" s="23"/>
      <c r="F125" s="40" t="n">
        <f aca="false">F124*$D$48</f>
        <v>0</v>
      </c>
      <c r="G125" s="40" t="n">
        <f aca="false">G124*$D$48</f>
        <v>0</v>
      </c>
      <c r="H125" s="40" t="n">
        <f aca="false">H124*$D$48</f>
        <v>0.0463245954148199</v>
      </c>
      <c r="I125" s="40" t="n">
        <f aca="false">I124*$D$48</f>
        <v>0.101182209091035</v>
      </c>
      <c r="J125" s="40" t="n">
        <f aca="false">J124*$D$48</f>
        <v>0.501995206724723</v>
      </c>
      <c r="K125" s="51" t="n">
        <f aca="false">SUM(F125:J125)</f>
        <v>0.649502011230578</v>
      </c>
      <c r="L125" s="49"/>
    </row>
    <row r="126" customFormat="false" ht="15" hidden="true" customHeight="false" outlineLevel="1" collapsed="false">
      <c r="A126" s="20" t="n">
        <v>101</v>
      </c>
      <c r="B126" s="6" t="s">
        <v>673</v>
      </c>
      <c r="C126" s="20" t="s">
        <v>71</v>
      </c>
      <c r="D126" s="23"/>
      <c r="E126" s="40" t="n">
        <f aca="false">0</f>
        <v>0</v>
      </c>
      <c r="F126" s="40" t="n">
        <f aca="false">F122-F123+MAX(0,-F120)</f>
        <v>14.076209848</v>
      </c>
      <c r="G126" s="40" t="n">
        <f aca="false">G122-G123+MAX(0,-G120)</f>
        <v>21.18595984384</v>
      </c>
      <c r="H126" s="40" t="n">
        <f aca="false">H122-H123+MAX(0,-H120)</f>
        <v>20.2594679355436</v>
      </c>
      <c r="I126" s="40" t="n">
        <f aca="false">I122-I123+MAX(0,-I120)</f>
        <v>18.2358237537229</v>
      </c>
      <c r="J126" s="40" t="n">
        <f aca="false">J122-J123+MAX(0,-J120)</f>
        <v>8.19591961922844</v>
      </c>
      <c r="K126" s="23"/>
      <c r="L126" s="49"/>
    </row>
    <row r="127" customFormat="false" ht="15" hidden="true" customHeight="false" outlineLevel="1" collapsed="false">
      <c r="A127" s="20" t="n">
        <v>102</v>
      </c>
      <c r="B127" s="6" t="s">
        <v>674</v>
      </c>
      <c r="C127" s="20" t="s">
        <v>71</v>
      </c>
      <c r="D127" s="23"/>
      <c r="E127" s="23"/>
      <c r="F127" s="40" t="n">
        <f aca="false">F120-F125</f>
        <v>-14.076209848</v>
      </c>
      <c r="G127" s="40" t="n">
        <f aca="false">G120-G125</f>
        <v>-7.10974999584</v>
      </c>
      <c r="H127" s="40" t="n">
        <f aca="false">H120-H125</f>
        <v>1.80665922117798</v>
      </c>
      <c r="I127" s="40" t="n">
        <f aca="false">I120-I125</f>
        <v>3.94610615455035</v>
      </c>
      <c r="J127" s="40" t="n">
        <f aca="false">J120-J125</f>
        <v>19.5778130622642</v>
      </c>
      <c r="K127" s="51" t="n">
        <f aca="false">SUM(F127:J127)</f>
        <v>4.14461859415254</v>
      </c>
      <c r="L127" s="49"/>
    </row>
    <row r="128" customFormat="false" ht="15" hidden="true" customHeight="false" outlineLevel="1" collapsed="false">
      <c r="A128" s="19" t="s">
        <v>675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customFormat="false" ht="15" hidden="true" customHeight="false" outlineLevel="1" collapsed="false">
      <c r="A129" s="20" t="n">
        <v>103</v>
      </c>
      <c r="B129" s="6" t="s">
        <v>676</v>
      </c>
      <c r="C129" s="20" t="s">
        <v>71</v>
      </c>
      <c r="D129" s="23"/>
      <c r="E129" s="40" t="n">
        <f aca="false">0</f>
        <v>0</v>
      </c>
      <c r="F129" s="40" t="n">
        <f aca="false">F89*$D$50/365</f>
        <v>1.97260273972603</v>
      </c>
      <c r="G129" s="40" t="n">
        <f aca="false">G89*$D$50/365</f>
        <v>4.4013698630137</v>
      </c>
      <c r="H129" s="40" t="n">
        <f aca="false">H89*$D$50/365</f>
        <v>8.39759524828767</v>
      </c>
      <c r="I129" s="40" t="n">
        <f aca="false">I89*$D$50/365</f>
        <v>10.6926531641598</v>
      </c>
      <c r="J129" s="40" t="n">
        <f aca="false">J89*$D$50/365</f>
        <v>16.7121252079233</v>
      </c>
      <c r="K129" s="23"/>
      <c r="L129" s="49" t="s">
        <v>677</v>
      </c>
    </row>
    <row r="130" customFormat="false" ht="15" hidden="true" customHeight="false" outlineLevel="1" collapsed="false">
      <c r="A130" s="20" t="n">
        <v>104</v>
      </c>
      <c r="B130" s="6" t="s">
        <v>678</v>
      </c>
      <c r="C130" s="20" t="s">
        <v>71</v>
      </c>
      <c r="D130" s="23"/>
      <c r="E130" s="23"/>
      <c r="F130" s="40" t="n">
        <f aca="false">F129-E129</f>
        <v>1.97260273972603</v>
      </c>
      <c r="G130" s="40" t="n">
        <f aca="false">G129-F129</f>
        <v>2.42876712328767</v>
      </c>
      <c r="H130" s="40" t="n">
        <f aca="false">H129-G129</f>
        <v>3.99622538527397</v>
      </c>
      <c r="I130" s="40" t="n">
        <f aca="false">I129-H129</f>
        <v>2.29505791587212</v>
      </c>
      <c r="J130" s="40" t="n">
        <f aca="false">J129-I129</f>
        <v>6.0194720437635</v>
      </c>
      <c r="K130" s="51" t="n">
        <f aca="false">SUM(F130:J130)</f>
        <v>16.7121252079233</v>
      </c>
      <c r="L130" s="49"/>
    </row>
    <row r="131" customFormat="false" ht="15" hidden="true" customHeight="false" outlineLevel="1" collapsed="false">
      <c r="A131" s="20" t="n">
        <v>105</v>
      </c>
      <c r="B131" s="6" t="s">
        <v>679</v>
      </c>
      <c r="C131" s="20" t="s">
        <v>71</v>
      </c>
      <c r="D131" s="23"/>
      <c r="E131" s="23"/>
      <c r="F131" s="40" t="n">
        <f aca="false">F127-F130</f>
        <v>-16.048812587726</v>
      </c>
      <c r="G131" s="40" t="n">
        <f aca="false">G127-G130</f>
        <v>-9.53851711912767</v>
      </c>
      <c r="H131" s="40" t="n">
        <f aca="false">H127-H130</f>
        <v>-2.18956616409599</v>
      </c>
      <c r="I131" s="40" t="n">
        <f aca="false">I127-I130</f>
        <v>1.65104823867823</v>
      </c>
      <c r="J131" s="40" t="n">
        <f aca="false">J127-J130</f>
        <v>13.5583410185007</v>
      </c>
      <c r="K131" s="51" t="n">
        <f aca="false">SUM(F131:J131)</f>
        <v>-12.5675066137707</v>
      </c>
      <c r="L131" s="49" t="s">
        <v>680</v>
      </c>
    </row>
    <row r="132" customFormat="false" ht="15" hidden="true" customHeight="false" outlineLevel="1" collapsed="false">
      <c r="A132" s="20" t="n">
        <v>106</v>
      </c>
      <c r="B132" s="6" t="s">
        <v>93</v>
      </c>
      <c r="C132" s="20" t="s">
        <v>71</v>
      </c>
      <c r="D132" s="23"/>
      <c r="E132" s="40" t="n">
        <f aca="false">0</f>
        <v>0</v>
      </c>
      <c r="F132" s="40" t="n">
        <f aca="false">E132+F131</f>
        <v>-16.048812587726</v>
      </c>
      <c r="G132" s="40" t="n">
        <f aca="false">F132+G131</f>
        <v>-25.5873297068537</v>
      </c>
      <c r="H132" s="40" t="n">
        <f aca="false">G132+H131</f>
        <v>-27.7768958709497</v>
      </c>
      <c r="I132" s="40" t="n">
        <f aca="false">H132+I131</f>
        <v>-26.1258476322715</v>
      </c>
      <c r="J132" s="40" t="n">
        <f aca="false">I132+J131</f>
        <v>-12.5675066137707</v>
      </c>
      <c r="K132" s="23"/>
      <c r="L132" s="49" t="s">
        <v>681</v>
      </c>
    </row>
    <row r="133" customFormat="false" ht="15" hidden="true" customHeight="false" outlineLevel="1" collapsed="false">
      <c r="A133" s="20" t="n">
        <v>107</v>
      </c>
      <c r="B133" s="6" t="s">
        <v>682</v>
      </c>
      <c r="C133" s="20"/>
      <c r="D133" s="23"/>
      <c r="E133" s="23"/>
      <c r="F133" s="53" t="n">
        <f aca="false">1/(1+$D$51)^(F$71-$E$71)</f>
        <v>0.769230769230769</v>
      </c>
      <c r="G133" s="53" t="n">
        <f aca="false">1/(1+$D$51)^(G$71-$E$71)</f>
        <v>0.591715976331361</v>
      </c>
      <c r="H133" s="53" t="n">
        <f aca="false">1/(1+$D$51)^(H$71-$E$71)</f>
        <v>0.455166135639508</v>
      </c>
      <c r="I133" s="53" t="n">
        <f aca="false">1/(1+$D$51)^(I$71-$E$71)</f>
        <v>0.350127796645776</v>
      </c>
      <c r="J133" s="53" t="n">
        <f aca="false">1/(1+$D$51)^(J$71-$E$71)</f>
        <v>0.269329074342904</v>
      </c>
      <c r="K133" s="23"/>
      <c r="L133" s="49" t="s">
        <v>683</v>
      </c>
    </row>
    <row r="134" customFormat="false" ht="15" hidden="true" customHeight="false" outlineLevel="1" collapsed="false">
      <c r="A134" s="20" t="n">
        <v>108</v>
      </c>
      <c r="B134" s="6" t="s">
        <v>684</v>
      </c>
      <c r="C134" s="20" t="s">
        <v>71</v>
      </c>
      <c r="D134" s="23"/>
      <c r="E134" s="23"/>
      <c r="F134" s="40" t="n">
        <f aca="false">F131*F133</f>
        <v>-12.3452404520969</v>
      </c>
      <c r="G134" s="40" t="n">
        <f aca="false">G131*G133</f>
        <v>-5.64409296989803</v>
      </c>
      <c r="H134" s="40" t="n">
        <f aca="false">H131*H133</f>
        <v>-0.996616369638595</v>
      </c>
      <c r="I134" s="40" t="n">
        <f aca="false">I131*I133</f>
        <v>0.578077881964297</v>
      </c>
      <c r="J134" s="40" t="n">
        <f aca="false">J131*J133</f>
        <v>3.65165543613823</v>
      </c>
      <c r="K134" s="51" t="n">
        <f aca="false">SUM(F134:J134)</f>
        <v>-14.756216473531</v>
      </c>
      <c r="L134" s="49"/>
    </row>
    <row r="135" customFormat="false" ht="15" hidden="true" customHeight="false" outlineLevel="1" collapsed="false">
      <c r="A135" s="20" t="n">
        <v>109</v>
      </c>
      <c r="B135" s="6" t="s">
        <v>685</v>
      </c>
      <c r="C135" s="20" t="s">
        <v>71</v>
      </c>
      <c r="D135" s="23"/>
      <c r="E135" s="23"/>
      <c r="F135" s="40" t="n">
        <f aca="false">IF(F$71=$J$71,MAX(0,F131)*(1+$D$52)/($D$51-$D$52),0)</f>
        <v>0</v>
      </c>
      <c r="G135" s="40" t="n">
        <f aca="false">IF(G$71=$J$71,MAX(0,G131)*(1+$D$52)/($D$51-$D$52),0)</f>
        <v>0</v>
      </c>
      <c r="H135" s="40" t="n">
        <f aca="false">IF(H$71=$J$71,MAX(0,H131)*(1+$D$52)/($D$51-$D$52),0)</f>
        <v>0</v>
      </c>
      <c r="I135" s="40" t="n">
        <f aca="false">IF(I$71=$J$71,MAX(0,I131)*(1+$D$52)/($D$51-$D$52),0)</f>
        <v>0</v>
      </c>
      <c r="J135" s="40" t="n">
        <f aca="false">IF(J$71=$J$71,MAX(0,J131)*(1+$D$52)/($D$51-$D$52),0)</f>
        <v>54.2333640740029</v>
      </c>
      <c r="K135" s="23"/>
      <c r="L135" s="49" t="s">
        <v>686</v>
      </c>
    </row>
    <row r="136" customFormat="false" ht="15" hidden="true" customHeight="false" outlineLevel="1" collapsed="false">
      <c r="A136" s="20" t="n">
        <v>110</v>
      </c>
      <c r="B136" s="6" t="s">
        <v>687</v>
      </c>
      <c r="C136" s="20" t="s">
        <v>71</v>
      </c>
      <c r="D136" s="23"/>
      <c r="E136" s="23"/>
      <c r="F136" s="40" t="n">
        <f aca="false">F135*F133</f>
        <v>0</v>
      </c>
      <c r="G136" s="40" t="n">
        <f aca="false">G135*G133</f>
        <v>0</v>
      </c>
      <c r="H136" s="40" t="n">
        <f aca="false">H135*H133</f>
        <v>0</v>
      </c>
      <c r="I136" s="40" t="n">
        <f aca="false">I135*I133</f>
        <v>0</v>
      </c>
      <c r="J136" s="40" t="n">
        <f aca="false">J135*J133</f>
        <v>14.6066217445529</v>
      </c>
      <c r="K136" s="51" t="n">
        <f aca="false">SUM(F136:J136)</f>
        <v>14.6066217445529</v>
      </c>
      <c r="L136" s="49"/>
    </row>
    <row r="137" customFormat="false" ht="15" hidden="true" customHeight="false" outlineLevel="1" collapsed="false">
      <c r="A137" s="20" t="n">
        <v>111</v>
      </c>
      <c r="B137" s="6" t="s">
        <v>688</v>
      </c>
      <c r="C137" s="20" t="s">
        <v>71</v>
      </c>
      <c r="D137" s="23"/>
      <c r="E137" s="23"/>
      <c r="F137" s="40" t="n">
        <f aca="false">F131+F135</f>
        <v>-16.048812587726</v>
      </c>
      <c r="G137" s="40" t="n">
        <f aca="false">G131+G135</f>
        <v>-9.53851711912767</v>
      </c>
      <c r="H137" s="40" t="n">
        <f aca="false">H131+H135</f>
        <v>-2.18956616409599</v>
      </c>
      <c r="I137" s="40" t="n">
        <f aca="false">I131+I135</f>
        <v>1.65104823867823</v>
      </c>
      <c r="J137" s="40" t="n">
        <f aca="false">J131+J135</f>
        <v>67.7917050925036</v>
      </c>
      <c r="K137" s="23"/>
      <c r="L137" s="49" t="s">
        <v>689</v>
      </c>
    </row>
    <row r="138" customFormat="false" ht="15" hidden="true" customHeight="false" outlineLevel="1" collapsed="false">
      <c r="A138" s="20" t="n">
        <v>112</v>
      </c>
      <c r="B138" s="6" t="s">
        <v>690</v>
      </c>
      <c r="C138" s="20"/>
      <c r="D138" s="23"/>
      <c r="E138" s="23"/>
      <c r="F138" s="52" t="str">
        <f aca="false">IF(AND(F120&gt;0,COUNTIF($F$120:F$120,"&gt;0")=1),F$71,"")</f>
        <v/>
      </c>
      <c r="G138" s="52" t="str">
        <f aca="false">IF(AND(G120&gt;0,COUNTIF($F$120:G$120,"&gt;0")=1),G$71,"")</f>
        <v/>
      </c>
      <c r="H138" s="52" t="n">
        <f aca="false">IF(AND(H120&gt;0,COUNTIF($F$120:H$120,"&gt;0")=1),H$71,"")</f>
        <v>2029</v>
      </c>
      <c r="I138" s="52" t="str">
        <f aca="false">IF(AND(I120&gt;0,COUNTIF($F$120:I$120,"&gt;0")=1),I$71,"")</f>
        <v/>
      </c>
      <c r="J138" s="52" t="str">
        <f aca="false">IF(AND(J120&gt;0,COUNTIF($F$120:J$120,"&gt;0")=1),J$71,"")</f>
        <v/>
      </c>
      <c r="K138" s="23"/>
      <c r="L138" s="49" t="s">
        <v>691</v>
      </c>
    </row>
    <row r="139" customFormat="false" ht="15" hidden="true" customHeight="false" outlineLevel="1" collapsed="false">
      <c r="A139" s="20" t="n">
        <v>113</v>
      </c>
      <c r="B139" s="6" t="s">
        <v>692</v>
      </c>
      <c r="C139" s="20"/>
      <c r="D139" s="23"/>
      <c r="E139" s="23"/>
      <c r="F139" s="52" t="str">
        <f aca="false">IF(AND(F132&gt;0,COUNTIF($F$132:F$132,"&gt;0")=1),F$71,"")</f>
        <v/>
      </c>
      <c r="G139" s="52" t="str">
        <f aca="false">IF(AND(G132&gt;0,COUNTIF($F$132:G$132,"&gt;0")=1),G$71,"")</f>
        <v/>
      </c>
      <c r="H139" s="52" t="str">
        <f aca="false">IF(AND(H132&gt;0,COUNTIF($F$132:H$132,"&gt;0")=1),H$71,"")</f>
        <v/>
      </c>
      <c r="I139" s="52" t="str">
        <f aca="false">IF(AND(I132&gt;0,COUNTIF($F$132:I$132,"&gt;0")=1),I$71,"")</f>
        <v/>
      </c>
      <c r="J139" s="52" t="str">
        <f aca="false">IF(AND(J132&gt;0,COUNTIF($F$132:J$132,"&gt;0")=1),J$71,"")</f>
        <v/>
      </c>
      <c r="K139" s="23"/>
      <c r="L139" s="49" t="s">
        <v>691</v>
      </c>
    </row>
    <row r="140" customFormat="false" ht="15" hidden="true" customHeight="false" outlineLevel="1" collapsed="false">
      <c r="A140" s="19" t="s">
        <v>693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customFormat="false" ht="15" hidden="true" customHeight="false" outlineLevel="1" collapsed="false">
      <c r="A141" s="20" t="n">
        <v>114</v>
      </c>
      <c r="B141" s="6" t="s">
        <v>70</v>
      </c>
      <c r="C141" s="20" t="s">
        <v>71</v>
      </c>
      <c r="D141" s="51" t="n">
        <f aca="false">SUM(F89:J89)</f>
        <v>171.04851523817</v>
      </c>
      <c r="E141" s="23"/>
      <c r="F141" s="23"/>
      <c r="G141" s="23"/>
      <c r="H141" s="23"/>
      <c r="I141" s="23"/>
      <c r="J141" s="23"/>
      <c r="K141" s="23"/>
      <c r="L141" s="49"/>
    </row>
    <row r="142" customFormat="false" ht="15" hidden="true" customHeight="false" outlineLevel="1" collapsed="false">
      <c r="A142" s="20" t="n">
        <v>115</v>
      </c>
      <c r="B142" s="6" t="s">
        <v>694</v>
      </c>
      <c r="C142" s="20" t="s">
        <v>71</v>
      </c>
      <c r="D142" s="51" t="n">
        <f aca="false">J89</f>
        <v>67.7769522321333</v>
      </c>
      <c r="E142" s="23"/>
      <c r="F142" s="23"/>
      <c r="G142" s="23"/>
      <c r="H142" s="23"/>
      <c r="I142" s="23"/>
      <c r="J142" s="23"/>
      <c r="K142" s="23"/>
      <c r="L142" s="49"/>
    </row>
    <row r="143" customFormat="false" ht="15" hidden="true" customHeight="false" outlineLevel="1" collapsed="false">
      <c r="A143" s="20" t="n">
        <v>116</v>
      </c>
      <c r="B143" s="6" t="s">
        <v>695</v>
      </c>
      <c r="C143" s="20" t="s">
        <v>71</v>
      </c>
      <c r="D143" s="51" t="n">
        <f aca="false">J90</f>
        <v>74.6329671070812</v>
      </c>
      <c r="E143" s="23"/>
      <c r="F143" s="23"/>
      <c r="G143" s="23"/>
      <c r="H143" s="23"/>
      <c r="I143" s="23"/>
      <c r="J143" s="23"/>
      <c r="K143" s="23"/>
      <c r="L143" s="49"/>
    </row>
    <row r="144" customFormat="false" ht="15" hidden="true" customHeight="false" outlineLevel="1" collapsed="false">
      <c r="A144" s="20" t="n">
        <v>117</v>
      </c>
      <c r="B144" s="6" t="s">
        <v>696</v>
      </c>
      <c r="C144" s="20" t="s">
        <v>71</v>
      </c>
      <c r="D144" s="51" t="n">
        <f aca="false">J120</f>
        <v>20.0798082689889</v>
      </c>
      <c r="E144" s="23"/>
      <c r="F144" s="23"/>
      <c r="G144" s="23"/>
      <c r="H144" s="23"/>
      <c r="I144" s="23"/>
      <c r="J144" s="23"/>
      <c r="K144" s="23"/>
      <c r="L144" s="49"/>
    </row>
    <row r="145" customFormat="false" ht="15" hidden="true" customHeight="false" outlineLevel="1" collapsed="false">
      <c r="A145" s="20" t="n">
        <v>118</v>
      </c>
      <c r="B145" s="6" t="s">
        <v>697</v>
      </c>
      <c r="C145" s="20" t="s">
        <v>76</v>
      </c>
      <c r="D145" s="54" t="n">
        <f aca="false">J81</f>
        <v>11</v>
      </c>
      <c r="E145" s="23"/>
      <c r="F145" s="23"/>
      <c r="G145" s="23"/>
      <c r="H145" s="23"/>
      <c r="I145" s="23"/>
      <c r="J145" s="23"/>
      <c r="K145" s="23"/>
      <c r="L145" s="49"/>
    </row>
    <row r="146" customFormat="false" ht="15" hidden="true" customHeight="false" outlineLevel="1" collapsed="false">
      <c r="A146" s="20" t="n">
        <v>119</v>
      </c>
      <c r="B146" s="6" t="s">
        <v>698</v>
      </c>
      <c r="C146" s="20" t="s">
        <v>53</v>
      </c>
      <c r="D146" s="51" t="n">
        <f aca="false">J92</f>
        <v>8</v>
      </c>
      <c r="E146" s="23"/>
      <c r="F146" s="23"/>
      <c r="G146" s="23"/>
      <c r="H146" s="23"/>
      <c r="I146" s="23"/>
      <c r="J146" s="23"/>
      <c r="K146" s="23"/>
      <c r="L146" s="49"/>
    </row>
    <row r="147" customFormat="false" ht="15" hidden="true" customHeight="false" outlineLevel="1" collapsed="false">
      <c r="A147" s="20" t="n">
        <v>120</v>
      </c>
      <c r="B147" s="6" t="s">
        <v>699</v>
      </c>
      <c r="C147" s="20" t="s">
        <v>71</v>
      </c>
      <c r="D147" s="51" t="n">
        <f aca="false">MIN(0,MIN(F132:J132))</f>
        <v>-27.7768958709497</v>
      </c>
      <c r="E147" s="23"/>
      <c r="F147" s="23"/>
      <c r="G147" s="23"/>
      <c r="H147" s="23"/>
      <c r="I147" s="23"/>
      <c r="J147" s="23"/>
      <c r="K147" s="23"/>
      <c r="L147" s="49"/>
    </row>
    <row r="148" customFormat="false" ht="15" hidden="true" customHeight="false" outlineLevel="1" collapsed="false">
      <c r="A148" s="20" t="n">
        <v>121</v>
      </c>
      <c r="B148" s="6" t="s">
        <v>700</v>
      </c>
      <c r="C148" s="20" t="s">
        <v>71</v>
      </c>
      <c r="D148" s="51" t="n">
        <f aca="false">-$D$147*(1+$D$53)</f>
        <v>33.3322750451396</v>
      </c>
      <c r="E148" s="23"/>
      <c r="F148" s="23"/>
      <c r="G148" s="23"/>
      <c r="H148" s="23"/>
      <c r="I148" s="23"/>
      <c r="J148" s="23"/>
      <c r="K148" s="23"/>
      <c r="L148" s="49"/>
    </row>
    <row r="149" customFormat="false" ht="15" hidden="true" customHeight="false" outlineLevel="1" collapsed="false">
      <c r="A149" s="20" t="n">
        <v>122</v>
      </c>
      <c r="B149" s="6" t="s">
        <v>701</v>
      </c>
      <c r="C149" s="20" t="s">
        <v>71</v>
      </c>
      <c r="D149" s="51" t="n">
        <f aca="false">J132</f>
        <v>-12.5675066137707</v>
      </c>
      <c r="E149" s="23"/>
      <c r="F149" s="23"/>
      <c r="G149" s="23"/>
      <c r="H149" s="23"/>
      <c r="I149" s="23"/>
      <c r="J149" s="23"/>
      <c r="K149" s="23"/>
      <c r="L149" s="49"/>
    </row>
    <row r="150" customFormat="false" ht="15" hidden="true" customHeight="false" outlineLevel="1" collapsed="false">
      <c r="A150" s="20" t="n">
        <v>123</v>
      </c>
      <c r="B150" s="6" t="s">
        <v>702</v>
      </c>
      <c r="C150" s="20" t="s">
        <v>71</v>
      </c>
      <c r="D150" s="51" t="n">
        <f aca="false">SUM(F134:J134)</f>
        <v>-14.756216473531</v>
      </c>
      <c r="E150" s="23"/>
      <c r="F150" s="23"/>
      <c r="G150" s="23"/>
      <c r="H150" s="23"/>
      <c r="I150" s="23"/>
      <c r="J150" s="23"/>
      <c r="K150" s="23"/>
      <c r="L150" s="49"/>
    </row>
    <row r="151" customFormat="false" ht="15" hidden="true" customHeight="false" outlineLevel="1" collapsed="false">
      <c r="A151" s="20" t="n">
        <v>124</v>
      </c>
      <c r="B151" s="6" t="s">
        <v>82</v>
      </c>
      <c r="C151" s="20" t="s">
        <v>71</v>
      </c>
      <c r="D151" s="51" t="n">
        <f aca="false">SUM(F134:J134)+SUM(F136:J136)</f>
        <v>-0.149594728978126</v>
      </c>
      <c r="E151" s="23"/>
      <c r="F151" s="23"/>
      <c r="G151" s="23"/>
      <c r="H151" s="23"/>
      <c r="I151" s="23"/>
      <c r="J151" s="23"/>
      <c r="K151" s="23"/>
      <c r="L151" s="49"/>
    </row>
    <row r="152" customFormat="false" ht="15" hidden="true" customHeight="false" outlineLevel="1" collapsed="false">
      <c r="A152" s="20" t="n">
        <v>125</v>
      </c>
      <c r="B152" s="6" t="s">
        <v>83</v>
      </c>
      <c r="C152" s="20" t="s">
        <v>68</v>
      </c>
      <c r="D152" s="55" t="n">
        <f aca="false">IFERROR(IRR(F137:J137),"н/д")</f>
        <v>0.297119976508342</v>
      </c>
      <c r="E152" s="23"/>
      <c r="F152" s="23"/>
      <c r="G152" s="23"/>
      <c r="H152" s="23"/>
      <c r="I152" s="23"/>
      <c r="J152" s="23"/>
      <c r="K152" s="23"/>
      <c r="L152" s="49"/>
    </row>
    <row r="153" customFormat="false" ht="15" hidden="true" customHeight="false" outlineLevel="1" collapsed="false">
      <c r="A153" s="20" t="n">
        <v>126</v>
      </c>
      <c r="B153" s="6" t="s">
        <v>13</v>
      </c>
      <c r="C153" s="20" t="s">
        <v>79</v>
      </c>
      <c r="D153" s="56" t="n">
        <f aca="false">IF(COUNT(F138:J138)=0,"после 2031",MIN(F138:J138))</f>
        <v>2029</v>
      </c>
      <c r="E153" s="23"/>
      <c r="F153" s="23"/>
      <c r="G153" s="23"/>
      <c r="H153" s="23"/>
      <c r="I153" s="23"/>
      <c r="J153" s="23"/>
      <c r="K153" s="23"/>
      <c r="L153" s="49"/>
    </row>
    <row r="154" customFormat="false" ht="15" hidden="true" customHeight="false" outlineLevel="1" collapsed="false">
      <c r="A154" s="20" t="n">
        <v>127</v>
      </c>
      <c r="B154" s="6" t="s">
        <v>703</v>
      </c>
      <c r="C154" s="20" t="s">
        <v>79</v>
      </c>
      <c r="D154" s="56" t="str">
        <f aca="false">IF(COUNT(F139:J139)=0,"после 2031",MIN(F139:J139))</f>
        <v>после 2031</v>
      </c>
      <c r="E154" s="23"/>
      <c r="F154" s="23"/>
      <c r="G154" s="23"/>
      <c r="H154" s="23"/>
      <c r="I154" s="23"/>
      <c r="J154" s="23"/>
      <c r="K154" s="23"/>
      <c r="L154" s="49"/>
    </row>
    <row r="157" customFormat="false" ht="15" hidden="true" customHeight="false" outlineLevel="1" collapsed="false">
      <c r="A157" s="57" t="s">
        <v>724</v>
      </c>
    </row>
    <row r="158" customFormat="false" ht="30" hidden="true" customHeight="true" outlineLevel="1" collapsed="false">
      <c r="A158" s="4" t="s">
        <v>49</v>
      </c>
      <c r="B158" s="4" t="s">
        <v>3</v>
      </c>
      <c r="C158" s="5" t="s">
        <v>50</v>
      </c>
      <c r="D158" s="5" t="s">
        <v>551</v>
      </c>
      <c r="E158" s="5" t="s">
        <v>356</v>
      </c>
      <c r="F158" s="5" t="s">
        <v>86</v>
      </c>
      <c r="G158" s="5" t="s">
        <v>87</v>
      </c>
      <c r="H158" s="5" t="s">
        <v>88</v>
      </c>
      <c r="I158" s="5" t="s">
        <v>89</v>
      </c>
      <c r="J158" s="5" t="s">
        <v>90</v>
      </c>
      <c r="K158" s="5" t="s">
        <v>552</v>
      </c>
      <c r="L158" s="5" t="s">
        <v>393</v>
      </c>
    </row>
    <row r="159" customFormat="false" ht="15" hidden="true" customHeight="false" outlineLevel="1" collapsed="false">
      <c r="A159" s="19" t="s">
        <v>553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customFormat="false" ht="15" hidden="true" customHeight="false" outlineLevel="1" collapsed="false">
      <c r="A160" s="20" t="n">
        <v>1</v>
      </c>
      <c r="B160" s="6" t="s">
        <v>554</v>
      </c>
      <c r="C160" s="20" t="s">
        <v>79</v>
      </c>
      <c r="D160" s="10" t="n">
        <f aca="false">Допущения!$E$49</f>
        <v>2027</v>
      </c>
      <c r="E160" s="23"/>
      <c r="F160" s="23"/>
      <c r="G160" s="23"/>
      <c r="H160" s="23"/>
      <c r="I160" s="23"/>
      <c r="J160" s="23"/>
      <c r="K160" s="23"/>
      <c r="L160" s="49"/>
    </row>
    <row r="161" customFormat="false" ht="15" hidden="true" customHeight="false" outlineLevel="1" collapsed="false">
      <c r="A161" s="20" t="n">
        <v>2</v>
      </c>
      <c r="B161" s="6" t="s">
        <v>555</v>
      </c>
      <c r="C161" s="20" t="s">
        <v>105</v>
      </c>
      <c r="D161" s="45" t="n">
        <f aca="false">Допущения!$E$7</f>
        <v>1.8</v>
      </c>
      <c r="E161" s="23"/>
      <c r="F161" s="23"/>
      <c r="G161" s="23"/>
      <c r="H161" s="23"/>
      <c r="I161" s="23"/>
      <c r="J161" s="23"/>
      <c r="K161" s="23"/>
      <c r="L161" s="49"/>
    </row>
    <row r="162" customFormat="false" ht="15" hidden="true" customHeight="false" outlineLevel="1" collapsed="false">
      <c r="A162" s="20" t="n">
        <v>3</v>
      </c>
      <c r="B162" s="6" t="s">
        <v>556</v>
      </c>
      <c r="C162" s="20" t="s">
        <v>55</v>
      </c>
      <c r="D162" s="9" t="n">
        <f aca="false">Допущения!$E$42*0.8</f>
        <v>4.8</v>
      </c>
      <c r="E162" s="23"/>
      <c r="F162" s="23"/>
      <c r="G162" s="23"/>
      <c r="H162" s="23"/>
      <c r="I162" s="23"/>
      <c r="J162" s="23"/>
      <c r="K162" s="23"/>
      <c r="L162" s="49"/>
    </row>
    <row r="163" customFormat="false" ht="15" hidden="true" customHeight="false" outlineLevel="1" collapsed="false">
      <c r="A163" s="20" t="n">
        <v>4</v>
      </c>
      <c r="B163" s="6" t="s">
        <v>557</v>
      </c>
      <c r="C163" s="20" t="s">
        <v>244</v>
      </c>
      <c r="D163" s="9" t="n">
        <f aca="false">Допущения!$E$43*0.8</f>
        <v>4</v>
      </c>
      <c r="E163" s="23"/>
      <c r="F163" s="23"/>
      <c r="G163" s="23"/>
      <c r="H163" s="23"/>
      <c r="I163" s="23"/>
      <c r="J163" s="23"/>
      <c r="K163" s="23"/>
      <c r="L163" s="49"/>
    </row>
    <row r="164" customFormat="false" ht="15" hidden="true" customHeight="false" outlineLevel="1" collapsed="false">
      <c r="A164" s="20" t="n">
        <v>5</v>
      </c>
      <c r="B164" s="6" t="s">
        <v>558</v>
      </c>
      <c r="C164" s="20" t="s">
        <v>55</v>
      </c>
      <c r="D164" s="9" t="n">
        <f aca="false">Допущения!$E$44*0.8</f>
        <v>1.2</v>
      </c>
      <c r="E164" s="23"/>
      <c r="F164" s="23"/>
      <c r="G164" s="23"/>
      <c r="H164" s="23"/>
      <c r="I164" s="23"/>
      <c r="J164" s="23"/>
      <c r="K164" s="23"/>
      <c r="L164" s="49"/>
    </row>
    <row r="165" customFormat="false" ht="15" hidden="true" customHeight="false" outlineLevel="1" collapsed="false">
      <c r="A165" s="20" t="n">
        <v>6</v>
      </c>
      <c r="B165" s="6" t="s">
        <v>559</v>
      </c>
      <c r="C165" s="20" t="s">
        <v>71</v>
      </c>
      <c r="D165" s="9" t="n">
        <f aca="false">Допущения!$E$45</f>
        <v>8</v>
      </c>
      <c r="E165" s="23"/>
      <c r="F165" s="23"/>
      <c r="G165" s="23"/>
      <c r="H165" s="23"/>
      <c r="I165" s="23"/>
      <c r="J165" s="23"/>
      <c r="K165" s="23"/>
      <c r="L165" s="49"/>
    </row>
    <row r="166" customFormat="false" ht="15" hidden="true" customHeight="false" outlineLevel="1" collapsed="false">
      <c r="A166" s="20" t="n">
        <v>7</v>
      </c>
      <c r="B166" s="6" t="s">
        <v>560</v>
      </c>
      <c r="C166" s="20" t="s">
        <v>71</v>
      </c>
      <c r="D166" s="9" t="n">
        <f aca="false">Допущения!$E$46</f>
        <v>2</v>
      </c>
      <c r="E166" s="23"/>
      <c r="F166" s="23"/>
      <c r="G166" s="23"/>
      <c r="H166" s="23"/>
      <c r="I166" s="23"/>
      <c r="J166" s="23"/>
      <c r="K166" s="23"/>
      <c r="L166" s="49"/>
    </row>
    <row r="167" customFormat="false" ht="15" hidden="true" customHeight="false" outlineLevel="1" collapsed="false">
      <c r="A167" s="20" t="n">
        <v>8</v>
      </c>
      <c r="B167" s="6" t="s">
        <v>260</v>
      </c>
      <c r="C167" s="20" t="s">
        <v>261</v>
      </c>
      <c r="D167" s="22" t="n">
        <f aca="false">Допущения!$E$47</f>
        <v>0.05</v>
      </c>
      <c r="E167" s="23"/>
      <c r="F167" s="23"/>
      <c r="G167" s="23"/>
      <c r="H167" s="23"/>
      <c r="I167" s="23"/>
      <c r="J167" s="23"/>
      <c r="K167" s="23"/>
      <c r="L167" s="49"/>
    </row>
    <row r="168" customFormat="false" ht="15" hidden="true" customHeight="false" outlineLevel="1" collapsed="false">
      <c r="A168" s="20" t="n">
        <v>9</v>
      </c>
      <c r="B168" s="6" t="s">
        <v>561</v>
      </c>
      <c r="C168" s="20" t="s">
        <v>261</v>
      </c>
      <c r="D168" s="22" t="n">
        <f aca="false">Допущения!$E$48</f>
        <v>0.15</v>
      </c>
      <c r="E168" s="23"/>
      <c r="F168" s="23"/>
      <c r="G168" s="23"/>
      <c r="H168" s="23"/>
      <c r="I168" s="23"/>
      <c r="J168" s="23"/>
      <c r="K168" s="23"/>
      <c r="L168" s="49"/>
    </row>
    <row r="169" customFormat="false" ht="15" hidden="true" customHeight="false" outlineLevel="1" collapsed="false">
      <c r="A169" s="20" t="n">
        <v>10</v>
      </c>
      <c r="B169" s="6" t="s">
        <v>274</v>
      </c>
      <c r="C169" s="20" t="s">
        <v>261</v>
      </c>
      <c r="D169" s="22" t="n">
        <f aca="false">Допущения!$E$51</f>
        <v>0.07</v>
      </c>
      <c r="E169" s="23"/>
      <c r="F169" s="23"/>
      <c r="G169" s="23"/>
      <c r="H169" s="23"/>
      <c r="I169" s="23"/>
      <c r="J169" s="23"/>
      <c r="K169" s="23"/>
      <c r="L169" s="49"/>
    </row>
    <row r="170" customFormat="false" ht="15" hidden="true" customHeight="false" outlineLevel="1" collapsed="false">
      <c r="A170" s="20" t="n">
        <v>11</v>
      </c>
      <c r="B170" s="6" t="s">
        <v>562</v>
      </c>
      <c r="C170" s="20" t="s">
        <v>68</v>
      </c>
      <c r="D170" s="22" t="n">
        <f aca="false">Допущения!$E$52</f>
        <v>0.15</v>
      </c>
      <c r="E170" s="23"/>
      <c r="F170" s="23"/>
      <c r="G170" s="23"/>
      <c r="H170" s="23"/>
      <c r="I170" s="23"/>
      <c r="J170" s="23"/>
      <c r="K170" s="23"/>
      <c r="L170" s="49"/>
    </row>
    <row r="171" customFormat="false" ht="15" hidden="true" customHeight="false" outlineLevel="1" collapsed="false">
      <c r="A171" s="20" t="n">
        <v>12</v>
      </c>
      <c r="B171" s="6" t="s">
        <v>563</v>
      </c>
      <c r="C171" s="20" t="s">
        <v>68</v>
      </c>
      <c r="D171" s="22" t="n">
        <f aca="false">Допущения!$E$53</f>
        <v>0.076</v>
      </c>
      <c r="E171" s="23"/>
      <c r="F171" s="23"/>
      <c r="G171" s="23"/>
      <c r="H171" s="23"/>
      <c r="I171" s="23"/>
      <c r="J171" s="23"/>
      <c r="K171" s="23"/>
      <c r="L171" s="49"/>
    </row>
    <row r="172" customFormat="false" ht="15" hidden="true" customHeight="false" outlineLevel="1" collapsed="false">
      <c r="A172" s="20" t="n">
        <v>13</v>
      </c>
      <c r="B172" s="6" t="s">
        <v>284</v>
      </c>
      <c r="C172" s="20" t="s">
        <v>68</v>
      </c>
      <c r="D172" s="22" t="n">
        <f aca="false">Допущения!$E$54</f>
        <v>0.002</v>
      </c>
      <c r="E172" s="23"/>
      <c r="F172" s="23"/>
      <c r="G172" s="23"/>
      <c r="H172" s="23"/>
      <c r="I172" s="23"/>
      <c r="J172" s="23"/>
      <c r="K172" s="23"/>
      <c r="L172" s="49"/>
    </row>
    <row r="173" customFormat="false" ht="15" hidden="true" customHeight="false" outlineLevel="1" collapsed="false">
      <c r="A173" s="20" t="n">
        <v>14</v>
      </c>
      <c r="B173" s="6" t="s">
        <v>564</v>
      </c>
      <c r="C173" s="20" t="s">
        <v>55</v>
      </c>
      <c r="D173" s="50" t="n">
        <f aca="false">Допущения!$E$55</f>
        <v>2.979</v>
      </c>
      <c r="E173" s="23"/>
      <c r="F173" s="23"/>
      <c r="G173" s="23"/>
      <c r="H173" s="23"/>
      <c r="I173" s="23"/>
      <c r="J173" s="23"/>
      <c r="K173" s="23"/>
      <c r="L173" s="49"/>
    </row>
    <row r="174" customFormat="false" ht="15" hidden="true" customHeight="false" outlineLevel="1" collapsed="false">
      <c r="A174" s="20" t="n">
        <v>15</v>
      </c>
      <c r="B174" s="6" t="s">
        <v>565</v>
      </c>
      <c r="C174" s="20" t="s">
        <v>261</v>
      </c>
      <c r="D174" s="22" t="n">
        <f aca="false">Допущения!$E$56</f>
        <v>0.08</v>
      </c>
      <c r="E174" s="23"/>
      <c r="F174" s="23"/>
      <c r="G174" s="23"/>
      <c r="H174" s="23"/>
      <c r="I174" s="23"/>
      <c r="J174" s="23"/>
      <c r="K174" s="23"/>
      <c r="L174" s="49"/>
    </row>
    <row r="175" customFormat="false" ht="15" hidden="true" customHeight="false" outlineLevel="1" collapsed="false">
      <c r="A175" s="20" t="n">
        <v>16</v>
      </c>
      <c r="B175" s="6" t="s">
        <v>566</v>
      </c>
      <c r="C175" s="20" t="s">
        <v>71</v>
      </c>
      <c r="D175" s="9" t="n">
        <f aca="false">Допущения!$E$58</f>
        <v>2.5</v>
      </c>
      <c r="E175" s="23"/>
      <c r="F175" s="23"/>
      <c r="G175" s="23"/>
      <c r="H175" s="23"/>
      <c r="I175" s="23"/>
      <c r="J175" s="23"/>
      <c r="K175" s="23"/>
      <c r="L175" s="49"/>
    </row>
    <row r="176" customFormat="false" ht="15" hidden="true" customHeight="false" outlineLevel="1" collapsed="false">
      <c r="A176" s="20" t="n">
        <v>17</v>
      </c>
      <c r="B176" s="6" t="s">
        <v>299</v>
      </c>
      <c r="C176" s="20" t="s">
        <v>55</v>
      </c>
      <c r="D176" s="9" t="n">
        <f aca="false">Допущения!$E$59</f>
        <v>1</v>
      </c>
      <c r="E176" s="23"/>
      <c r="F176" s="23"/>
      <c r="G176" s="23"/>
      <c r="H176" s="23"/>
      <c r="I176" s="23"/>
      <c r="J176" s="23"/>
      <c r="K176" s="23"/>
      <c r="L176" s="49"/>
    </row>
    <row r="177" customFormat="false" ht="15" hidden="true" customHeight="false" outlineLevel="1" collapsed="false">
      <c r="A177" s="20" t="n">
        <v>18</v>
      </c>
      <c r="B177" s="6" t="s">
        <v>302</v>
      </c>
      <c r="C177" s="20" t="s">
        <v>55</v>
      </c>
      <c r="D177" s="9" t="n">
        <f aca="false">Допущения!$E$60</f>
        <v>0.6</v>
      </c>
      <c r="E177" s="23"/>
      <c r="F177" s="23"/>
      <c r="G177" s="23"/>
      <c r="H177" s="23"/>
      <c r="I177" s="23"/>
      <c r="J177" s="23"/>
      <c r="K177" s="23"/>
      <c r="L177" s="49"/>
    </row>
    <row r="178" customFormat="false" ht="15" hidden="true" customHeight="false" outlineLevel="1" collapsed="false">
      <c r="A178" s="20" t="n">
        <v>19</v>
      </c>
      <c r="B178" s="6" t="s">
        <v>567</v>
      </c>
      <c r="C178" s="20" t="s">
        <v>55</v>
      </c>
      <c r="D178" s="45" t="n">
        <f aca="false">Допущения!$E$61</f>
        <v>0.15</v>
      </c>
      <c r="E178" s="23"/>
      <c r="F178" s="23"/>
      <c r="G178" s="23"/>
      <c r="H178" s="23"/>
      <c r="I178" s="23"/>
      <c r="J178" s="23"/>
      <c r="K178" s="23"/>
      <c r="L178" s="49"/>
    </row>
    <row r="179" customFormat="false" ht="15" hidden="true" customHeight="false" outlineLevel="1" collapsed="false">
      <c r="A179" s="20" t="n">
        <v>20</v>
      </c>
      <c r="B179" s="6" t="s">
        <v>568</v>
      </c>
      <c r="C179" s="20" t="s">
        <v>55</v>
      </c>
      <c r="D179" s="9" t="n">
        <f aca="false">Допущения!$E$62</f>
        <v>1</v>
      </c>
      <c r="E179" s="23"/>
      <c r="F179" s="23"/>
      <c r="G179" s="23"/>
      <c r="H179" s="23"/>
      <c r="I179" s="23"/>
      <c r="J179" s="23"/>
      <c r="K179" s="23"/>
      <c r="L179" s="49"/>
    </row>
    <row r="180" customFormat="false" ht="15" hidden="true" customHeight="false" outlineLevel="1" collapsed="false">
      <c r="A180" s="20" t="n">
        <v>21</v>
      </c>
      <c r="B180" s="6" t="s">
        <v>569</v>
      </c>
      <c r="C180" s="20" t="s">
        <v>71</v>
      </c>
      <c r="D180" s="9" t="n">
        <f aca="false">Допущения!$E$63</f>
        <v>0.4</v>
      </c>
      <c r="E180" s="23"/>
      <c r="F180" s="23"/>
      <c r="G180" s="23"/>
      <c r="H180" s="23"/>
      <c r="I180" s="23"/>
      <c r="J180" s="23"/>
      <c r="K180" s="23"/>
      <c r="L180" s="49"/>
    </row>
    <row r="181" customFormat="false" ht="15" hidden="true" customHeight="false" outlineLevel="1" collapsed="false">
      <c r="A181" s="20" t="n">
        <v>22</v>
      </c>
      <c r="B181" s="6" t="s">
        <v>314</v>
      </c>
      <c r="C181" s="20" t="s">
        <v>55</v>
      </c>
      <c r="D181" s="9" t="n">
        <f aca="false">Допущения!$E$64</f>
        <v>1.2</v>
      </c>
      <c r="E181" s="23"/>
      <c r="F181" s="23"/>
      <c r="G181" s="23"/>
      <c r="H181" s="23"/>
      <c r="I181" s="23"/>
      <c r="J181" s="23"/>
      <c r="K181" s="23"/>
      <c r="L181" s="49"/>
    </row>
    <row r="182" customFormat="false" ht="15" hidden="true" customHeight="false" outlineLevel="1" collapsed="false">
      <c r="A182" s="20" t="n">
        <v>23</v>
      </c>
      <c r="B182" s="6" t="s">
        <v>317</v>
      </c>
      <c r="C182" s="20" t="s">
        <v>55</v>
      </c>
      <c r="D182" s="45" t="n">
        <f aca="false">Допущения!$E$65</f>
        <v>0.1</v>
      </c>
      <c r="E182" s="23"/>
      <c r="F182" s="23"/>
      <c r="G182" s="23"/>
      <c r="H182" s="23"/>
      <c r="I182" s="23"/>
      <c r="J182" s="23"/>
      <c r="K182" s="23"/>
      <c r="L182" s="49"/>
    </row>
    <row r="183" customFormat="false" ht="15" hidden="true" customHeight="false" outlineLevel="1" collapsed="false">
      <c r="A183" s="20" t="n">
        <v>24</v>
      </c>
      <c r="B183" s="6" t="s">
        <v>320</v>
      </c>
      <c r="C183" s="20" t="s">
        <v>71</v>
      </c>
      <c r="D183" s="45" t="n">
        <f aca="false">Допущения!$E$66</f>
        <v>0.25</v>
      </c>
      <c r="E183" s="23"/>
      <c r="F183" s="23"/>
      <c r="G183" s="23"/>
      <c r="H183" s="23"/>
      <c r="I183" s="23"/>
      <c r="J183" s="23"/>
      <c r="K183" s="23"/>
      <c r="L183" s="49"/>
    </row>
    <row r="184" customFormat="false" ht="15" hidden="true" customHeight="false" outlineLevel="1" collapsed="false">
      <c r="A184" s="20" t="n">
        <v>25</v>
      </c>
      <c r="B184" s="6" t="s">
        <v>570</v>
      </c>
      <c r="C184" s="20" t="s">
        <v>71</v>
      </c>
      <c r="D184" s="9" t="n">
        <f aca="false">Допущения!$E$67</f>
        <v>0.3</v>
      </c>
      <c r="E184" s="23"/>
      <c r="F184" s="23"/>
      <c r="G184" s="23"/>
      <c r="H184" s="23"/>
      <c r="I184" s="23"/>
      <c r="J184" s="23"/>
      <c r="K184" s="23"/>
      <c r="L184" s="49"/>
    </row>
    <row r="185" customFormat="false" ht="15" hidden="true" customHeight="false" outlineLevel="1" collapsed="false">
      <c r="A185" s="20" t="n">
        <v>26</v>
      </c>
      <c r="B185" s="6" t="s">
        <v>326</v>
      </c>
      <c r="C185" s="20" t="s">
        <v>261</v>
      </c>
      <c r="D185" s="22" t="n">
        <f aca="false">Допущения!$E$68</f>
        <v>0.05</v>
      </c>
      <c r="E185" s="23"/>
      <c r="F185" s="23"/>
      <c r="G185" s="23"/>
      <c r="H185" s="23"/>
      <c r="I185" s="23"/>
      <c r="J185" s="23"/>
      <c r="K185" s="23"/>
      <c r="L185" s="49"/>
    </row>
    <row r="186" customFormat="false" ht="15" hidden="true" customHeight="false" outlineLevel="1" collapsed="false">
      <c r="A186" s="20" t="n">
        <v>27</v>
      </c>
      <c r="B186" s="6" t="s">
        <v>571</v>
      </c>
      <c r="C186" s="20" t="s">
        <v>330</v>
      </c>
      <c r="D186" s="22" t="n">
        <f aca="false">Допущения!$E$69</f>
        <v>0.1</v>
      </c>
      <c r="E186" s="23"/>
      <c r="F186" s="23"/>
      <c r="G186" s="23"/>
      <c r="H186" s="23"/>
      <c r="I186" s="23"/>
      <c r="J186" s="23"/>
      <c r="K186" s="23"/>
      <c r="L186" s="49"/>
    </row>
    <row r="187" customFormat="false" ht="15" hidden="true" customHeight="false" outlineLevel="1" collapsed="false">
      <c r="A187" s="20" t="n">
        <v>28</v>
      </c>
      <c r="B187" s="6" t="s">
        <v>572</v>
      </c>
      <c r="C187" s="20" t="s">
        <v>68</v>
      </c>
      <c r="D187" s="22" t="n">
        <f aca="false">Допущения!$E$71</f>
        <v>0.05</v>
      </c>
      <c r="E187" s="23"/>
      <c r="F187" s="23"/>
      <c r="G187" s="23"/>
      <c r="H187" s="23"/>
      <c r="I187" s="23"/>
      <c r="J187" s="23"/>
      <c r="K187" s="23"/>
      <c r="L187" s="49"/>
    </row>
    <row r="188" customFormat="false" ht="15" hidden="true" customHeight="false" outlineLevel="1" collapsed="false">
      <c r="A188" s="20" t="n">
        <v>29</v>
      </c>
      <c r="B188" s="6" t="s">
        <v>573</v>
      </c>
      <c r="C188" s="20" t="s">
        <v>68</v>
      </c>
      <c r="D188" s="22" t="n">
        <f aca="false">Допущения!$E$72</f>
        <v>0.5</v>
      </c>
      <c r="E188" s="23"/>
      <c r="F188" s="23"/>
      <c r="G188" s="23"/>
      <c r="H188" s="23"/>
      <c r="I188" s="23"/>
      <c r="J188" s="23"/>
      <c r="K188" s="23"/>
      <c r="L188" s="49"/>
    </row>
    <row r="189" customFormat="false" ht="15" hidden="true" customHeight="false" outlineLevel="1" collapsed="false">
      <c r="A189" s="20" t="n">
        <v>30</v>
      </c>
      <c r="B189" s="6" t="s">
        <v>574</v>
      </c>
      <c r="C189" s="20" t="s">
        <v>575</v>
      </c>
      <c r="D189" s="7" t="n">
        <f aca="false">Допущения!$E$73</f>
        <v>90</v>
      </c>
      <c r="E189" s="23"/>
      <c r="F189" s="23"/>
      <c r="G189" s="23"/>
      <c r="H189" s="23"/>
      <c r="I189" s="23"/>
      <c r="J189" s="23"/>
      <c r="K189" s="23"/>
      <c r="L189" s="49"/>
    </row>
    <row r="190" customFormat="false" ht="15" hidden="true" customHeight="false" outlineLevel="1" collapsed="false">
      <c r="A190" s="20" t="n">
        <v>31</v>
      </c>
      <c r="B190" s="6" t="s">
        <v>345</v>
      </c>
      <c r="C190" s="20" t="s">
        <v>68</v>
      </c>
      <c r="D190" s="22" t="n">
        <f aca="false">Допущения!$E$74</f>
        <v>0.3</v>
      </c>
      <c r="E190" s="23"/>
      <c r="F190" s="23"/>
      <c r="G190" s="23"/>
      <c r="H190" s="23"/>
      <c r="I190" s="23"/>
      <c r="J190" s="23"/>
      <c r="K190" s="23"/>
      <c r="L190" s="49"/>
    </row>
    <row r="191" customFormat="false" ht="15" hidden="true" customHeight="false" outlineLevel="1" collapsed="false">
      <c r="A191" s="20" t="n">
        <v>32</v>
      </c>
      <c r="B191" s="6" t="s">
        <v>576</v>
      </c>
      <c r="C191" s="20" t="s">
        <v>261</v>
      </c>
      <c r="D191" s="22" t="n">
        <f aca="false">Допущения!$E$75</f>
        <v>0.04</v>
      </c>
      <c r="E191" s="23"/>
      <c r="F191" s="23"/>
      <c r="G191" s="23"/>
      <c r="H191" s="23"/>
      <c r="I191" s="23"/>
      <c r="J191" s="23"/>
      <c r="K191" s="23"/>
      <c r="L191" s="49"/>
    </row>
    <row r="192" customFormat="false" ht="15" hidden="true" customHeight="false" outlineLevel="1" collapsed="false">
      <c r="A192" s="20" t="n">
        <v>33</v>
      </c>
      <c r="B192" s="6" t="s">
        <v>577</v>
      </c>
      <c r="C192" s="20" t="s">
        <v>68</v>
      </c>
      <c r="D192" s="22" t="n">
        <f aca="false">Допущения!$E$76</f>
        <v>0.2</v>
      </c>
      <c r="E192" s="23"/>
      <c r="F192" s="23"/>
      <c r="G192" s="23"/>
      <c r="H192" s="23"/>
      <c r="I192" s="23"/>
      <c r="J192" s="23"/>
      <c r="K192" s="23"/>
      <c r="L192" s="49"/>
    </row>
    <row r="193" customFormat="false" ht="15" hidden="true" customHeight="false" outlineLevel="1" collapsed="false">
      <c r="A193" s="20" t="n">
        <v>34</v>
      </c>
      <c r="B193" s="6" t="s">
        <v>578</v>
      </c>
      <c r="C193" s="20" t="s">
        <v>105</v>
      </c>
      <c r="D193" s="50" t="n">
        <f aca="false">Рынок!$E$30</f>
        <v>0.490909090909091</v>
      </c>
      <c r="E193" s="23"/>
      <c r="F193" s="23"/>
      <c r="G193" s="23"/>
      <c r="H193" s="23"/>
      <c r="I193" s="23"/>
      <c r="J193" s="23"/>
      <c r="K193" s="23"/>
      <c r="L193" s="49" t="s">
        <v>579</v>
      </c>
    </row>
    <row r="194" customFormat="false" ht="15" hidden="true" customHeight="false" outlineLevel="1" collapsed="false">
      <c r="A194" s="20" t="n">
        <v>35</v>
      </c>
      <c r="B194" s="6" t="s">
        <v>580</v>
      </c>
      <c r="C194" s="20" t="s">
        <v>105</v>
      </c>
      <c r="D194" s="50" t="n">
        <f aca="false">Рынок!$E$31</f>
        <v>0.028125</v>
      </c>
      <c r="E194" s="23"/>
      <c r="F194" s="23"/>
      <c r="G194" s="23"/>
      <c r="H194" s="23"/>
      <c r="I194" s="23"/>
      <c r="J194" s="23"/>
      <c r="K194" s="23"/>
      <c r="L194" s="49" t="s">
        <v>579</v>
      </c>
    </row>
    <row r="195" customFormat="false" ht="15" hidden="true" customHeight="false" outlineLevel="1" collapsed="false">
      <c r="A195" s="20" t="n">
        <v>36</v>
      </c>
      <c r="B195" s="6" t="s">
        <v>581</v>
      </c>
      <c r="C195" s="20" t="s">
        <v>142</v>
      </c>
      <c r="D195" s="7" t="n">
        <f aca="false">План!$D$18</f>
        <v>200</v>
      </c>
      <c r="E195" s="23"/>
      <c r="F195" s="23"/>
      <c r="G195" s="23"/>
      <c r="H195" s="23"/>
      <c r="I195" s="23"/>
      <c r="J195" s="23"/>
      <c r="K195" s="23"/>
      <c r="L195" s="49" t="s">
        <v>582</v>
      </c>
    </row>
    <row r="196" customFormat="false" ht="15" hidden="true" customHeight="false" outlineLevel="1" collapsed="false">
      <c r="A196" s="20" t="n">
        <v>37</v>
      </c>
      <c r="B196" s="6" t="s">
        <v>583</v>
      </c>
      <c r="C196" s="20" t="s">
        <v>142</v>
      </c>
      <c r="D196" s="7" t="n">
        <f aca="false">План!$D$19</f>
        <v>280</v>
      </c>
      <c r="E196" s="23"/>
      <c r="F196" s="23"/>
      <c r="G196" s="23"/>
      <c r="H196" s="23"/>
      <c r="I196" s="23"/>
      <c r="J196" s="23"/>
      <c r="K196" s="23"/>
      <c r="L196" s="49" t="s">
        <v>582</v>
      </c>
    </row>
    <row r="197" customFormat="false" ht="15" hidden="true" customHeight="false" outlineLevel="1" collapsed="false">
      <c r="A197" s="20" t="n">
        <v>38</v>
      </c>
      <c r="B197" s="6" t="s">
        <v>584</v>
      </c>
      <c r="C197" s="20" t="s">
        <v>142</v>
      </c>
      <c r="D197" s="7" t="n">
        <f aca="false">План!$D$20</f>
        <v>230</v>
      </c>
      <c r="E197" s="23"/>
      <c r="F197" s="23"/>
      <c r="G197" s="23"/>
      <c r="H197" s="23"/>
      <c r="I197" s="23"/>
      <c r="J197" s="23"/>
      <c r="K197" s="23"/>
      <c r="L197" s="49" t="s">
        <v>582</v>
      </c>
    </row>
    <row r="198" customFormat="false" ht="15" hidden="true" customHeight="false" outlineLevel="1" collapsed="false">
      <c r="A198" s="20" t="n">
        <v>39</v>
      </c>
      <c r="B198" s="6" t="s">
        <v>585</v>
      </c>
      <c r="C198" s="20" t="s">
        <v>142</v>
      </c>
      <c r="D198" s="7" t="n">
        <f aca="false">План!$D$21</f>
        <v>220</v>
      </c>
      <c r="E198" s="23"/>
      <c r="F198" s="23"/>
      <c r="G198" s="23"/>
      <c r="H198" s="23"/>
      <c r="I198" s="23"/>
      <c r="J198" s="23"/>
      <c r="K198" s="23"/>
      <c r="L198" s="49" t="s">
        <v>582</v>
      </c>
    </row>
    <row r="199" customFormat="false" ht="15" hidden="true" customHeight="false" outlineLevel="1" collapsed="false">
      <c r="A199" s="20" t="n">
        <v>40</v>
      </c>
      <c r="B199" s="6" t="s">
        <v>586</v>
      </c>
      <c r="C199" s="20" t="s">
        <v>142</v>
      </c>
      <c r="D199" s="7" t="n">
        <f aca="false">План!$D$22</f>
        <v>250</v>
      </c>
      <c r="E199" s="23"/>
      <c r="F199" s="23"/>
      <c r="G199" s="23"/>
      <c r="H199" s="23"/>
      <c r="I199" s="23"/>
      <c r="J199" s="23"/>
      <c r="K199" s="23"/>
      <c r="L199" s="49" t="s">
        <v>582</v>
      </c>
    </row>
    <row r="200" customFormat="false" ht="15" hidden="true" customHeight="false" outlineLevel="1" collapsed="false">
      <c r="A200" s="20" t="n">
        <v>41</v>
      </c>
      <c r="B200" s="6" t="s">
        <v>587</v>
      </c>
      <c r="C200" s="20" t="s">
        <v>142</v>
      </c>
      <c r="D200" s="7" t="n">
        <f aca="false">План!$D$23</f>
        <v>220</v>
      </c>
      <c r="E200" s="23"/>
      <c r="F200" s="23"/>
      <c r="G200" s="23"/>
      <c r="H200" s="23"/>
      <c r="I200" s="23"/>
      <c r="J200" s="23"/>
      <c r="K200" s="23"/>
      <c r="L200" s="49" t="s">
        <v>582</v>
      </c>
    </row>
    <row r="201" customFormat="false" ht="15" hidden="true" customHeight="false" outlineLevel="1" collapsed="false">
      <c r="A201" s="20" t="n">
        <v>42</v>
      </c>
      <c r="B201" s="6" t="s">
        <v>359</v>
      </c>
      <c r="C201" s="20" t="s">
        <v>76</v>
      </c>
      <c r="D201" s="23"/>
      <c r="E201" s="9" t="n">
        <f aca="false">План!E16</f>
        <v>0</v>
      </c>
      <c r="F201" s="9" t="n">
        <f aca="false">План!F16</f>
        <v>0</v>
      </c>
      <c r="G201" s="9" t="n">
        <f aca="false">План!G16</f>
        <v>0</v>
      </c>
      <c r="H201" s="9" t="n">
        <f aca="false">План!H16</f>
        <v>1</v>
      </c>
      <c r="I201" s="9" t="n">
        <f aca="false">План!I16</f>
        <v>0</v>
      </c>
      <c r="J201" s="9" t="n">
        <f aca="false">План!J16</f>
        <v>1</v>
      </c>
      <c r="K201" s="51" t="n">
        <f aca="false">SUM(F201:J201)</f>
        <v>2</v>
      </c>
      <c r="L201" s="49" t="s">
        <v>582</v>
      </c>
    </row>
    <row r="202" customFormat="false" ht="15" hidden="true" customHeight="false" outlineLevel="1" collapsed="false">
      <c r="A202" s="20" t="n">
        <v>43</v>
      </c>
      <c r="B202" s="6" t="s">
        <v>361</v>
      </c>
      <c r="C202" s="20" t="s">
        <v>76</v>
      </c>
      <c r="D202" s="23"/>
      <c r="E202" s="9" t="n">
        <f aca="false">План!E17</f>
        <v>0</v>
      </c>
      <c r="F202" s="9" t="n">
        <f aca="false">План!F17</f>
        <v>0</v>
      </c>
      <c r="G202" s="9" t="n">
        <f aca="false">План!G17</f>
        <v>1</v>
      </c>
      <c r="H202" s="9" t="n">
        <f aca="false">План!H17</f>
        <v>2</v>
      </c>
      <c r="I202" s="9" t="n">
        <f aca="false">План!I17</f>
        <v>2</v>
      </c>
      <c r="J202" s="9" t="n">
        <f aca="false">План!J17</f>
        <v>3</v>
      </c>
      <c r="K202" s="51" t="n">
        <f aca="false">SUM(F202:J202)</f>
        <v>8</v>
      </c>
      <c r="L202" s="49" t="s">
        <v>582</v>
      </c>
    </row>
    <row r="203" customFormat="false" ht="15" hidden="true" customHeight="false" outlineLevel="1" collapsed="false">
      <c r="A203" s="20" t="n">
        <v>44</v>
      </c>
      <c r="B203" s="6" t="s">
        <v>588</v>
      </c>
      <c r="C203" s="20" t="s">
        <v>53</v>
      </c>
      <c r="D203" s="23"/>
      <c r="E203" s="9" t="n">
        <f aca="false">План!E18</f>
        <v>2</v>
      </c>
      <c r="F203" s="9" t="n">
        <f aca="false">План!F18</f>
        <v>2</v>
      </c>
      <c r="G203" s="9" t="n">
        <f aca="false">План!G18</f>
        <v>2</v>
      </c>
      <c r="H203" s="9" t="n">
        <f aca="false">План!H18</f>
        <v>2</v>
      </c>
      <c r="I203" s="9" t="n">
        <f aca="false">План!I18</f>
        <v>2</v>
      </c>
      <c r="J203" s="9" t="n">
        <f aca="false">План!J18</f>
        <v>2</v>
      </c>
      <c r="K203" s="23"/>
      <c r="L203" s="49" t="s">
        <v>582</v>
      </c>
    </row>
    <row r="204" customFormat="false" ht="15" hidden="true" customHeight="false" outlineLevel="1" collapsed="false">
      <c r="A204" s="20" t="n">
        <v>45</v>
      </c>
      <c r="B204" s="6" t="s">
        <v>589</v>
      </c>
      <c r="C204" s="20" t="s">
        <v>53</v>
      </c>
      <c r="D204" s="23"/>
      <c r="E204" s="9" t="n">
        <f aca="false">План!E19</f>
        <v>0</v>
      </c>
      <c r="F204" s="9" t="n">
        <f aca="false">План!F19</f>
        <v>1</v>
      </c>
      <c r="G204" s="9" t="n">
        <f aca="false">План!G19</f>
        <v>1</v>
      </c>
      <c r="H204" s="9" t="n">
        <f aca="false">План!H19</f>
        <v>1</v>
      </c>
      <c r="I204" s="9" t="n">
        <f aca="false">План!I19</f>
        <v>2</v>
      </c>
      <c r="J204" s="9" t="n">
        <f aca="false">План!J19</f>
        <v>2</v>
      </c>
      <c r="K204" s="23"/>
      <c r="L204" s="49" t="s">
        <v>582</v>
      </c>
    </row>
    <row r="205" customFormat="false" ht="15" hidden="true" customHeight="false" outlineLevel="1" collapsed="false">
      <c r="A205" s="20" t="n">
        <v>46</v>
      </c>
      <c r="B205" s="6" t="s">
        <v>590</v>
      </c>
      <c r="C205" s="20" t="s">
        <v>53</v>
      </c>
      <c r="D205" s="23"/>
      <c r="E205" s="9" t="n">
        <f aca="false">План!E20</f>
        <v>0</v>
      </c>
      <c r="F205" s="9" t="n">
        <f aca="false">План!F20</f>
        <v>1</v>
      </c>
      <c r="G205" s="9" t="n">
        <f aca="false">План!G20</f>
        <v>1</v>
      </c>
      <c r="H205" s="9" t="n">
        <f aca="false">План!H20</f>
        <v>1</v>
      </c>
      <c r="I205" s="9" t="n">
        <f aca="false">План!I20</f>
        <v>1</v>
      </c>
      <c r="J205" s="9" t="n">
        <f aca="false">План!J20</f>
        <v>1</v>
      </c>
      <c r="K205" s="23"/>
      <c r="L205" s="49" t="s">
        <v>582</v>
      </c>
    </row>
    <row r="206" customFormat="false" ht="15" hidden="true" customHeight="false" outlineLevel="1" collapsed="false">
      <c r="A206" s="20" t="n">
        <v>47</v>
      </c>
      <c r="B206" s="6" t="s">
        <v>591</v>
      </c>
      <c r="C206" s="20" t="s">
        <v>53</v>
      </c>
      <c r="D206" s="23"/>
      <c r="E206" s="9" t="n">
        <f aca="false">План!E21</f>
        <v>0</v>
      </c>
      <c r="F206" s="9" t="n">
        <f aca="false">План!F21</f>
        <v>0</v>
      </c>
      <c r="G206" s="9" t="n">
        <f aca="false">План!G21</f>
        <v>1</v>
      </c>
      <c r="H206" s="9" t="n">
        <f aca="false">План!H21</f>
        <v>1</v>
      </c>
      <c r="I206" s="9" t="n">
        <f aca="false">План!I21</f>
        <v>1</v>
      </c>
      <c r="J206" s="9" t="n">
        <f aca="false">План!J21</f>
        <v>1</v>
      </c>
      <c r="K206" s="23"/>
      <c r="L206" s="49" t="s">
        <v>582</v>
      </c>
    </row>
    <row r="207" customFormat="false" ht="15" hidden="true" customHeight="false" outlineLevel="1" collapsed="false">
      <c r="A207" s="20" t="n">
        <v>48</v>
      </c>
      <c r="B207" s="6" t="s">
        <v>592</v>
      </c>
      <c r="C207" s="20" t="s">
        <v>53</v>
      </c>
      <c r="D207" s="23"/>
      <c r="E207" s="9" t="n">
        <f aca="false">План!E22</f>
        <v>0</v>
      </c>
      <c r="F207" s="9" t="n">
        <f aca="false">План!F22</f>
        <v>0</v>
      </c>
      <c r="G207" s="9" t="n">
        <f aca="false">План!G22</f>
        <v>0</v>
      </c>
      <c r="H207" s="9" t="n">
        <f aca="false">План!H22</f>
        <v>1</v>
      </c>
      <c r="I207" s="9" t="n">
        <f aca="false">План!I22</f>
        <v>1</v>
      </c>
      <c r="J207" s="9" t="n">
        <f aca="false">План!J22</f>
        <v>1</v>
      </c>
      <c r="K207" s="23"/>
      <c r="L207" s="49" t="s">
        <v>582</v>
      </c>
    </row>
    <row r="208" customFormat="false" ht="15" hidden="true" customHeight="false" outlineLevel="1" collapsed="false">
      <c r="A208" s="20" t="n">
        <v>49</v>
      </c>
      <c r="B208" s="6" t="s">
        <v>593</v>
      </c>
      <c r="C208" s="20" t="s">
        <v>53</v>
      </c>
      <c r="D208" s="23"/>
      <c r="E208" s="9" t="n">
        <f aca="false">План!E23</f>
        <v>0</v>
      </c>
      <c r="F208" s="9" t="n">
        <f aca="false">План!F23</f>
        <v>0</v>
      </c>
      <c r="G208" s="9" t="n">
        <f aca="false">План!G23</f>
        <v>0</v>
      </c>
      <c r="H208" s="9" t="n">
        <f aca="false">План!H23</f>
        <v>0</v>
      </c>
      <c r="I208" s="9" t="n">
        <f aca="false">План!I23</f>
        <v>0</v>
      </c>
      <c r="J208" s="9" t="n">
        <f aca="false">План!J23</f>
        <v>1</v>
      </c>
      <c r="K208" s="23"/>
      <c r="L208" s="49" t="s">
        <v>582</v>
      </c>
    </row>
    <row r="209" customFormat="false" ht="15" hidden="true" customHeight="false" outlineLevel="1" collapsed="false">
      <c r="A209" s="19" t="s">
        <v>594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customFormat="false" ht="15" hidden="true" customHeight="false" outlineLevel="1" collapsed="false">
      <c r="A210" s="20" t="n">
        <v>50</v>
      </c>
      <c r="B210" s="6" t="s">
        <v>595</v>
      </c>
      <c r="C210" s="20"/>
      <c r="D210" s="23"/>
      <c r="E210" s="10" t="n">
        <f aca="false">Допущения!$D$3</f>
        <v>2026</v>
      </c>
      <c r="F210" s="52" t="n">
        <f aca="false">E210+1</f>
        <v>2027</v>
      </c>
      <c r="G210" s="52" t="n">
        <f aca="false">F210+1</f>
        <v>2028</v>
      </c>
      <c r="H210" s="52" t="n">
        <f aca="false">G210+1</f>
        <v>2029</v>
      </c>
      <c r="I210" s="52" t="n">
        <f aca="false">H210+1</f>
        <v>2030</v>
      </c>
      <c r="J210" s="52" t="n">
        <f aca="false">I210+1</f>
        <v>2031</v>
      </c>
      <c r="K210" s="23"/>
      <c r="L210" s="49" t="s">
        <v>596</v>
      </c>
    </row>
    <row r="211" customFormat="false" ht="15" hidden="true" customHeight="false" outlineLevel="1" collapsed="false">
      <c r="A211" s="20" t="n">
        <v>51</v>
      </c>
      <c r="B211" s="6" t="s">
        <v>597</v>
      </c>
      <c r="C211" s="20" t="s">
        <v>62</v>
      </c>
      <c r="D211" s="23"/>
      <c r="E211" s="23"/>
      <c r="F211" s="53" t="n">
        <f aca="false">(1+$D$167)^(F$210-$E$210-1)</f>
        <v>1</v>
      </c>
      <c r="G211" s="53" t="n">
        <f aca="false">(1+$D$167)^(G$210-$E$210-1)</f>
        <v>1.05</v>
      </c>
      <c r="H211" s="53" t="n">
        <f aca="false">(1+$D$167)^(H$210-$E$210-1)</f>
        <v>1.1025</v>
      </c>
      <c r="I211" s="53" t="n">
        <f aca="false">(1+$D$167)^(I$210-$E$210-1)</f>
        <v>1.157625</v>
      </c>
      <c r="J211" s="53" t="n">
        <f aca="false">(1+$D$167)^(J$210-$E$210-1)</f>
        <v>1.21550625</v>
      </c>
      <c r="K211" s="23"/>
      <c r="L211" s="49" t="s">
        <v>598</v>
      </c>
    </row>
    <row r="212" customFormat="false" ht="15" hidden="true" customHeight="false" outlineLevel="1" collapsed="false">
      <c r="A212" s="20" t="n">
        <v>52</v>
      </c>
      <c r="B212" s="6" t="s">
        <v>599</v>
      </c>
      <c r="C212" s="20" t="s">
        <v>62</v>
      </c>
      <c r="D212" s="23"/>
      <c r="E212" s="23"/>
      <c r="F212" s="53" t="n">
        <f aca="false">(1+$D$185)^(F$210-$E$210-1)</f>
        <v>1</v>
      </c>
      <c r="G212" s="53" t="n">
        <f aca="false">(1+$D$185)^(G$210-$E$210-1)</f>
        <v>1.05</v>
      </c>
      <c r="H212" s="53" t="n">
        <f aca="false">(1+$D$185)^(H$210-$E$210-1)</f>
        <v>1.1025</v>
      </c>
      <c r="I212" s="53" t="n">
        <f aca="false">(1+$D$185)^(I$210-$E$210-1)</f>
        <v>1.157625</v>
      </c>
      <c r="J212" s="53" t="n">
        <f aca="false">(1+$D$185)^(J$210-$E$210-1)</f>
        <v>1.21550625</v>
      </c>
      <c r="K212" s="23"/>
      <c r="L212" s="49" t="s">
        <v>600</v>
      </c>
    </row>
    <row r="213" customFormat="false" ht="15" hidden="true" customHeight="false" outlineLevel="1" collapsed="false">
      <c r="A213" s="20" t="n">
        <v>53</v>
      </c>
      <c r="B213" s="6" t="s">
        <v>601</v>
      </c>
      <c r="C213" s="20" t="s">
        <v>62</v>
      </c>
      <c r="D213" s="23"/>
      <c r="E213" s="23"/>
      <c r="F213" s="53" t="n">
        <f aca="false">(1+$D$169)^(F$210-$E$210-1)</f>
        <v>1</v>
      </c>
      <c r="G213" s="53" t="n">
        <f aca="false">(1+$D$169)^(G$210-$E$210-1)</f>
        <v>1.07</v>
      </c>
      <c r="H213" s="53" t="n">
        <f aca="false">(1+$D$169)^(H$210-$E$210-1)</f>
        <v>1.1449</v>
      </c>
      <c r="I213" s="53" t="n">
        <f aca="false">(1+$D$169)^(I$210-$E$210-1)</f>
        <v>1.225043</v>
      </c>
      <c r="J213" s="53" t="n">
        <f aca="false">(1+$D$169)^(J$210-$E$210-1)</f>
        <v>1.31079601</v>
      </c>
      <c r="K213" s="23"/>
      <c r="L213" s="49" t="s">
        <v>602</v>
      </c>
    </row>
    <row r="214" customFormat="false" ht="15" hidden="true" customHeight="false" outlineLevel="1" collapsed="false">
      <c r="A214" s="20" t="n">
        <v>54</v>
      </c>
      <c r="B214" s="6" t="s">
        <v>603</v>
      </c>
      <c r="C214" s="20" t="s">
        <v>55</v>
      </c>
      <c r="D214" s="23"/>
      <c r="E214" s="23"/>
      <c r="F214" s="46" t="n">
        <f aca="false">$D$173*(1+$D$174)^(F$210-$E$210)</f>
        <v>3.21732</v>
      </c>
      <c r="G214" s="46" t="n">
        <f aca="false">$D$173*(1+$D$174)^(G$210-$E$210)</f>
        <v>3.4747056</v>
      </c>
      <c r="H214" s="46" t="n">
        <f aca="false">$D$173*(1+$D$174)^(H$210-$E$210)</f>
        <v>3.752682048</v>
      </c>
      <c r="I214" s="46" t="n">
        <f aca="false">$D$173*(1+$D$174)^(I$210-$E$210)</f>
        <v>4.05289661184</v>
      </c>
      <c r="J214" s="46" t="n">
        <f aca="false">$D$173*(1+$D$174)^(J$210-$E$210)</f>
        <v>4.3771283407872</v>
      </c>
      <c r="K214" s="23"/>
      <c r="L214" s="49" t="s">
        <v>604</v>
      </c>
    </row>
    <row r="215" customFormat="false" ht="15" hidden="true" customHeight="false" outlineLevel="1" collapsed="false">
      <c r="A215" s="19" t="s">
        <v>605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customFormat="false" ht="15" hidden="true" customHeight="false" outlineLevel="1" collapsed="false">
      <c r="A216" s="20" t="n">
        <v>55</v>
      </c>
      <c r="B216" s="6" t="s">
        <v>606</v>
      </c>
      <c r="C216" s="20" t="s">
        <v>76</v>
      </c>
      <c r="D216" s="23"/>
      <c r="E216" s="23"/>
      <c r="F216" s="38" t="n">
        <f aca="false">IF(F$210=$D$160,1,0)</f>
        <v>1</v>
      </c>
      <c r="G216" s="38" t="n">
        <f aca="false">IF(G$210=$D$160,1,0)</f>
        <v>0</v>
      </c>
      <c r="H216" s="38" t="n">
        <f aca="false">IF(H$210=$D$160,1,0)</f>
        <v>0</v>
      </c>
      <c r="I216" s="38" t="n">
        <f aca="false">IF(I$210=$D$160,1,0)</f>
        <v>0</v>
      </c>
      <c r="J216" s="38" t="n">
        <f aca="false">IF(J$210=$D$160,1,0)</f>
        <v>0</v>
      </c>
      <c r="K216" s="23"/>
      <c r="L216" s="49" t="s">
        <v>607</v>
      </c>
    </row>
    <row r="217" customFormat="false" ht="15" hidden="true" customHeight="false" outlineLevel="1" collapsed="false">
      <c r="A217" s="20" t="n">
        <v>56</v>
      </c>
      <c r="B217" s="6" t="s">
        <v>608</v>
      </c>
      <c r="C217" s="20" t="s">
        <v>76</v>
      </c>
      <c r="D217" s="23"/>
      <c r="E217" s="38" t="n">
        <f aca="false">0</f>
        <v>0</v>
      </c>
      <c r="F217" s="38" t="n">
        <f aca="false">F216+F201</f>
        <v>1</v>
      </c>
      <c r="G217" s="38" t="n">
        <f aca="false">G216+G201</f>
        <v>0</v>
      </c>
      <c r="H217" s="38" t="n">
        <f aca="false">H216+H201</f>
        <v>1</v>
      </c>
      <c r="I217" s="38" t="n">
        <f aca="false">I216+I201</f>
        <v>0</v>
      </c>
      <c r="J217" s="38" t="n">
        <f aca="false">J216+J201</f>
        <v>1</v>
      </c>
      <c r="K217" s="54" t="n">
        <f aca="false">SUM(F217:J217)</f>
        <v>3</v>
      </c>
      <c r="L217" s="49" t="s">
        <v>609</v>
      </c>
    </row>
    <row r="218" customFormat="false" ht="15" hidden="true" customHeight="false" outlineLevel="1" collapsed="false">
      <c r="A218" s="20" t="n">
        <v>57</v>
      </c>
      <c r="B218" s="6" t="s">
        <v>610</v>
      </c>
      <c r="C218" s="20" t="s">
        <v>76</v>
      </c>
      <c r="D218" s="23"/>
      <c r="E218" s="38" t="n">
        <f aca="false">0</f>
        <v>0</v>
      </c>
      <c r="F218" s="38" t="n">
        <f aca="false">E218+F217</f>
        <v>1</v>
      </c>
      <c r="G218" s="38" t="n">
        <f aca="false">F218+G217</f>
        <v>1</v>
      </c>
      <c r="H218" s="38" t="n">
        <f aca="false">G218+H217</f>
        <v>2</v>
      </c>
      <c r="I218" s="38" t="n">
        <f aca="false">H218+I217</f>
        <v>2</v>
      </c>
      <c r="J218" s="38" t="n">
        <f aca="false">I218+J217</f>
        <v>3</v>
      </c>
      <c r="K218" s="23"/>
      <c r="L218" s="49" t="s">
        <v>611</v>
      </c>
    </row>
    <row r="219" customFormat="false" ht="15" hidden="true" customHeight="false" outlineLevel="1" collapsed="false">
      <c r="A219" s="20" t="n">
        <v>58</v>
      </c>
      <c r="B219" s="6" t="s">
        <v>612</v>
      </c>
      <c r="C219" s="20" t="s">
        <v>76</v>
      </c>
      <c r="D219" s="23"/>
      <c r="E219" s="38" t="n">
        <f aca="false">0</f>
        <v>0</v>
      </c>
      <c r="F219" s="38" t="n">
        <f aca="false">E219+F202</f>
        <v>0</v>
      </c>
      <c r="G219" s="38" t="n">
        <f aca="false">F219+G202</f>
        <v>1</v>
      </c>
      <c r="H219" s="38" t="n">
        <f aca="false">G219+H202</f>
        <v>3</v>
      </c>
      <c r="I219" s="38" t="n">
        <f aca="false">H219+I202</f>
        <v>5</v>
      </c>
      <c r="J219" s="38" t="n">
        <f aca="false">I219+J202</f>
        <v>8</v>
      </c>
      <c r="K219" s="23"/>
      <c r="L219" s="49" t="s">
        <v>611</v>
      </c>
    </row>
    <row r="220" customFormat="false" ht="15" hidden="true" customHeight="false" outlineLevel="1" collapsed="false">
      <c r="A220" s="20" t="n">
        <v>59</v>
      </c>
      <c r="B220" s="6" t="s">
        <v>613</v>
      </c>
      <c r="C220" s="20" t="s">
        <v>76</v>
      </c>
      <c r="D220" s="23"/>
      <c r="E220" s="38" t="n">
        <f aca="false">0</f>
        <v>0</v>
      </c>
      <c r="F220" s="38" t="n">
        <f aca="false">F218+F219</f>
        <v>1</v>
      </c>
      <c r="G220" s="38" t="n">
        <f aca="false">G218+G219</f>
        <v>2</v>
      </c>
      <c r="H220" s="38" t="n">
        <f aca="false">H218+H219</f>
        <v>5</v>
      </c>
      <c r="I220" s="38" t="n">
        <f aca="false">I218+I219</f>
        <v>7</v>
      </c>
      <c r="J220" s="38" t="n">
        <f aca="false">J218+J219</f>
        <v>11</v>
      </c>
      <c r="K220" s="23"/>
      <c r="L220" s="49" t="s">
        <v>614</v>
      </c>
    </row>
    <row r="221" customFormat="false" ht="15" hidden="true" customHeight="false" outlineLevel="1" collapsed="false">
      <c r="A221" s="20" t="n">
        <v>60</v>
      </c>
      <c r="B221" s="6" t="s">
        <v>615</v>
      </c>
      <c r="C221" s="20" t="s">
        <v>76</v>
      </c>
      <c r="D221" s="23"/>
      <c r="E221" s="23"/>
      <c r="F221" s="38" t="n">
        <f aca="false">F217+F202</f>
        <v>1</v>
      </c>
      <c r="G221" s="38" t="n">
        <f aca="false">G217+G202</f>
        <v>1</v>
      </c>
      <c r="H221" s="38" t="n">
        <f aca="false">H217+H202</f>
        <v>3</v>
      </c>
      <c r="I221" s="38" t="n">
        <f aca="false">I217+I202</f>
        <v>2</v>
      </c>
      <c r="J221" s="38" t="n">
        <f aca="false">J217+J202</f>
        <v>4</v>
      </c>
      <c r="K221" s="54" t="n">
        <f aca="false">SUM(F221:J221)</f>
        <v>11</v>
      </c>
      <c r="L221" s="49"/>
    </row>
    <row r="222" customFormat="false" ht="15" hidden="true" customHeight="false" outlineLevel="1" collapsed="false">
      <c r="A222" s="19" t="s">
        <v>616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customFormat="false" ht="15" hidden="true" customHeight="false" outlineLevel="1" collapsed="false">
      <c r="A223" s="20" t="n">
        <v>61</v>
      </c>
      <c r="B223" s="6" t="s">
        <v>617</v>
      </c>
      <c r="C223" s="20" t="s">
        <v>71</v>
      </c>
      <c r="D223" s="23"/>
      <c r="E223" s="23"/>
      <c r="F223" s="40" t="n">
        <f aca="false">IF(F$210&gt;$D$160,($D$162+$D$161*$D$163)*(1+$D$168)^(F$210-$D$160-1)*F211,0)</f>
        <v>0</v>
      </c>
      <c r="G223" s="40" t="n">
        <f aca="false">IF(G$210&gt;$D$160,($D$162+$D$161*$D$163)*(1+$D$168)^(G$210-$D$160-1)*G211,0)</f>
        <v>12.6</v>
      </c>
      <c r="H223" s="40" t="n">
        <f aca="false">IF(H$210&gt;$D$160,($D$162+$D$161*$D$163)*(1+$D$168)^(H$210-$D$160-1)*H211,0)</f>
        <v>15.2145</v>
      </c>
      <c r="I223" s="40" t="n">
        <f aca="false">IF(I$210&gt;$D$160,($D$162+$D$161*$D$163)*(1+$D$168)^(I$210-$D$160-1)*I211,0)</f>
        <v>18.37150875</v>
      </c>
      <c r="J223" s="40" t="n">
        <f aca="false">IF(J$210&gt;$D$160,($D$162+$D$161*$D$163)*(1+$D$168)^(J$210-$D$160-1)*J211,0)</f>
        <v>22.183596815625</v>
      </c>
      <c r="K223" s="51" t="n">
        <f aca="false">SUM(F223:J223)</f>
        <v>68.369605565625</v>
      </c>
      <c r="L223" s="49" t="s">
        <v>618</v>
      </c>
    </row>
    <row r="224" customFormat="false" ht="15" hidden="true" customHeight="false" outlineLevel="1" collapsed="false">
      <c r="A224" s="20" t="n">
        <v>62</v>
      </c>
      <c r="B224" s="6" t="s">
        <v>619</v>
      </c>
      <c r="C224" s="20" t="s">
        <v>71</v>
      </c>
      <c r="D224" s="23"/>
      <c r="E224" s="23"/>
      <c r="F224" s="40" t="n">
        <f aca="false">($D$162+$D$193*$D$163)*F211*SUMPRODUCT($E$201:E$201,(1+$D$168)^(F$210-$E$210:E$210-1))</f>
        <v>0</v>
      </c>
      <c r="G224" s="40" t="n">
        <f aca="false">($D$162+$D$193*$D$163)*G211*SUMPRODUCT($E$201:F$201,(1+$D$168)^(G$210-$E$210:F$210-1))</f>
        <v>0</v>
      </c>
      <c r="H224" s="40" t="n">
        <f aca="false">($D$162+$D$193*$D$163)*H211*SUMPRODUCT($E$201:G$201,(1+$D$168)^(H$210-$E$210:G$210-1))</f>
        <v>0</v>
      </c>
      <c r="I224" s="40" t="n">
        <f aca="false">($D$162+$D$193*$D$163)*I211*SUMPRODUCT($E$201:H$201,(1+$D$168)^(I$210-$E$210:H$210-1))</f>
        <v>7.82975454545455</v>
      </c>
      <c r="J224" s="40" t="n">
        <f aca="false">($D$162+$D$193*$D$163)*J211*SUMPRODUCT($E$201:I$201,(1+$D$168)^(J$210-$E$210:I$210-1))</f>
        <v>9.45442861363637</v>
      </c>
      <c r="K224" s="51" t="n">
        <f aca="false">SUM(F224:J224)</f>
        <v>17.2841831590909</v>
      </c>
      <c r="L224" s="49" t="s">
        <v>620</v>
      </c>
    </row>
    <row r="225" customFormat="false" ht="15" hidden="true" customHeight="false" outlineLevel="1" collapsed="false">
      <c r="A225" s="20" t="n">
        <v>63</v>
      </c>
      <c r="B225" s="6" t="s">
        <v>621</v>
      </c>
      <c r="C225" s="20" t="s">
        <v>71</v>
      </c>
      <c r="D225" s="23"/>
      <c r="E225" s="23"/>
      <c r="F225" s="40" t="n">
        <f aca="false">($D$164+$D$194*$D$163)*F211*SUMPRODUCT($E$202:E$202,(1+$D$168)^(F$210-$E$210:E$210-1))</f>
        <v>0</v>
      </c>
      <c r="G225" s="40" t="n">
        <f aca="false">($D$164+$D$194*$D$163)*G211*SUMPRODUCT($E$202:F$202,(1+$D$168)^(G$210-$E$210:F$210-1))</f>
        <v>0</v>
      </c>
      <c r="H225" s="40" t="n">
        <f aca="false">($D$164+$D$194*$D$163)*H211*SUMPRODUCT($E$202:G$202,(1+$D$168)^(H$210-$E$210:G$210-1))</f>
        <v>1.44703125</v>
      </c>
      <c r="I225" s="40" t="n">
        <f aca="false">($D$164+$D$194*$D$163)*I211*SUMPRODUCT($E$202:H$202,(1+$D$168)^(I$210-$E$210:H$210-1))</f>
        <v>4.786055859375</v>
      </c>
      <c r="J225" s="40" t="n">
        <f aca="false">($D$164+$D$194*$D$163)*J211*SUMPRODUCT($E$202:I$202,(1+$D$168)^(J$210-$E$210:I$210-1))</f>
        <v>8.96986635644532</v>
      </c>
      <c r="K225" s="51" t="n">
        <f aca="false">SUM(F225:J225)</f>
        <v>15.2029534658203</v>
      </c>
      <c r="L225" s="49" t="s">
        <v>622</v>
      </c>
    </row>
    <row r="226" customFormat="false" ht="15" hidden="true" customHeight="false" outlineLevel="1" collapsed="false">
      <c r="A226" s="20" t="n">
        <v>64</v>
      </c>
      <c r="B226" s="6" t="s">
        <v>623</v>
      </c>
      <c r="C226" s="20" t="s">
        <v>71</v>
      </c>
      <c r="D226" s="23"/>
      <c r="E226" s="23"/>
      <c r="F226" s="40" t="n">
        <f aca="false">(F217*$D$165+F202*$D$166)*F211</f>
        <v>8</v>
      </c>
      <c r="G226" s="40" t="n">
        <f aca="false">(G217*$D$165+G202*$D$166)*G211</f>
        <v>2.1</v>
      </c>
      <c r="H226" s="40" t="n">
        <f aca="false">(H217*$D$165+H202*$D$166)*H211</f>
        <v>13.23</v>
      </c>
      <c r="I226" s="40" t="n">
        <f aca="false">(I217*$D$165+I202*$D$166)*I211</f>
        <v>4.6305</v>
      </c>
      <c r="J226" s="40" t="n">
        <f aca="false">(J217*$D$165+J202*$D$166)*J211</f>
        <v>17.0170875</v>
      </c>
      <c r="K226" s="51" t="n">
        <f aca="false">SUM(F226:J226)</f>
        <v>44.9775875</v>
      </c>
      <c r="L226" s="49" t="s">
        <v>624</v>
      </c>
    </row>
    <row r="227" customFormat="false" ht="15" hidden="true" customHeight="false" outlineLevel="1" collapsed="false">
      <c r="A227" s="20" t="n">
        <v>65</v>
      </c>
      <c r="B227" s="6" t="s">
        <v>625</v>
      </c>
      <c r="C227" s="20" t="s">
        <v>71</v>
      </c>
      <c r="D227" s="23"/>
      <c r="E227" s="23"/>
      <c r="F227" s="40" t="n">
        <f aca="false">F223+F224+F225</f>
        <v>0</v>
      </c>
      <c r="G227" s="40" t="n">
        <f aca="false">G223+G224+G225</f>
        <v>12.6</v>
      </c>
      <c r="H227" s="40" t="n">
        <f aca="false">H223+H224+H225</f>
        <v>16.66153125</v>
      </c>
      <c r="I227" s="40" t="n">
        <f aca="false">I223+I224+I225</f>
        <v>30.9873191548296</v>
      </c>
      <c r="J227" s="40" t="n">
        <f aca="false">J223+J224+J225</f>
        <v>40.6078917857067</v>
      </c>
      <c r="K227" s="51" t="n">
        <f aca="false">SUM(F227:J227)</f>
        <v>100.856742190536</v>
      </c>
      <c r="L227" s="49"/>
    </row>
    <row r="228" customFormat="false" ht="15" hidden="true" customHeight="false" outlineLevel="1" collapsed="false">
      <c r="A228" s="20" t="n">
        <v>66</v>
      </c>
      <c r="B228" s="6" t="s">
        <v>91</v>
      </c>
      <c r="C228" s="20" t="s">
        <v>71</v>
      </c>
      <c r="D228" s="23"/>
      <c r="E228" s="23"/>
      <c r="F228" s="40" t="n">
        <f aca="false">F227+F226</f>
        <v>8</v>
      </c>
      <c r="G228" s="40" t="n">
        <f aca="false">G227+G226</f>
        <v>14.7</v>
      </c>
      <c r="H228" s="40" t="n">
        <f aca="false">H227+H226</f>
        <v>29.89153125</v>
      </c>
      <c r="I228" s="40" t="n">
        <f aca="false">I227+I226</f>
        <v>35.6178191548296</v>
      </c>
      <c r="J228" s="40" t="n">
        <f aca="false">J227+J226</f>
        <v>57.6249792857067</v>
      </c>
      <c r="K228" s="51" t="n">
        <f aca="false">SUM(F228:J228)</f>
        <v>145.834329690536</v>
      </c>
      <c r="L228" s="49" t="s">
        <v>626</v>
      </c>
    </row>
    <row r="229" customFormat="false" ht="15" hidden="true" customHeight="false" outlineLevel="1" collapsed="false">
      <c r="A229" s="20" t="n">
        <v>67</v>
      </c>
      <c r="B229" s="6" t="s">
        <v>627</v>
      </c>
      <c r="C229" s="20" t="s">
        <v>55</v>
      </c>
      <c r="D229" s="23"/>
      <c r="E229" s="23"/>
      <c r="F229" s="40" t="n">
        <f aca="false">IF(F$210&gt;=$D$160,($D$162+$D$161*$D$163)*(1+$D$168)^(F$210-$D$160)*F211,0)+($D$162+$D$193*$D$163)*F211*SUMPRODUCT($E$201:F$201,(1+$D$168)^(F$210-$E$210:F$210))+($D$164+$D$194*$D$163)*F211*SUMPRODUCT($E$202:F$202,(1+$D$168)^(F$210-$E$210:F$210))</f>
        <v>12</v>
      </c>
      <c r="G229" s="40" t="n">
        <f aca="false">IF(G$210&gt;=$D$160,($D$162+$D$161*$D$163)*(1+$D$168)^(G$210-$D$160)*G211,0)+($D$162+$D$193*$D$163)*G211*SUMPRODUCT($E$201:G$201,(1+$D$168)^(G$210-$E$210:G$210))+($D$164+$D$194*$D$163)*G211*SUMPRODUCT($E$202:G$202,(1+$D$168)^(G$210-$E$210:G$210))</f>
        <v>15.868125</v>
      </c>
      <c r="H229" s="40" t="n">
        <f aca="false">IF(H$210&gt;=$D$160,($D$162+$D$161*$D$163)*(1+$D$168)^(H$210-$D$160)*H211,0)+($D$162+$D$193*$D$163)*H211*SUMPRODUCT($E$201:H$201,(1+$D$168)^(H$210-$E$210:H$210))+($D$164+$D$194*$D$163)*H211*SUMPRODUCT($E$202:H$202,(1+$D$168)^(H$210-$E$210:H$210))</f>
        <v>29.5117325284091</v>
      </c>
      <c r="I229" s="40" t="n">
        <f aca="false">IF(I$210&gt;=$D$160,($D$162+$D$161*$D$163)*(1+$D$168)^(I$210-$D$160)*I211,0)+($D$162+$D$193*$D$163)*I211*SUMPRODUCT($E$201:I$201,(1+$D$168)^(I$210-$E$210:I$210))+($D$164+$D$194*$D$163)*I211*SUMPRODUCT($E$202:I$202,(1+$D$168)^(I$210-$E$210:I$210))</f>
        <v>38.674182653054</v>
      </c>
      <c r="J229" s="40" t="n">
        <f aca="false">IF(J$210&gt;=$D$160,($D$162+$D$161*$D$163)*(1+$D$168)^(J$210-$D$160)*J211,0)+($D$162+$D$193*$D$163)*J211*SUMPRODUCT($E$201:J$201,(1+$D$168)^(J$210-$E$210:J$210))+($D$164+$D$194*$D$163)*J211*SUMPRODUCT($E$202:J$202,(1+$D$168)^(J$210-$E$210:J$210))</f>
        <v>59.706373685665</v>
      </c>
      <c r="K229" s="23"/>
      <c r="L229" s="49" t="s">
        <v>628</v>
      </c>
    </row>
    <row r="230" customFormat="false" ht="15" hidden="true" customHeight="false" outlineLevel="1" collapsed="false">
      <c r="A230" s="19" t="s">
        <v>629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customFormat="false" ht="15" hidden="true" customHeight="false" outlineLevel="1" collapsed="false">
      <c r="A231" s="20" t="n">
        <v>68</v>
      </c>
      <c r="B231" s="6" t="s">
        <v>630</v>
      </c>
      <c r="C231" s="20" t="s">
        <v>53</v>
      </c>
      <c r="D231" s="23"/>
      <c r="E231" s="40" t="n">
        <f aca="false">E203+E204+E205+E206+E207+E208</f>
        <v>2</v>
      </c>
      <c r="F231" s="40" t="n">
        <f aca="false">F203+F204+F205+F206+F207+F208</f>
        <v>4</v>
      </c>
      <c r="G231" s="40" t="n">
        <f aca="false">G203+G204+G205+G206+G207+G208</f>
        <v>5</v>
      </c>
      <c r="H231" s="40" t="n">
        <f aca="false">H203+H204+H205+H206+H207+H208</f>
        <v>6</v>
      </c>
      <c r="I231" s="40" t="n">
        <f aca="false">I203+I204+I205+I206+I207+I208</f>
        <v>7</v>
      </c>
      <c r="J231" s="40" t="n">
        <f aca="false">J203+J204+J205+J206+J207+J208</f>
        <v>8</v>
      </c>
      <c r="K231" s="23"/>
      <c r="L231" s="49" t="s">
        <v>631</v>
      </c>
    </row>
    <row r="232" customFormat="false" ht="15" hidden="true" customHeight="false" outlineLevel="1" collapsed="false">
      <c r="A232" s="20" t="n">
        <v>69</v>
      </c>
      <c r="B232" s="6" t="s">
        <v>632</v>
      </c>
      <c r="C232" s="20" t="s">
        <v>53</v>
      </c>
      <c r="D232" s="23"/>
      <c r="E232" s="23"/>
      <c r="F232" s="40" t="n">
        <f aca="false">MAX(0,F231-E231)</f>
        <v>2</v>
      </c>
      <c r="G232" s="40" t="n">
        <f aca="false">MAX(0,G231-F231)</f>
        <v>1</v>
      </c>
      <c r="H232" s="40" t="n">
        <f aca="false">MAX(0,H231-G231)</f>
        <v>1</v>
      </c>
      <c r="I232" s="40" t="n">
        <f aca="false">MAX(0,I231-H231)</f>
        <v>1</v>
      </c>
      <c r="J232" s="40" t="n">
        <f aca="false">MAX(0,J231-I231)</f>
        <v>1</v>
      </c>
      <c r="K232" s="23"/>
      <c r="L232" s="49" t="s">
        <v>633</v>
      </c>
    </row>
    <row r="233" customFormat="false" ht="15" hidden="true" customHeight="false" outlineLevel="1" collapsed="false">
      <c r="A233" s="20" t="n">
        <v>70</v>
      </c>
      <c r="B233" s="6" t="s">
        <v>634</v>
      </c>
      <c r="C233" s="20" t="s">
        <v>71</v>
      </c>
      <c r="D233" s="23"/>
      <c r="E233" s="23"/>
      <c r="F233" s="41" t="n">
        <f aca="false">$D$195*12/1000*F213</f>
        <v>2.4</v>
      </c>
      <c r="G233" s="41" t="n">
        <f aca="false">$D$195*12/1000*G213</f>
        <v>2.568</v>
      </c>
      <c r="H233" s="41" t="n">
        <f aca="false">$D$195*12/1000*H213</f>
        <v>2.74776</v>
      </c>
      <c r="I233" s="41" t="n">
        <f aca="false">$D$195*12/1000*I213</f>
        <v>2.9401032</v>
      </c>
      <c r="J233" s="41" t="n">
        <f aca="false">$D$195*12/1000*J213</f>
        <v>3.145910424</v>
      </c>
      <c r="K233" s="23"/>
      <c r="L233" s="49" t="s">
        <v>635</v>
      </c>
    </row>
    <row r="234" customFormat="false" ht="15" hidden="true" customHeight="false" outlineLevel="1" collapsed="false">
      <c r="A234" s="20" t="n">
        <v>71</v>
      </c>
      <c r="B234" s="6" t="s">
        <v>636</v>
      </c>
      <c r="C234" s="20" t="s">
        <v>71</v>
      </c>
      <c r="D234" s="23"/>
      <c r="E234" s="23"/>
      <c r="F234" s="41" t="n">
        <f aca="false">$D$196*12/1000*F213</f>
        <v>3.36</v>
      </c>
      <c r="G234" s="41" t="n">
        <f aca="false">$D$196*12/1000*G213</f>
        <v>3.5952</v>
      </c>
      <c r="H234" s="41" t="n">
        <f aca="false">$D$196*12/1000*H213</f>
        <v>3.846864</v>
      </c>
      <c r="I234" s="41" t="n">
        <f aca="false">$D$196*12/1000*I213</f>
        <v>4.11614448</v>
      </c>
      <c r="J234" s="41" t="n">
        <f aca="false">$D$196*12/1000*J213</f>
        <v>4.4042745936</v>
      </c>
      <c r="K234" s="23"/>
      <c r="L234" s="49" t="s">
        <v>635</v>
      </c>
    </row>
    <row r="235" customFormat="false" ht="15" hidden="true" customHeight="false" outlineLevel="1" collapsed="false">
      <c r="A235" s="20" t="n">
        <v>72</v>
      </c>
      <c r="B235" s="6" t="s">
        <v>637</v>
      </c>
      <c r="C235" s="20" t="s">
        <v>71</v>
      </c>
      <c r="D235" s="23"/>
      <c r="E235" s="23"/>
      <c r="F235" s="41" t="n">
        <f aca="false">$D$197*12/1000*F213</f>
        <v>2.76</v>
      </c>
      <c r="G235" s="41" t="n">
        <f aca="false">$D$197*12/1000*G213</f>
        <v>2.9532</v>
      </c>
      <c r="H235" s="41" t="n">
        <f aca="false">$D$197*12/1000*H213</f>
        <v>3.159924</v>
      </c>
      <c r="I235" s="41" t="n">
        <f aca="false">$D$197*12/1000*I213</f>
        <v>3.38111868</v>
      </c>
      <c r="J235" s="41" t="n">
        <f aca="false">$D$197*12/1000*J213</f>
        <v>3.6177969876</v>
      </c>
      <c r="K235" s="23"/>
      <c r="L235" s="49" t="s">
        <v>635</v>
      </c>
    </row>
    <row r="236" customFormat="false" ht="15" hidden="true" customHeight="false" outlineLevel="1" collapsed="false">
      <c r="A236" s="20" t="n">
        <v>73</v>
      </c>
      <c r="B236" s="6" t="s">
        <v>638</v>
      </c>
      <c r="C236" s="20" t="s">
        <v>71</v>
      </c>
      <c r="D236" s="23"/>
      <c r="E236" s="23"/>
      <c r="F236" s="41" t="n">
        <f aca="false">$D$198*12/1000*F213</f>
        <v>2.64</v>
      </c>
      <c r="G236" s="41" t="n">
        <f aca="false">$D$198*12/1000*G213</f>
        <v>2.8248</v>
      </c>
      <c r="H236" s="41" t="n">
        <f aca="false">$D$198*12/1000*H213</f>
        <v>3.022536</v>
      </c>
      <c r="I236" s="41" t="n">
        <f aca="false">$D$198*12/1000*I213</f>
        <v>3.23411352</v>
      </c>
      <c r="J236" s="41" t="n">
        <f aca="false">$D$198*12/1000*J213</f>
        <v>3.4605014664</v>
      </c>
      <c r="K236" s="23"/>
      <c r="L236" s="49" t="s">
        <v>635</v>
      </c>
    </row>
    <row r="237" customFormat="false" ht="15" hidden="true" customHeight="false" outlineLevel="1" collapsed="false">
      <c r="A237" s="20" t="n">
        <v>74</v>
      </c>
      <c r="B237" s="6" t="s">
        <v>639</v>
      </c>
      <c r="C237" s="20" t="s">
        <v>71</v>
      </c>
      <c r="D237" s="23"/>
      <c r="E237" s="23"/>
      <c r="F237" s="41" t="n">
        <f aca="false">$D$199*12/1000*F213</f>
        <v>3</v>
      </c>
      <c r="G237" s="41" t="n">
        <f aca="false">$D$199*12/1000*G213</f>
        <v>3.21</v>
      </c>
      <c r="H237" s="41" t="n">
        <f aca="false">$D$199*12/1000*H213</f>
        <v>3.4347</v>
      </c>
      <c r="I237" s="41" t="n">
        <f aca="false">$D$199*12/1000*I213</f>
        <v>3.675129</v>
      </c>
      <c r="J237" s="41" t="n">
        <f aca="false">$D$199*12/1000*J213</f>
        <v>3.93238803</v>
      </c>
      <c r="K237" s="23"/>
      <c r="L237" s="49" t="s">
        <v>635</v>
      </c>
    </row>
    <row r="238" customFormat="false" ht="15" hidden="true" customHeight="false" outlineLevel="1" collapsed="false">
      <c r="A238" s="20" t="n">
        <v>75</v>
      </c>
      <c r="B238" s="6" t="s">
        <v>640</v>
      </c>
      <c r="C238" s="20" t="s">
        <v>71</v>
      </c>
      <c r="D238" s="23"/>
      <c r="E238" s="23"/>
      <c r="F238" s="41" t="n">
        <f aca="false">$D$200*12/1000*F213</f>
        <v>2.64</v>
      </c>
      <c r="G238" s="41" t="n">
        <f aca="false">$D$200*12/1000*G213</f>
        <v>2.8248</v>
      </c>
      <c r="H238" s="41" t="n">
        <f aca="false">$D$200*12/1000*H213</f>
        <v>3.022536</v>
      </c>
      <c r="I238" s="41" t="n">
        <f aca="false">$D$200*12/1000*I213</f>
        <v>3.23411352</v>
      </c>
      <c r="J238" s="41" t="n">
        <f aca="false">$D$200*12/1000*J213</f>
        <v>3.4605014664</v>
      </c>
      <c r="K238" s="23"/>
      <c r="L238" s="49" t="s">
        <v>635</v>
      </c>
    </row>
    <row r="239" customFormat="false" ht="15" hidden="true" customHeight="false" outlineLevel="1" collapsed="false">
      <c r="A239" s="20" t="n">
        <v>76</v>
      </c>
      <c r="B239" s="6" t="s">
        <v>641</v>
      </c>
      <c r="C239" s="20" t="s">
        <v>71</v>
      </c>
      <c r="D239" s="23"/>
      <c r="E239" s="23"/>
      <c r="F239" s="40" t="n">
        <f aca="false">F203*F233</f>
        <v>4.8</v>
      </c>
      <c r="G239" s="40" t="n">
        <f aca="false">G203*G233</f>
        <v>5.136</v>
      </c>
      <c r="H239" s="40" t="n">
        <f aca="false">H203*H233</f>
        <v>5.49552</v>
      </c>
      <c r="I239" s="40" t="n">
        <f aca="false">I203*I233</f>
        <v>5.8802064</v>
      </c>
      <c r="J239" s="40" t="n">
        <f aca="false">J203*J233</f>
        <v>6.291820848</v>
      </c>
      <c r="K239" s="51" t="n">
        <f aca="false">SUM(F239:J239)</f>
        <v>27.603547248</v>
      </c>
      <c r="L239" s="49" t="s">
        <v>642</v>
      </c>
    </row>
    <row r="240" customFormat="false" ht="15" hidden="true" customHeight="false" outlineLevel="1" collapsed="false">
      <c r="A240" s="20" t="n">
        <v>77</v>
      </c>
      <c r="B240" s="6" t="s">
        <v>643</v>
      </c>
      <c r="C240" s="20" t="s">
        <v>71</v>
      </c>
      <c r="D240" s="23"/>
      <c r="E240" s="23"/>
      <c r="F240" s="40" t="n">
        <f aca="false">F204*F234</f>
        <v>3.36</v>
      </c>
      <c r="G240" s="40" t="n">
        <f aca="false">G204*G234</f>
        <v>3.5952</v>
      </c>
      <c r="H240" s="40" t="n">
        <f aca="false">H204*H234</f>
        <v>3.846864</v>
      </c>
      <c r="I240" s="40" t="n">
        <f aca="false">I204*I234</f>
        <v>8.23228896</v>
      </c>
      <c r="J240" s="40" t="n">
        <f aca="false">J204*J234</f>
        <v>8.8085491872</v>
      </c>
      <c r="K240" s="51" t="n">
        <f aca="false">SUM(F240:J240)</f>
        <v>27.8429021472</v>
      </c>
      <c r="L240" s="49" t="s">
        <v>642</v>
      </c>
    </row>
    <row r="241" customFormat="false" ht="15" hidden="true" customHeight="false" outlineLevel="1" collapsed="false">
      <c r="A241" s="20" t="n">
        <v>78</v>
      </c>
      <c r="B241" s="6" t="s">
        <v>644</v>
      </c>
      <c r="C241" s="20" t="s">
        <v>71</v>
      </c>
      <c r="D241" s="23"/>
      <c r="E241" s="23"/>
      <c r="F241" s="40" t="n">
        <f aca="false">F205*F235</f>
        <v>2.76</v>
      </c>
      <c r="G241" s="40" t="n">
        <f aca="false">G205*G235</f>
        <v>2.9532</v>
      </c>
      <c r="H241" s="40" t="n">
        <f aca="false">H205*H235</f>
        <v>3.159924</v>
      </c>
      <c r="I241" s="40" t="n">
        <f aca="false">I205*I235</f>
        <v>3.38111868</v>
      </c>
      <c r="J241" s="40" t="n">
        <f aca="false">J205*J235</f>
        <v>3.6177969876</v>
      </c>
      <c r="K241" s="51" t="n">
        <f aca="false">SUM(F241:J241)</f>
        <v>15.8720396676</v>
      </c>
      <c r="L241" s="49" t="s">
        <v>642</v>
      </c>
    </row>
    <row r="242" customFormat="false" ht="15" hidden="true" customHeight="false" outlineLevel="1" collapsed="false">
      <c r="A242" s="20" t="n">
        <v>79</v>
      </c>
      <c r="B242" s="6" t="s">
        <v>645</v>
      </c>
      <c r="C242" s="20" t="s">
        <v>71</v>
      </c>
      <c r="D242" s="23"/>
      <c r="E242" s="23"/>
      <c r="F242" s="40" t="n">
        <f aca="false">F206*F236</f>
        <v>0</v>
      </c>
      <c r="G242" s="40" t="n">
        <f aca="false">G206*G236</f>
        <v>2.8248</v>
      </c>
      <c r="H242" s="40" t="n">
        <f aca="false">H206*H236</f>
        <v>3.022536</v>
      </c>
      <c r="I242" s="40" t="n">
        <f aca="false">I206*I236</f>
        <v>3.23411352</v>
      </c>
      <c r="J242" s="40" t="n">
        <f aca="false">J206*J236</f>
        <v>3.4605014664</v>
      </c>
      <c r="K242" s="51" t="n">
        <f aca="false">SUM(F242:J242)</f>
        <v>12.5419509864</v>
      </c>
      <c r="L242" s="49" t="s">
        <v>642</v>
      </c>
    </row>
    <row r="243" customFormat="false" ht="15" hidden="true" customHeight="false" outlineLevel="1" collapsed="false">
      <c r="A243" s="20" t="n">
        <v>80</v>
      </c>
      <c r="B243" s="6" t="s">
        <v>646</v>
      </c>
      <c r="C243" s="20" t="s">
        <v>71</v>
      </c>
      <c r="D243" s="23"/>
      <c r="E243" s="23"/>
      <c r="F243" s="40" t="n">
        <f aca="false">F207*F237</f>
        <v>0</v>
      </c>
      <c r="G243" s="40" t="n">
        <f aca="false">G207*G237</f>
        <v>0</v>
      </c>
      <c r="H243" s="40" t="n">
        <f aca="false">H207*H237</f>
        <v>3.4347</v>
      </c>
      <c r="I243" s="40" t="n">
        <f aca="false">I207*I237</f>
        <v>3.675129</v>
      </c>
      <c r="J243" s="40" t="n">
        <f aca="false">J207*J237</f>
        <v>3.93238803</v>
      </c>
      <c r="K243" s="51" t="n">
        <f aca="false">SUM(F243:J243)</f>
        <v>11.04221703</v>
      </c>
      <c r="L243" s="49" t="s">
        <v>642</v>
      </c>
    </row>
    <row r="244" customFormat="false" ht="15" hidden="true" customHeight="false" outlineLevel="1" collapsed="false">
      <c r="A244" s="20" t="n">
        <v>81</v>
      </c>
      <c r="B244" s="6" t="s">
        <v>647</v>
      </c>
      <c r="C244" s="20" t="s">
        <v>71</v>
      </c>
      <c r="D244" s="23"/>
      <c r="E244" s="23"/>
      <c r="F244" s="40" t="n">
        <f aca="false">F208*F238</f>
        <v>0</v>
      </c>
      <c r="G244" s="40" t="n">
        <f aca="false">G208*G238</f>
        <v>0</v>
      </c>
      <c r="H244" s="40" t="n">
        <f aca="false">H208*H238</f>
        <v>0</v>
      </c>
      <c r="I244" s="40" t="n">
        <f aca="false">I208*I238</f>
        <v>0</v>
      </c>
      <c r="J244" s="40" t="n">
        <f aca="false">J208*J238</f>
        <v>3.4605014664</v>
      </c>
      <c r="K244" s="51" t="n">
        <f aca="false">SUM(F244:J244)</f>
        <v>3.4605014664</v>
      </c>
      <c r="L244" s="49" t="s">
        <v>642</v>
      </c>
    </row>
    <row r="245" customFormat="false" ht="15" hidden="true" customHeight="false" outlineLevel="1" collapsed="false">
      <c r="A245" s="20" t="n">
        <v>82</v>
      </c>
      <c r="B245" s="6" t="s">
        <v>648</v>
      </c>
      <c r="C245" s="20" t="s">
        <v>71</v>
      </c>
      <c r="D245" s="23"/>
      <c r="E245" s="23"/>
      <c r="F245" s="40" t="n">
        <f aca="false">F239+F240+F241+F242+F243+F244</f>
        <v>10.92</v>
      </c>
      <c r="G245" s="40" t="n">
        <f aca="false">G239+G240+G241+G242+G243+G244</f>
        <v>14.5092</v>
      </c>
      <c r="H245" s="40" t="n">
        <f aca="false">H239+H240+H241+H242+H243+H244</f>
        <v>18.959544</v>
      </c>
      <c r="I245" s="40" t="n">
        <f aca="false">I239+I240+I241+I242+I243+I244</f>
        <v>24.40285656</v>
      </c>
      <c r="J245" s="40" t="n">
        <f aca="false">J239+J240+J241+J242+J243+J244</f>
        <v>29.5715579856</v>
      </c>
      <c r="K245" s="51" t="n">
        <f aca="false">SUM(F245:J245)</f>
        <v>98.3631585456</v>
      </c>
      <c r="L245" s="49"/>
    </row>
    <row r="246" customFormat="false" ht="15" hidden="true" customHeight="false" outlineLevel="1" collapsed="false">
      <c r="A246" s="20" t="n">
        <v>83</v>
      </c>
      <c r="B246" s="6" t="s">
        <v>649</v>
      </c>
      <c r="C246" s="20" t="s">
        <v>71</v>
      </c>
      <c r="D246" s="23"/>
      <c r="E246" s="23"/>
      <c r="F246" s="40" t="n">
        <f aca="false">F203*(MIN(F233,F214)*$D$170+MAX(0,F233-F214)*$D$171+F233*$D$172)+F204*(MIN(F234,F214)*$D$170+MAX(0,F234-F214)*$D$171+F234*$D$172)+F205*(MIN(F235,F214)*$D$170+MAX(0,F235-F214)*$D$171+F235*$D$172)+F206*(MIN(F236,F214)*$D$170+MAX(0,F236-F214)*$D$171+F236*$D$172)+F207*(MIN(F237,F214)*$D$170+MAX(0,F237-F214)*$D$171+F237*$D$172)+F208*(MIN(F238,F214)*$D$170+MAX(0,F238-F214)*$D$171+F238*$D$172)</f>
        <v>1.64928168</v>
      </c>
      <c r="G246" s="40" t="n">
        <f aca="false">G203*(MIN(G233,G214)*$D$170+MAX(0,G233-G214)*$D$171+G233*$D$172)+G204*(MIN(G234,G214)*$D$170+MAX(0,G234-G214)*$D$171+G234*$D$172)+G205*(MIN(G235,G214)*$D$170+MAX(0,G235-G214)*$D$171+G235*$D$172)+G206*(MIN(G236,G214)*$D$170+MAX(0,G236-G214)*$D$171+G236*$D$172)+G207*(MIN(G237,G214)*$D$170+MAX(0,G237-G214)*$D$171+G237*$D$172)+G208*(MIN(G238,G214)*$D$170+MAX(0,G238-G214)*$D$171+G238*$D$172)</f>
        <v>2.1964818144</v>
      </c>
      <c r="H246" s="40" t="n">
        <f aca="false">H203*(MIN(H233,H214)*$D$170+MAX(0,H233-H214)*$D$171+H233*$D$172)+H204*(MIN(H234,H214)*$D$170+MAX(0,H234-H214)*$D$171+H234*$D$172)+H205*(MIN(H235,H214)*$D$170+MAX(0,H235-H214)*$D$171+H235*$D$172)+H206*(MIN(H236,H214)*$D$170+MAX(0,H236-H214)*$D$171+H236*$D$172)+H207*(MIN(H237,H214)*$D$170+MAX(0,H237-H214)*$D$171+H237*$D$172)+H208*(MIN(H238,H214)*$D$170+MAX(0,H238-H214)*$D$171+H238*$D$172)</f>
        <v>2.874881223552</v>
      </c>
      <c r="I246" s="40" t="n">
        <f aca="false">I203*(MIN(I233,I214)*$D$170+MAX(0,I233-I214)*$D$171+I233*$D$172)+I204*(MIN(I234,I214)*$D$170+MAX(0,I234-I214)*$D$171+I234*$D$172)+I205*(MIN(I235,I214)*$D$170+MAX(0,I235-I214)*$D$171+I235*$D$172)+I206*(MIN(I236,I214)*$D$170+MAX(0,I236-I214)*$D$171+I236*$D$172)+I207*(MIN(I237,I214)*$D$170+MAX(0,I237-I214)*$D$171+I237*$D$172)+I208*(MIN(I238,I214)*$D$170+MAX(0,I238-I214)*$D$171+I238*$D$172)</f>
        <v>3.69987351263232</v>
      </c>
      <c r="J246" s="40" t="n">
        <f aca="false">J203*(MIN(J233,J214)*$D$170+MAX(0,J233-J214)*$D$171+J233*$D$172)+J204*(MIN(J234,J214)*$D$170+MAX(0,J234-J214)*$D$171+J234*$D$172)+J205*(MIN(J235,J214)*$D$170+MAX(0,J235-J214)*$D$171+J235*$D$172)+J206*(MIN(J236,J214)*$D$170+MAX(0,J236-J214)*$D$171+J236*$D$172)+J207*(MIN(J237,J214)*$D$170+MAX(0,J237-J214)*$D$171+J237*$D$172)+J208*(MIN(J238,J214)*$D$170+MAX(0,J238-J214)*$D$171+J238*$D$172)</f>
        <v>4.49085916839491</v>
      </c>
      <c r="K246" s="51" t="n">
        <f aca="false">SUM(F246:J246)</f>
        <v>14.9113773989792</v>
      </c>
      <c r="L246" s="49" t="s">
        <v>650</v>
      </c>
    </row>
    <row r="247" customFormat="false" ht="15" hidden="true" customHeight="false" outlineLevel="1" collapsed="false">
      <c r="A247" s="20" t="n">
        <v>84</v>
      </c>
      <c r="B247" s="6" t="s">
        <v>651</v>
      </c>
      <c r="C247" s="20"/>
      <c r="D247" s="23"/>
      <c r="E247" s="23"/>
      <c r="F247" s="38" t="n">
        <f aca="false">IF(AND(F220&gt;0,E220=0),1,0)</f>
        <v>1</v>
      </c>
      <c r="G247" s="38" t="n">
        <f aca="false">IF(AND(G220&gt;0,F220=0),1,0)</f>
        <v>0</v>
      </c>
      <c r="H247" s="38" t="n">
        <f aca="false">IF(AND(H220&gt;0,G220=0),1,0)</f>
        <v>0</v>
      </c>
      <c r="I247" s="38" t="n">
        <f aca="false">IF(AND(I220&gt;0,H220=0),1,0)</f>
        <v>0</v>
      </c>
      <c r="J247" s="38" t="n">
        <f aca="false">IF(AND(J220&gt;0,I220=0),1,0)</f>
        <v>0</v>
      </c>
      <c r="K247" s="23"/>
      <c r="L247" s="49"/>
    </row>
    <row r="248" customFormat="false" ht="15" hidden="true" customHeight="false" outlineLevel="1" collapsed="false">
      <c r="A248" s="20" t="n">
        <v>85</v>
      </c>
      <c r="B248" s="6" t="s">
        <v>652</v>
      </c>
      <c r="C248" s="20" t="s">
        <v>71</v>
      </c>
      <c r="D248" s="23"/>
      <c r="E248" s="23"/>
      <c r="F248" s="40" t="n">
        <f aca="false">(F247*$D$175+IF(E220&gt;0,1,0)*$D$176)*F212</f>
        <v>2.5</v>
      </c>
      <c r="G248" s="40" t="n">
        <f aca="false">(G247*$D$175+IF(F220&gt;0,1,0)*$D$176)*G212</f>
        <v>1.05</v>
      </c>
      <c r="H248" s="40" t="n">
        <f aca="false">(H247*$D$175+IF(G220&gt;0,1,0)*$D$176)*H212</f>
        <v>1.1025</v>
      </c>
      <c r="I248" s="40" t="n">
        <f aca="false">(I247*$D$175+IF(H220&gt;0,1,0)*$D$176)*I212</f>
        <v>1.157625</v>
      </c>
      <c r="J248" s="40" t="n">
        <f aca="false">(J247*$D$175+IF(I220&gt;0,1,0)*$D$176)*J212</f>
        <v>1.21550625</v>
      </c>
      <c r="K248" s="51" t="n">
        <f aca="false">SUM(F248:J248)</f>
        <v>7.02563125</v>
      </c>
      <c r="L248" s="49" t="s">
        <v>653</v>
      </c>
    </row>
    <row r="249" customFormat="false" ht="15" hidden="true" customHeight="false" outlineLevel="1" collapsed="false">
      <c r="A249" s="20" t="n">
        <v>86</v>
      </c>
      <c r="B249" s="6" t="s">
        <v>302</v>
      </c>
      <c r="C249" s="20" t="s">
        <v>71</v>
      </c>
      <c r="D249" s="23"/>
      <c r="E249" s="23"/>
      <c r="F249" s="40" t="n">
        <f aca="false">$D$177*F212</f>
        <v>0.6</v>
      </c>
      <c r="G249" s="40" t="n">
        <f aca="false">$D$177*G212</f>
        <v>0.63</v>
      </c>
      <c r="H249" s="40" t="n">
        <f aca="false">$D$177*H212</f>
        <v>0.6615</v>
      </c>
      <c r="I249" s="40" t="n">
        <f aca="false">$D$177*I212</f>
        <v>0.694575</v>
      </c>
      <c r="J249" s="40" t="n">
        <f aca="false">$D$177*J212</f>
        <v>0.72930375</v>
      </c>
      <c r="K249" s="51" t="n">
        <f aca="false">SUM(F249:J249)</f>
        <v>3.31537875</v>
      </c>
      <c r="L249" s="49"/>
    </row>
    <row r="250" customFormat="false" ht="15" hidden="true" customHeight="false" outlineLevel="1" collapsed="false">
      <c r="A250" s="20" t="n">
        <v>87</v>
      </c>
      <c r="B250" s="6" t="s">
        <v>654</v>
      </c>
      <c r="C250" s="20" t="s">
        <v>71</v>
      </c>
      <c r="D250" s="23"/>
      <c r="E250" s="23"/>
      <c r="F250" s="40" t="n">
        <f aca="false">$D$178*F231*F212</f>
        <v>0.6</v>
      </c>
      <c r="G250" s="40" t="n">
        <f aca="false">$D$178*G231*G212</f>
        <v>0.7875</v>
      </c>
      <c r="H250" s="40" t="n">
        <f aca="false">$D$178*H231*H212</f>
        <v>0.99225</v>
      </c>
      <c r="I250" s="40" t="n">
        <f aca="false">$D$178*I231*I212</f>
        <v>1.21550625</v>
      </c>
      <c r="J250" s="40" t="n">
        <f aca="false">$D$178*J231*J212</f>
        <v>1.4586075</v>
      </c>
      <c r="K250" s="51" t="n">
        <f aca="false">SUM(F250:J250)</f>
        <v>5.05386375</v>
      </c>
      <c r="L250" s="49" t="s">
        <v>655</v>
      </c>
    </row>
    <row r="251" customFormat="false" ht="15" hidden="true" customHeight="false" outlineLevel="1" collapsed="false">
      <c r="A251" s="20" t="n">
        <v>88</v>
      </c>
      <c r="B251" s="6" t="s">
        <v>656</v>
      </c>
      <c r="C251" s="20" t="s">
        <v>71</v>
      </c>
      <c r="D251" s="23"/>
      <c r="E251" s="23"/>
      <c r="F251" s="40" t="n">
        <f aca="false">($D$179+$D$180*F221)*F212</f>
        <v>1.4</v>
      </c>
      <c r="G251" s="40" t="n">
        <f aca="false">($D$179+$D$180*G221)*G212</f>
        <v>1.47</v>
      </c>
      <c r="H251" s="40" t="n">
        <f aca="false">($D$179+$D$180*H221)*H212</f>
        <v>2.4255</v>
      </c>
      <c r="I251" s="40" t="n">
        <f aca="false">($D$179+$D$180*I221)*I212</f>
        <v>2.083725</v>
      </c>
      <c r="J251" s="40" t="n">
        <f aca="false">($D$179+$D$180*J221)*J212</f>
        <v>3.16031625</v>
      </c>
      <c r="K251" s="51" t="n">
        <f aca="false">SUM(F251:J251)</f>
        <v>10.53954125</v>
      </c>
      <c r="L251" s="49" t="s">
        <v>657</v>
      </c>
    </row>
    <row r="252" customFormat="false" ht="15" hidden="true" customHeight="false" outlineLevel="1" collapsed="false">
      <c r="A252" s="20" t="n">
        <v>89</v>
      </c>
      <c r="B252" s="6" t="s">
        <v>658</v>
      </c>
      <c r="C252" s="20" t="s">
        <v>71</v>
      </c>
      <c r="D252" s="23"/>
      <c r="E252" s="23"/>
      <c r="F252" s="40" t="n">
        <f aca="false">($D$181+$D$182*F231)*F212</f>
        <v>1.6</v>
      </c>
      <c r="G252" s="40" t="n">
        <f aca="false">($D$181+$D$182*G231)*G212</f>
        <v>1.785</v>
      </c>
      <c r="H252" s="40" t="n">
        <f aca="false">($D$181+$D$182*H231)*H212</f>
        <v>1.9845</v>
      </c>
      <c r="I252" s="40" t="n">
        <f aca="false">($D$181+$D$182*I231)*I212</f>
        <v>2.1994875</v>
      </c>
      <c r="J252" s="40" t="n">
        <f aca="false">($D$181+$D$182*J231)*J212</f>
        <v>2.4310125</v>
      </c>
      <c r="K252" s="51" t="n">
        <f aca="false">SUM(F252:J252)</f>
        <v>10</v>
      </c>
      <c r="L252" s="49" t="s">
        <v>659</v>
      </c>
    </row>
    <row r="253" customFormat="false" ht="15" hidden="true" customHeight="false" outlineLevel="1" collapsed="false">
      <c r="A253" s="20" t="n">
        <v>90</v>
      </c>
      <c r="B253" s="6" t="s">
        <v>660</v>
      </c>
      <c r="C253" s="20" t="s">
        <v>71</v>
      </c>
      <c r="D253" s="23"/>
      <c r="E253" s="23"/>
      <c r="F253" s="40" t="n">
        <f aca="false">$D$183*F232*F212</f>
        <v>0.5</v>
      </c>
      <c r="G253" s="40" t="n">
        <f aca="false">$D$183*G232*G212</f>
        <v>0.2625</v>
      </c>
      <c r="H253" s="40" t="n">
        <f aca="false">$D$183*H232*H212</f>
        <v>0.275625</v>
      </c>
      <c r="I253" s="40" t="n">
        <f aca="false">$D$183*I232*I212</f>
        <v>0.28940625</v>
      </c>
      <c r="J253" s="40" t="n">
        <f aca="false">$D$183*J232*J212</f>
        <v>0.3038765625</v>
      </c>
      <c r="K253" s="51" t="n">
        <f aca="false">SUM(F253:J253)</f>
        <v>1.6314078125</v>
      </c>
      <c r="L253" s="49" t="s">
        <v>661</v>
      </c>
    </row>
    <row r="254" customFormat="false" ht="15" hidden="true" customHeight="false" outlineLevel="1" collapsed="false">
      <c r="A254" s="20" t="n">
        <v>91</v>
      </c>
      <c r="B254" s="6" t="s">
        <v>570</v>
      </c>
      <c r="C254" s="20" t="s">
        <v>71</v>
      </c>
      <c r="D254" s="23"/>
      <c r="E254" s="23"/>
      <c r="F254" s="40" t="n">
        <f aca="false">IF(F$210=$F$210,$D$184,0)</f>
        <v>0.3</v>
      </c>
      <c r="G254" s="40" t="n">
        <f aca="false">IF(G$210=$F$210,$D$184,0)</f>
        <v>0</v>
      </c>
      <c r="H254" s="40" t="n">
        <f aca="false">IF(H$210=$F$210,$D$184,0)</f>
        <v>0</v>
      </c>
      <c r="I254" s="40" t="n">
        <f aca="false">IF(I$210=$F$210,$D$184,0)</f>
        <v>0</v>
      </c>
      <c r="J254" s="40" t="n">
        <f aca="false">IF(J$210=$F$210,$D$184,0)</f>
        <v>0</v>
      </c>
      <c r="K254" s="51" t="n">
        <f aca="false">SUM(F254:J254)</f>
        <v>0.3</v>
      </c>
      <c r="L254" s="49" t="s">
        <v>662</v>
      </c>
    </row>
    <row r="255" customFormat="false" ht="15" hidden="true" customHeight="false" outlineLevel="1" collapsed="false">
      <c r="A255" s="20" t="n">
        <v>92</v>
      </c>
      <c r="B255" s="6" t="s">
        <v>663</v>
      </c>
      <c r="C255" s="20" t="s">
        <v>71</v>
      </c>
      <c r="D255" s="23"/>
      <c r="E255" s="23"/>
      <c r="F255" s="40" t="n">
        <f aca="false">F245+F246+F248+F249+F250+F251+F252+F253+F254</f>
        <v>20.06928168</v>
      </c>
      <c r="G255" s="40" t="n">
        <f aca="false">G245+G246+G248+G249+G250+G251+G252+G253+G254</f>
        <v>22.6906818144</v>
      </c>
      <c r="H255" s="40" t="n">
        <f aca="false">H245+H246+H248+H249+H250+H251+H252+H253+H254</f>
        <v>29.276300223552</v>
      </c>
      <c r="I255" s="40" t="n">
        <f aca="false">I245+I246+I248+I249+I250+I251+I252+I253+I254</f>
        <v>35.7430550726323</v>
      </c>
      <c r="J255" s="40" t="n">
        <f aca="false">J245+J246+J248+J249+J250+J251+J252+J253+J254</f>
        <v>43.3610399664949</v>
      </c>
      <c r="K255" s="51" t="n">
        <f aca="false">SUM(F255:J255)</f>
        <v>151.140358757079</v>
      </c>
      <c r="L255" s="49"/>
    </row>
    <row r="256" customFormat="false" ht="15" hidden="true" customHeight="false" outlineLevel="1" collapsed="false">
      <c r="A256" s="20" t="n">
        <v>93</v>
      </c>
      <c r="B256" s="6" t="s">
        <v>329</v>
      </c>
      <c r="C256" s="20" t="s">
        <v>71</v>
      </c>
      <c r="D256" s="23"/>
      <c r="E256" s="23"/>
      <c r="F256" s="40" t="n">
        <f aca="false">F255*$D$186</f>
        <v>2.006928168</v>
      </c>
      <c r="G256" s="40" t="n">
        <f aca="false">G255*$D$186</f>
        <v>2.26906818144</v>
      </c>
      <c r="H256" s="40" t="n">
        <f aca="false">H255*$D$186</f>
        <v>2.9276300223552</v>
      </c>
      <c r="I256" s="40" t="n">
        <f aca="false">I255*$D$186</f>
        <v>3.57430550726323</v>
      </c>
      <c r="J256" s="40" t="n">
        <f aca="false">J255*$D$186</f>
        <v>4.33610399664949</v>
      </c>
      <c r="K256" s="51" t="n">
        <f aca="false">SUM(F256:J256)</f>
        <v>15.1140358757079</v>
      </c>
      <c r="L256" s="49"/>
    </row>
    <row r="257" customFormat="false" ht="15" hidden="true" customHeight="false" outlineLevel="1" collapsed="false">
      <c r="A257" s="20" t="n">
        <v>94</v>
      </c>
      <c r="B257" s="6" t="s">
        <v>664</v>
      </c>
      <c r="C257" s="20" t="s">
        <v>71</v>
      </c>
      <c r="D257" s="23"/>
      <c r="E257" s="23"/>
      <c r="F257" s="40" t="n">
        <f aca="false">F255+F256</f>
        <v>22.076209848</v>
      </c>
      <c r="G257" s="40" t="n">
        <f aca="false">G255+G256</f>
        <v>24.95974999584</v>
      </c>
      <c r="H257" s="40" t="n">
        <f aca="false">H255+H256</f>
        <v>32.2039302459072</v>
      </c>
      <c r="I257" s="40" t="n">
        <f aca="false">I255+I256</f>
        <v>39.3173605798956</v>
      </c>
      <c r="J257" s="40" t="n">
        <f aca="false">J255+J256</f>
        <v>47.6971439631444</v>
      </c>
      <c r="K257" s="51" t="n">
        <f aca="false">SUM(F257:J257)</f>
        <v>166.254394632787</v>
      </c>
      <c r="L257" s="49"/>
    </row>
    <row r="258" customFormat="false" ht="15" hidden="true" customHeight="false" outlineLevel="1" collapsed="false">
      <c r="A258" s="19" t="s">
        <v>665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</row>
    <row r="259" customFormat="false" ht="15" hidden="true" customHeight="false" outlineLevel="1" collapsed="false">
      <c r="A259" s="20" t="n">
        <v>95</v>
      </c>
      <c r="B259" s="6" t="s">
        <v>666</v>
      </c>
      <c r="C259" s="20" t="s">
        <v>71</v>
      </c>
      <c r="D259" s="23"/>
      <c r="E259" s="23"/>
      <c r="F259" s="40" t="n">
        <f aca="false">F228-F257</f>
        <v>-14.076209848</v>
      </c>
      <c r="G259" s="40" t="n">
        <f aca="false">G228-G257</f>
        <v>-10.25974999584</v>
      </c>
      <c r="H259" s="40" t="n">
        <f aca="false">H228-H257</f>
        <v>-2.3123989959072</v>
      </c>
      <c r="I259" s="40" t="n">
        <f aca="false">I228-I257</f>
        <v>-3.699541425066</v>
      </c>
      <c r="J259" s="40" t="n">
        <f aca="false">J228-J257</f>
        <v>9.92783532256228</v>
      </c>
      <c r="K259" s="51" t="n">
        <f aca="false">SUM(F259:J259)</f>
        <v>-20.4200649422509</v>
      </c>
      <c r="L259" s="49" t="s">
        <v>667</v>
      </c>
    </row>
    <row r="260" customFormat="false" ht="15" hidden="true" customHeight="false" outlineLevel="1" collapsed="false">
      <c r="A260" s="20" t="n">
        <v>96</v>
      </c>
      <c r="B260" s="6" t="s">
        <v>668</v>
      </c>
      <c r="C260" s="20" t="s">
        <v>68</v>
      </c>
      <c r="D260" s="23"/>
      <c r="E260" s="23"/>
      <c r="F260" s="44" t="n">
        <f aca="false">IF(F228&gt;0,F259/F228,0)</f>
        <v>-1.759526231</v>
      </c>
      <c r="G260" s="44" t="n">
        <f aca="false">IF(G228&gt;0,G259/G228,0)</f>
        <v>-0.697942176587755</v>
      </c>
      <c r="H260" s="44" t="n">
        <f aca="false">IF(H228&gt;0,H259/H228,0)</f>
        <v>-0.0773596700873998</v>
      </c>
      <c r="I260" s="44" t="n">
        <f aca="false">IF(I228&gt;0,I259/I228,0)</f>
        <v>-0.103867713207937</v>
      </c>
      <c r="J260" s="44" t="n">
        <f aca="false">IF(J228&gt;0,J259/J228,0)</f>
        <v>0.172283538243714</v>
      </c>
      <c r="K260" s="23"/>
      <c r="L260" s="49"/>
    </row>
    <row r="261" customFormat="false" ht="15" hidden="true" customHeight="false" outlineLevel="1" collapsed="false">
      <c r="A261" s="20" t="n">
        <v>97</v>
      </c>
      <c r="B261" s="6" t="s">
        <v>669</v>
      </c>
      <c r="C261" s="20" t="s">
        <v>71</v>
      </c>
      <c r="D261" s="23"/>
      <c r="E261" s="23"/>
      <c r="F261" s="40" t="n">
        <f aca="false">E265</f>
        <v>0</v>
      </c>
      <c r="G261" s="40" t="n">
        <f aca="false">F265</f>
        <v>14.076209848</v>
      </c>
      <c r="H261" s="40" t="n">
        <f aca="false">G265</f>
        <v>24.33595984384</v>
      </c>
      <c r="I261" s="40" t="n">
        <f aca="false">H265</f>
        <v>26.6483588397472</v>
      </c>
      <c r="J261" s="40" t="n">
        <f aca="false">I265</f>
        <v>30.3479002648132</v>
      </c>
      <c r="K261" s="23"/>
      <c r="L261" s="49"/>
    </row>
    <row r="262" customFormat="false" ht="15" hidden="true" customHeight="false" outlineLevel="1" collapsed="false">
      <c r="A262" s="20" t="n">
        <v>98</v>
      </c>
      <c r="B262" s="6" t="s">
        <v>670</v>
      </c>
      <c r="C262" s="20" t="s">
        <v>71</v>
      </c>
      <c r="D262" s="23"/>
      <c r="E262" s="23"/>
      <c r="F262" s="40" t="n">
        <f aca="false">MIN(F261,MAX(0,F259)*$D$188)</f>
        <v>0</v>
      </c>
      <c r="G262" s="40" t="n">
        <f aca="false">MIN(G261,MAX(0,G259)*$D$188)</f>
        <v>0</v>
      </c>
      <c r="H262" s="40" t="n">
        <f aca="false">MIN(H261,MAX(0,H259)*$D$188)</f>
        <v>0</v>
      </c>
      <c r="I262" s="40" t="n">
        <f aca="false">MIN(I261,MAX(0,I259)*$D$188)</f>
        <v>0</v>
      </c>
      <c r="J262" s="40" t="n">
        <f aca="false">MIN(J261,MAX(0,J259)*$D$188)</f>
        <v>4.96391766128114</v>
      </c>
      <c r="K262" s="23"/>
      <c r="L262" s="49" t="s">
        <v>671</v>
      </c>
    </row>
    <row r="263" customFormat="false" ht="15" hidden="true" customHeight="false" outlineLevel="1" collapsed="false">
      <c r="A263" s="20" t="n">
        <v>99</v>
      </c>
      <c r="B263" s="6" t="s">
        <v>672</v>
      </c>
      <c r="C263" s="20" t="s">
        <v>71</v>
      </c>
      <c r="D263" s="23"/>
      <c r="E263" s="23"/>
      <c r="F263" s="40" t="n">
        <f aca="false">MAX(0,F259)-F262</f>
        <v>0</v>
      </c>
      <c r="G263" s="40" t="n">
        <f aca="false">MAX(0,G259)-G262</f>
        <v>0</v>
      </c>
      <c r="H263" s="40" t="n">
        <f aca="false">MAX(0,H259)-H262</f>
        <v>0</v>
      </c>
      <c r="I263" s="40" t="n">
        <f aca="false">MAX(0,I259)-I262</f>
        <v>0</v>
      </c>
      <c r="J263" s="40" t="n">
        <f aca="false">MAX(0,J259)-J262</f>
        <v>4.96391766128114</v>
      </c>
      <c r="K263" s="23"/>
      <c r="L263" s="49"/>
    </row>
    <row r="264" customFormat="false" ht="15" hidden="true" customHeight="false" outlineLevel="1" collapsed="false">
      <c r="A264" s="20" t="n">
        <v>100</v>
      </c>
      <c r="B264" s="6" t="s">
        <v>572</v>
      </c>
      <c r="C264" s="20" t="s">
        <v>71</v>
      </c>
      <c r="D264" s="23"/>
      <c r="E264" s="23"/>
      <c r="F264" s="40" t="n">
        <f aca="false">F263*$D$187</f>
        <v>0</v>
      </c>
      <c r="G264" s="40" t="n">
        <f aca="false">G263*$D$187</f>
        <v>0</v>
      </c>
      <c r="H264" s="40" t="n">
        <f aca="false">H263*$D$187</f>
        <v>0</v>
      </c>
      <c r="I264" s="40" t="n">
        <f aca="false">I263*$D$187</f>
        <v>0</v>
      </c>
      <c r="J264" s="40" t="n">
        <f aca="false">J263*$D$187</f>
        <v>0.248195883064057</v>
      </c>
      <c r="K264" s="51" t="n">
        <f aca="false">SUM(F264:J264)</f>
        <v>0.248195883064057</v>
      </c>
      <c r="L264" s="49"/>
    </row>
    <row r="265" customFormat="false" ht="15" hidden="true" customHeight="false" outlineLevel="1" collapsed="false">
      <c r="A265" s="20" t="n">
        <v>101</v>
      </c>
      <c r="B265" s="6" t="s">
        <v>673</v>
      </c>
      <c r="C265" s="20" t="s">
        <v>71</v>
      </c>
      <c r="D265" s="23"/>
      <c r="E265" s="40" t="n">
        <f aca="false">0</f>
        <v>0</v>
      </c>
      <c r="F265" s="40" t="n">
        <f aca="false">F261-F262+MAX(0,-F259)</f>
        <v>14.076209848</v>
      </c>
      <c r="G265" s="40" t="n">
        <f aca="false">G261-G262+MAX(0,-G259)</f>
        <v>24.33595984384</v>
      </c>
      <c r="H265" s="40" t="n">
        <f aca="false">H261-H262+MAX(0,-H259)</f>
        <v>26.6483588397472</v>
      </c>
      <c r="I265" s="40" t="n">
        <f aca="false">I261-I262+MAX(0,-I259)</f>
        <v>30.3479002648132</v>
      </c>
      <c r="J265" s="40" t="n">
        <f aca="false">J261-J262+MAX(0,-J259)</f>
        <v>25.3839826035321</v>
      </c>
      <c r="K265" s="23"/>
      <c r="L265" s="49"/>
    </row>
    <row r="266" customFormat="false" ht="15" hidden="true" customHeight="false" outlineLevel="1" collapsed="false">
      <c r="A266" s="20" t="n">
        <v>102</v>
      </c>
      <c r="B266" s="6" t="s">
        <v>674</v>
      </c>
      <c r="C266" s="20" t="s">
        <v>71</v>
      </c>
      <c r="D266" s="23"/>
      <c r="E266" s="23"/>
      <c r="F266" s="40" t="n">
        <f aca="false">F259-F264</f>
        <v>-14.076209848</v>
      </c>
      <c r="G266" s="40" t="n">
        <f aca="false">G259-G264</f>
        <v>-10.25974999584</v>
      </c>
      <c r="H266" s="40" t="n">
        <f aca="false">H259-H264</f>
        <v>-2.3123989959072</v>
      </c>
      <c r="I266" s="40" t="n">
        <f aca="false">I259-I264</f>
        <v>-3.699541425066</v>
      </c>
      <c r="J266" s="40" t="n">
        <f aca="false">J259-J264</f>
        <v>9.67963943949822</v>
      </c>
      <c r="K266" s="51" t="n">
        <f aca="false">SUM(F266:J266)</f>
        <v>-20.668260825315</v>
      </c>
      <c r="L266" s="49"/>
    </row>
    <row r="267" customFormat="false" ht="15" hidden="true" customHeight="false" outlineLevel="1" collapsed="false">
      <c r="A267" s="19" t="s">
        <v>675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</row>
    <row r="268" customFormat="false" ht="15" hidden="true" customHeight="false" outlineLevel="1" collapsed="false">
      <c r="A268" s="20" t="n">
        <v>103</v>
      </c>
      <c r="B268" s="6" t="s">
        <v>676</v>
      </c>
      <c r="C268" s="20" t="s">
        <v>71</v>
      </c>
      <c r="D268" s="23"/>
      <c r="E268" s="40" t="n">
        <f aca="false">0</f>
        <v>0</v>
      </c>
      <c r="F268" s="40" t="n">
        <f aca="false">F228*$D$189/365</f>
        <v>1.97260273972603</v>
      </c>
      <c r="G268" s="40" t="n">
        <f aca="false">G228*$D$189/365</f>
        <v>3.62465753424658</v>
      </c>
      <c r="H268" s="40" t="n">
        <f aca="false">H228*$D$189/365</f>
        <v>7.37051455479452</v>
      </c>
      <c r="I268" s="40" t="n">
        <f aca="false">I228*$D$189/365</f>
        <v>8.78247595598537</v>
      </c>
      <c r="J268" s="40" t="n">
        <f aca="false">J228*$D$189/365</f>
        <v>14.2088990019551</v>
      </c>
      <c r="K268" s="23"/>
      <c r="L268" s="49" t="s">
        <v>677</v>
      </c>
    </row>
    <row r="269" customFormat="false" ht="15" hidden="true" customHeight="false" outlineLevel="1" collapsed="false">
      <c r="A269" s="20" t="n">
        <v>104</v>
      </c>
      <c r="B269" s="6" t="s">
        <v>678</v>
      </c>
      <c r="C269" s="20" t="s">
        <v>71</v>
      </c>
      <c r="D269" s="23"/>
      <c r="E269" s="23"/>
      <c r="F269" s="40" t="n">
        <f aca="false">F268-E268</f>
        <v>1.97260273972603</v>
      </c>
      <c r="G269" s="40" t="n">
        <f aca="false">G268-F268</f>
        <v>1.65205479452055</v>
      </c>
      <c r="H269" s="40" t="n">
        <f aca="false">H268-G268</f>
        <v>3.74585702054795</v>
      </c>
      <c r="I269" s="40" t="n">
        <f aca="false">I268-H268</f>
        <v>1.41196140119085</v>
      </c>
      <c r="J269" s="40" t="n">
        <f aca="false">J268-I268</f>
        <v>5.42642304596971</v>
      </c>
      <c r="K269" s="51" t="n">
        <f aca="false">SUM(F269:J269)</f>
        <v>14.2088990019551</v>
      </c>
      <c r="L269" s="49"/>
    </row>
    <row r="270" customFormat="false" ht="15" hidden="true" customHeight="false" outlineLevel="1" collapsed="false">
      <c r="A270" s="20" t="n">
        <v>105</v>
      </c>
      <c r="B270" s="6" t="s">
        <v>679</v>
      </c>
      <c r="C270" s="20" t="s">
        <v>71</v>
      </c>
      <c r="D270" s="23"/>
      <c r="E270" s="23"/>
      <c r="F270" s="40" t="n">
        <f aca="false">F266-F269</f>
        <v>-16.048812587726</v>
      </c>
      <c r="G270" s="40" t="n">
        <f aca="false">G266-G269</f>
        <v>-11.9118047903605</v>
      </c>
      <c r="H270" s="40" t="n">
        <f aca="false">H266-H269</f>
        <v>-6.05825601645515</v>
      </c>
      <c r="I270" s="40" t="n">
        <f aca="false">I266-I269</f>
        <v>-5.11150282625685</v>
      </c>
      <c r="J270" s="40" t="n">
        <f aca="false">J266-J269</f>
        <v>4.25321639352852</v>
      </c>
      <c r="K270" s="51" t="n">
        <f aca="false">SUM(F270:J270)</f>
        <v>-34.8771598272701</v>
      </c>
      <c r="L270" s="49" t="s">
        <v>680</v>
      </c>
    </row>
    <row r="271" customFormat="false" ht="15" hidden="true" customHeight="false" outlineLevel="1" collapsed="false">
      <c r="A271" s="20" t="n">
        <v>106</v>
      </c>
      <c r="B271" s="6" t="s">
        <v>93</v>
      </c>
      <c r="C271" s="20" t="s">
        <v>71</v>
      </c>
      <c r="D271" s="23"/>
      <c r="E271" s="40" t="n">
        <f aca="false">0</f>
        <v>0</v>
      </c>
      <c r="F271" s="40" t="n">
        <f aca="false">E271+F270</f>
        <v>-16.048812587726</v>
      </c>
      <c r="G271" s="40" t="n">
        <f aca="false">F271+G270</f>
        <v>-27.9606173780866</v>
      </c>
      <c r="H271" s="40" t="n">
        <f aca="false">G271+H270</f>
        <v>-34.0188733945417</v>
      </c>
      <c r="I271" s="40" t="n">
        <f aca="false">H271+I270</f>
        <v>-39.1303762207986</v>
      </c>
      <c r="J271" s="40" t="n">
        <f aca="false">I271+J270</f>
        <v>-34.8771598272701</v>
      </c>
      <c r="K271" s="23"/>
      <c r="L271" s="49" t="s">
        <v>681</v>
      </c>
    </row>
    <row r="272" customFormat="false" ht="15" hidden="true" customHeight="false" outlineLevel="1" collapsed="false">
      <c r="A272" s="20" t="n">
        <v>107</v>
      </c>
      <c r="B272" s="6" t="s">
        <v>682</v>
      </c>
      <c r="C272" s="20"/>
      <c r="D272" s="23"/>
      <c r="E272" s="23"/>
      <c r="F272" s="53" t="n">
        <f aca="false">1/(1+$D$190)^(F$210-$E$210)</f>
        <v>0.769230769230769</v>
      </c>
      <c r="G272" s="53" t="n">
        <f aca="false">1/(1+$D$190)^(G$210-$E$210)</f>
        <v>0.591715976331361</v>
      </c>
      <c r="H272" s="53" t="n">
        <f aca="false">1/(1+$D$190)^(H$210-$E$210)</f>
        <v>0.455166135639508</v>
      </c>
      <c r="I272" s="53" t="n">
        <f aca="false">1/(1+$D$190)^(I$210-$E$210)</f>
        <v>0.350127796645776</v>
      </c>
      <c r="J272" s="53" t="n">
        <f aca="false">1/(1+$D$190)^(J$210-$E$210)</f>
        <v>0.269329074342904</v>
      </c>
      <c r="K272" s="23"/>
      <c r="L272" s="49" t="s">
        <v>683</v>
      </c>
    </row>
    <row r="273" customFormat="false" ht="15" hidden="true" customHeight="false" outlineLevel="1" collapsed="false">
      <c r="A273" s="20" t="n">
        <v>108</v>
      </c>
      <c r="B273" s="6" t="s">
        <v>684</v>
      </c>
      <c r="C273" s="20" t="s">
        <v>71</v>
      </c>
      <c r="D273" s="23"/>
      <c r="E273" s="23"/>
      <c r="F273" s="40" t="n">
        <f aca="false">F270*F272</f>
        <v>-12.3452404520969</v>
      </c>
      <c r="G273" s="40" t="n">
        <f aca="false">G270*G272</f>
        <v>-7.04840520139677</v>
      </c>
      <c r="H273" s="40" t="n">
        <f aca="false">H270*H272</f>
        <v>-2.75751297972469</v>
      </c>
      <c r="I273" s="40" t="n">
        <f aca="false">I270*I272</f>
        <v>-1.78967922210597</v>
      </c>
      <c r="J273" s="40" t="n">
        <f aca="false">J270*J272</f>
        <v>1.1455148342491</v>
      </c>
      <c r="K273" s="51" t="n">
        <f aca="false">SUM(F273:J273)</f>
        <v>-22.7953230210753</v>
      </c>
      <c r="L273" s="49"/>
    </row>
    <row r="274" customFormat="false" ht="15" hidden="true" customHeight="false" outlineLevel="1" collapsed="false">
      <c r="A274" s="20" t="n">
        <v>109</v>
      </c>
      <c r="B274" s="6" t="s">
        <v>685</v>
      </c>
      <c r="C274" s="20" t="s">
        <v>71</v>
      </c>
      <c r="D274" s="23"/>
      <c r="E274" s="23"/>
      <c r="F274" s="40" t="n">
        <f aca="false">IF(F$210=$J$210,MAX(0,F270)*(1+$D$191)/($D$190-$D$191),0)</f>
        <v>0</v>
      </c>
      <c r="G274" s="40" t="n">
        <f aca="false">IF(G$210=$J$210,MAX(0,G270)*(1+$D$191)/($D$190-$D$191),0)</f>
        <v>0</v>
      </c>
      <c r="H274" s="40" t="n">
        <f aca="false">IF(H$210=$J$210,MAX(0,H270)*(1+$D$191)/($D$190-$D$191),0)</f>
        <v>0</v>
      </c>
      <c r="I274" s="40" t="n">
        <f aca="false">IF(I$210=$J$210,MAX(0,I270)*(1+$D$191)/($D$190-$D$191),0)</f>
        <v>0</v>
      </c>
      <c r="J274" s="40" t="n">
        <f aca="false">IF(J$210=$J$210,MAX(0,J270)*(1+$D$191)/($D$190-$D$191),0)</f>
        <v>17.0128655741141</v>
      </c>
      <c r="K274" s="23"/>
      <c r="L274" s="49" t="s">
        <v>686</v>
      </c>
    </row>
    <row r="275" customFormat="false" ht="15" hidden="true" customHeight="false" outlineLevel="1" collapsed="false">
      <c r="A275" s="20" t="n">
        <v>110</v>
      </c>
      <c r="B275" s="6" t="s">
        <v>687</v>
      </c>
      <c r="C275" s="20" t="s">
        <v>71</v>
      </c>
      <c r="D275" s="23"/>
      <c r="E275" s="23"/>
      <c r="F275" s="40" t="n">
        <f aca="false">F274*F272</f>
        <v>0</v>
      </c>
      <c r="G275" s="40" t="n">
        <f aca="false">G274*G272</f>
        <v>0</v>
      </c>
      <c r="H275" s="40" t="n">
        <f aca="false">H274*H272</f>
        <v>0</v>
      </c>
      <c r="I275" s="40" t="n">
        <f aca="false">I274*I272</f>
        <v>0</v>
      </c>
      <c r="J275" s="40" t="n">
        <f aca="false">J274*J272</f>
        <v>4.58205933699641</v>
      </c>
      <c r="K275" s="51" t="n">
        <f aca="false">SUM(F275:J275)</f>
        <v>4.58205933699641</v>
      </c>
      <c r="L275" s="49"/>
    </row>
    <row r="276" customFormat="false" ht="15" hidden="true" customHeight="false" outlineLevel="1" collapsed="false">
      <c r="A276" s="20" t="n">
        <v>111</v>
      </c>
      <c r="B276" s="6" t="s">
        <v>688</v>
      </c>
      <c r="C276" s="20" t="s">
        <v>71</v>
      </c>
      <c r="D276" s="23"/>
      <c r="E276" s="23"/>
      <c r="F276" s="40" t="n">
        <f aca="false">F270+F274</f>
        <v>-16.048812587726</v>
      </c>
      <c r="G276" s="40" t="n">
        <f aca="false">G270+G274</f>
        <v>-11.9118047903605</v>
      </c>
      <c r="H276" s="40" t="n">
        <f aca="false">H270+H274</f>
        <v>-6.05825601645515</v>
      </c>
      <c r="I276" s="40" t="n">
        <f aca="false">I270+I274</f>
        <v>-5.11150282625685</v>
      </c>
      <c r="J276" s="40" t="n">
        <f aca="false">J270+J274</f>
        <v>21.2660819676426</v>
      </c>
      <c r="K276" s="23"/>
      <c r="L276" s="49" t="s">
        <v>689</v>
      </c>
    </row>
    <row r="277" customFormat="false" ht="15" hidden="true" customHeight="false" outlineLevel="1" collapsed="false">
      <c r="A277" s="20" t="n">
        <v>112</v>
      </c>
      <c r="B277" s="6" t="s">
        <v>690</v>
      </c>
      <c r="C277" s="20"/>
      <c r="D277" s="23"/>
      <c r="E277" s="23"/>
      <c r="F277" s="52" t="str">
        <f aca="false">IF(AND(F259&gt;0,COUNTIF($F$259:F$259,"&gt;0")=1),F$210,"")</f>
        <v/>
      </c>
      <c r="G277" s="52" t="str">
        <f aca="false">IF(AND(G259&gt;0,COUNTIF($F$259:G$259,"&gt;0")=1),G$210,"")</f>
        <v/>
      </c>
      <c r="H277" s="52" t="str">
        <f aca="false">IF(AND(H259&gt;0,COUNTIF($F$259:H$259,"&gt;0")=1),H$210,"")</f>
        <v/>
      </c>
      <c r="I277" s="52" t="str">
        <f aca="false">IF(AND(I259&gt;0,COUNTIF($F$259:I$259,"&gt;0")=1),I$210,"")</f>
        <v/>
      </c>
      <c r="J277" s="52" t="n">
        <f aca="false">IF(AND(J259&gt;0,COUNTIF($F$259:J$259,"&gt;0")=1),J$210,"")</f>
        <v>2031</v>
      </c>
      <c r="K277" s="23"/>
      <c r="L277" s="49" t="s">
        <v>691</v>
      </c>
    </row>
    <row r="278" customFormat="false" ht="15" hidden="true" customHeight="false" outlineLevel="1" collapsed="false">
      <c r="A278" s="20" t="n">
        <v>113</v>
      </c>
      <c r="B278" s="6" t="s">
        <v>692</v>
      </c>
      <c r="C278" s="20"/>
      <c r="D278" s="23"/>
      <c r="E278" s="23"/>
      <c r="F278" s="52" t="str">
        <f aca="false">IF(AND(F271&gt;0,COUNTIF($F$271:F$271,"&gt;0")=1),F$210,"")</f>
        <v/>
      </c>
      <c r="G278" s="52" t="str">
        <f aca="false">IF(AND(G271&gt;0,COUNTIF($F$271:G$271,"&gt;0")=1),G$210,"")</f>
        <v/>
      </c>
      <c r="H278" s="52" t="str">
        <f aca="false">IF(AND(H271&gt;0,COUNTIF($F$271:H$271,"&gt;0")=1),H$210,"")</f>
        <v/>
      </c>
      <c r="I278" s="52" t="str">
        <f aca="false">IF(AND(I271&gt;0,COUNTIF($F$271:I$271,"&gt;0")=1),I$210,"")</f>
        <v/>
      </c>
      <c r="J278" s="52" t="str">
        <f aca="false">IF(AND(J271&gt;0,COUNTIF($F$271:J$271,"&gt;0")=1),J$210,"")</f>
        <v/>
      </c>
      <c r="K278" s="23"/>
      <c r="L278" s="49" t="s">
        <v>691</v>
      </c>
    </row>
    <row r="279" customFormat="false" ht="15" hidden="true" customHeight="false" outlineLevel="1" collapsed="false">
      <c r="A279" s="19" t="s">
        <v>693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customFormat="false" ht="15" hidden="true" customHeight="false" outlineLevel="1" collapsed="false">
      <c r="A280" s="20" t="n">
        <v>114</v>
      </c>
      <c r="B280" s="6" t="s">
        <v>70</v>
      </c>
      <c r="C280" s="20" t="s">
        <v>71</v>
      </c>
      <c r="D280" s="51" t="n">
        <f aca="false">SUM(F228:J228)</f>
        <v>145.834329690536</v>
      </c>
      <c r="E280" s="23"/>
      <c r="F280" s="23"/>
      <c r="G280" s="23"/>
      <c r="H280" s="23"/>
      <c r="I280" s="23"/>
      <c r="J280" s="23"/>
      <c r="K280" s="23"/>
      <c r="L280" s="49"/>
    </row>
    <row r="281" customFormat="false" ht="15" hidden="true" customHeight="false" outlineLevel="1" collapsed="false">
      <c r="A281" s="20" t="n">
        <v>115</v>
      </c>
      <c r="B281" s="6" t="s">
        <v>694</v>
      </c>
      <c r="C281" s="20" t="s">
        <v>71</v>
      </c>
      <c r="D281" s="51" t="n">
        <f aca="false">J228</f>
        <v>57.6249792857067</v>
      </c>
      <c r="E281" s="23"/>
      <c r="F281" s="23"/>
      <c r="G281" s="23"/>
      <c r="H281" s="23"/>
      <c r="I281" s="23"/>
      <c r="J281" s="23"/>
      <c r="K281" s="23"/>
      <c r="L281" s="49"/>
    </row>
    <row r="282" customFormat="false" ht="15" hidden="true" customHeight="false" outlineLevel="1" collapsed="false">
      <c r="A282" s="20" t="n">
        <v>116</v>
      </c>
      <c r="B282" s="6" t="s">
        <v>695</v>
      </c>
      <c r="C282" s="20" t="s">
        <v>71</v>
      </c>
      <c r="D282" s="51" t="n">
        <f aca="false">J229</f>
        <v>59.706373685665</v>
      </c>
      <c r="E282" s="23"/>
      <c r="F282" s="23"/>
      <c r="G282" s="23"/>
      <c r="H282" s="23"/>
      <c r="I282" s="23"/>
      <c r="J282" s="23"/>
      <c r="K282" s="23"/>
      <c r="L282" s="49"/>
    </row>
    <row r="283" customFormat="false" ht="15" hidden="true" customHeight="false" outlineLevel="1" collapsed="false">
      <c r="A283" s="20" t="n">
        <v>117</v>
      </c>
      <c r="B283" s="6" t="s">
        <v>696</v>
      </c>
      <c r="C283" s="20" t="s">
        <v>71</v>
      </c>
      <c r="D283" s="51" t="n">
        <f aca="false">J259</f>
        <v>9.92783532256228</v>
      </c>
      <c r="E283" s="23"/>
      <c r="F283" s="23"/>
      <c r="G283" s="23"/>
      <c r="H283" s="23"/>
      <c r="I283" s="23"/>
      <c r="J283" s="23"/>
      <c r="K283" s="23"/>
      <c r="L283" s="49"/>
    </row>
    <row r="284" customFormat="false" ht="15" hidden="true" customHeight="false" outlineLevel="1" collapsed="false">
      <c r="A284" s="20" t="n">
        <v>118</v>
      </c>
      <c r="B284" s="6" t="s">
        <v>697</v>
      </c>
      <c r="C284" s="20" t="s">
        <v>76</v>
      </c>
      <c r="D284" s="54" t="n">
        <f aca="false">J220</f>
        <v>11</v>
      </c>
      <c r="E284" s="23"/>
      <c r="F284" s="23"/>
      <c r="G284" s="23"/>
      <c r="H284" s="23"/>
      <c r="I284" s="23"/>
      <c r="J284" s="23"/>
      <c r="K284" s="23"/>
      <c r="L284" s="49"/>
    </row>
    <row r="285" customFormat="false" ht="15" hidden="true" customHeight="false" outlineLevel="1" collapsed="false">
      <c r="A285" s="20" t="n">
        <v>119</v>
      </c>
      <c r="B285" s="6" t="s">
        <v>698</v>
      </c>
      <c r="C285" s="20" t="s">
        <v>53</v>
      </c>
      <c r="D285" s="51" t="n">
        <f aca="false">J231</f>
        <v>8</v>
      </c>
      <c r="E285" s="23"/>
      <c r="F285" s="23"/>
      <c r="G285" s="23"/>
      <c r="H285" s="23"/>
      <c r="I285" s="23"/>
      <c r="J285" s="23"/>
      <c r="K285" s="23"/>
      <c r="L285" s="49"/>
    </row>
    <row r="286" customFormat="false" ht="15" hidden="true" customHeight="false" outlineLevel="1" collapsed="false">
      <c r="A286" s="20" t="n">
        <v>120</v>
      </c>
      <c r="B286" s="6" t="s">
        <v>699</v>
      </c>
      <c r="C286" s="20" t="s">
        <v>71</v>
      </c>
      <c r="D286" s="51" t="n">
        <f aca="false">MIN(0,MIN(F271:J271))</f>
        <v>-39.1303762207986</v>
      </c>
      <c r="E286" s="23"/>
      <c r="F286" s="23"/>
      <c r="G286" s="23"/>
      <c r="H286" s="23"/>
      <c r="I286" s="23"/>
      <c r="J286" s="23"/>
      <c r="K286" s="23"/>
      <c r="L286" s="49"/>
    </row>
    <row r="287" customFormat="false" ht="15" hidden="true" customHeight="false" outlineLevel="1" collapsed="false">
      <c r="A287" s="20" t="n">
        <v>121</v>
      </c>
      <c r="B287" s="6" t="s">
        <v>700</v>
      </c>
      <c r="C287" s="20" t="s">
        <v>71</v>
      </c>
      <c r="D287" s="51" t="n">
        <f aca="false">-$D$286*(1+$D$192)</f>
        <v>46.9564514649583</v>
      </c>
      <c r="E287" s="23"/>
      <c r="F287" s="23"/>
      <c r="G287" s="23"/>
      <c r="H287" s="23"/>
      <c r="I287" s="23"/>
      <c r="J287" s="23"/>
      <c r="K287" s="23"/>
      <c r="L287" s="49"/>
    </row>
    <row r="288" customFormat="false" ht="15" hidden="true" customHeight="false" outlineLevel="1" collapsed="false">
      <c r="A288" s="20" t="n">
        <v>122</v>
      </c>
      <c r="B288" s="6" t="s">
        <v>701</v>
      </c>
      <c r="C288" s="20" t="s">
        <v>71</v>
      </c>
      <c r="D288" s="51" t="n">
        <f aca="false">J271</f>
        <v>-34.8771598272701</v>
      </c>
      <c r="E288" s="23"/>
      <c r="F288" s="23"/>
      <c r="G288" s="23"/>
      <c r="H288" s="23"/>
      <c r="I288" s="23"/>
      <c r="J288" s="23"/>
      <c r="K288" s="23"/>
      <c r="L288" s="49"/>
    </row>
    <row r="289" customFormat="false" ht="15" hidden="true" customHeight="false" outlineLevel="1" collapsed="false">
      <c r="A289" s="20" t="n">
        <v>123</v>
      </c>
      <c r="B289" s="6" t="s">
        <v>702</v>
      </c>
      <c r="C289" s="20" t="s">
        <v>71</v>
      </c>
      <c r="D289" s="51" t="n">
        <f aca="false">SUM(F273:J273)</f>
        <v>-22.7953230210753</v>
      </c>
      <c r="E289" s="23"/>
      <c r="F289" s="23"/>
      <c r="G289" s="23"/>
      <c r="H289" s="23"/>
      <c r="I289" s="23"/>
      <c r="J289" s="23"/>
      <c r="K289" s="23"/>
      <c r="L289" s="49"/>
    </row>
    <row r="290" customFormat="false" ht="15" hidden="true" customHeight="false" outlineLevel="1" collapsed="false">
      <c r="A290" s="20" t="n">
        <v>124</v>
      </c>
      <c r="B290" s="6" t="s">
        <v>82</v>
      </c>
      <c r="C290" s="20" t="s">
        <v>71</v>
      </c>
      <c r="D290" s="51" t="n">
        <f aca="false">SUM(F273:J273)+SUM(F275:J275)</f>
        <v>-18.2132636840789</v>
      </c>
      <c r="E290" s="23"/>
      <c r="F290" s="23"/>
      <c r="G290" s="23"/>
      <c r="H290" s="23"/>
      <c r="I290" s="23"/>
      <c r="J290" s="23"/>
      <c r="K290" s="23"/>
      <c r="L290" s="49"/>
    </row>
    <row r="291" customFormat="false" ht="15" hidden="true" customHeight="false" outlineLevel="1" collapsed="false">
      <c r="A291" s="20" t="n">
        <v>125</v>
      </c>
      <c r="B291" s="6" t="s">
        <v>83</v>
      </c>
      <c r="C291" s="20" t="s">
        <v>68</v>
      </c>
      <c r="D291" s="55" t="n">
        <f aca="false">IFERROR(IRR(F276:J276),"н/д")</f>
        <v>-0.191215528481061</v>
      </c>
      <c r="E291" s="23"/>
      <c r="F291" s="23"/>
      <c r="G291" s="23"/>
      <c r="H291" s="23"/>
      <c r="I291" s="23"/>
      <c r="J291" s="23"/>
      <c r="K291" s="23"/>
      <c r="L291" s="49"/>
    </row>
    <row r="292" customFormat="false" ht="15" hidden="true" customHeight="false" outlineLevel="1" collapsed="false">
      <c r="A292" s="20" t="n">
        <v>126</v>
      </c>
      <c r="B292" s="6" t="s">
        <v>13</v>
      </c>
      <c r="C292" s="20" t="s">
        <v>79</v>
      </c>
      <c r="D292" s="56" t="n">
        <f aca="false">IF(COUNT(F277:J277)=0,"после 2031",MIN(F277:J277))</f>
        <v>2031</v>
      </c>
      <c r="E292" s="23"/>
      <c r="F292" s="23"/>
      <c r="G292" s="23"/>
      <c r="H292" s="23"/>
      <c r="I292" s="23"/>
      <c r="J292" s="23"/>
      <c r="K292" s="23"/>
      <c r="L292" s="49"/>
    </row>
    <row r="293" customFormat="false" ht="15" hidden="true" customHeight="false" outlineLevel="1" collapsed="false">
      <c r="A293" s="20" t="n">
        <v>127</v>
      </c>
      <c r="B293" s="6" t="s">
        <v>703</v>
      </c>
      <c r="C293" s="20" t="s">
        <v>79</v>
      </c>
      <c r="D293" s="56" t="str">
        <f aca="false">IF(COUNT(F278:J278)=0,"после 2031",MIN(F278:J278))</f>
        <v>после 2031</v>
      </c>
      <c r="E293" s="23"/>
      <c r="F293" s="23"/>
      <c r="G293" s="23"/>
      <c r="H293" s="23"/>
      <c r="I293" s="23"/>
      <c r="J293" s="23"/>
      <c r="K293" s="23"/>
      <c r="L293" s="49"/>
    </row>
    <row r="296" customFormat="false" ht="15" hidden="true" customHeight="false" outlineLevel="1" collapsed="false">
      <c r="A296" s="57" t="s">
        <v>725</v>
      </c>
    </row>
    <row r="297" customFormat="false" ht="30" hidden="true" customHeight="true" outlineLevel="1" collapsed="false">
      <c r="A297" s="4" t="s">
        <v>49</v>
      </c>
      <c r="B297" s="4" t="s">
        <v>3</v>
      </c>
      <c r="C297" s="5" t="s">
        <v>50</v>
      </c>
      <c r="D297" s="5" t="s">
        <v>551</v>
      </c>
      <c r="E297" s="5" t="s">
        <v>356</v>
      </c>
      <c r="F297" s="5" t="s">
        <v>86</v>
      </c>
      <c r="G297" s="5" t="s">
        <v>87</v>
      </c>
      <c r="H297" s="5" t="s">
        <v>88</v>
      </c>
      <c r="I297" s="5" t="s">
        <v>89</v>
      </c>
      <c r="J297" s="5" t="s">
        <v>90</v>
      </c>
      <c r="K297" s="5" t="s">
        <v>552</v>
      </c>
      <c r="L297" s="5" t="s">
        <v>393</v>
      </c>
    </row>
    <row r="298" customFormat="false" ht="15" hidden="true" customHeight="false" outlineLevel="1" collapsed="false">
      <c r="A298" s="19" t="s">
        <v>553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customFormat="false" ht="15" hidden="true" customHeight="false" outlineLevel="1" collapsed="false">
      <c r="A299" s="20" t="n">
        <v>1</v>
      </c>
      <c r="B299" s="6" t="s">
        <v>554</v>
      </c>
      <c r="C299" s="20" t="s">
        <v>79</v>
      </c>
      <c r="D299" s="10" t="n">
        <f aca="false">Допущения!$E$49</f>
        <v>2027</v>
      </c>
      <c r="E299" s="23"/>
      <c r="F299" s="23"/>
      <c r="G299" s="23"/>
      <c r="H299" s="23"/>
      <c r="I299" s="23"/>
      <c r="J299" s="23"/>
      <c r="K299" s="23"/>
      <c r="L299" s="49"/>
    </row>
    <row r="300" customFormat="false" ht="15" hidden="true" customHeight="false" outlineLevel="1" collapsed="false">
      <c r="A300" s="20" t="n">
        <v>2</v>
      </c>
      <c r="B300" s="6" t="s">
        <v>555</v>
      </c>
      <c r="C300" s="20" t="s">
        <v>105</v>
      </c>
      <c r="D300" s="45" t="n">
        <f aca="false">Допущения!$E$7</f>
        <v>1.8</v>
      </c>
      <c r="E300" s="23"/>
      <c r="F300" s="23"/>
      <c r="G300" s="23"/>
      <c r="H300" s="23"/>
      <c r="I300" s="23"/>
      <c r="J300" s="23"/>
      <c r="K300" s="23"/>
      <c r="L300" s="49"/>
    </row>
    <row r="301" customFormat="false" ht="15" hidden="true" customHeight="false" outlineLevel="1" collapsed="false">
      <c r="A301" s="20" t="n">
        <v>3</v>
      </c>
      <c r="B301" s="6" t="s">
        <v>556</v>
      </c>
      <c r="C301" s="20" t="s">
        <v>55</v>
      </c>
      <c r="D301" s="9" t="n">
        <f aca="false">Допущения!$E$42*1.2</f>
        <v>7.2</v>
      </c>
      <c r="E301" s="23"/>
      <c r="F301" s="23"/>
      <c r="G301" s="23"/>
      <c r="H301" s="23"/>
      <c r="I301" s="23"/>
      <c r="J301" s="23"/>
      <c r="K301" s="23"/>
      <c r="L301" s="49"/>
    </row>
    <row r="302" customFormat="false" ht="15" hidden="true" customHeight="false" outlineLevel="1" collapsed="false">
      <c r="A302" s="20" t="n">
        <v>4</v>
      </c>
      <c r="B302" s="6" t="s">
        <v>557</v>
      </c>
      <c r="C302" s="20" t="s">
        <v>244</v>
      </c>
      <c r="D302" s="9" t="n">
        <f aca="false">Допущения!$E$43*1.2</f>
        <v>6</v>
      </c>
      <c r="E302" s="23"/>
      <c r="F302" s="23"/>
      <c r="G302" s="23"/>
      <c r="H302" s="23"/>
      <c r="I302" s="23"/>
      <c r="J302" s="23"/>
      <c r="K302" s="23"/>
      <c r="L302" s="49"/>
    </row>
    <row r="303" customFormat="false" ht="15" hidden="true" customHeight="false" outlineLevel="1" collapsed="false">
      <c r="A303" s="20" t="n">
        <v>5</v>
      </c>
      <c r="B303" s="6" t="s">
        <v>558</v>
      </c>
      <c r="C303" s="20" t="s">
        <v>55</v>
      </c>
      <c r="D303" s="9" t="n">
        <f aca="false">Допущения!$E$44*1.2</f>
        <v>1.8</v>
      </c>
      <c r="E303" s="23"/>
      <c r="F303" s="23"/>
      <c r="G303" s="23"/>
      <c r="H303" s="23"/>
      <c r="I303" s="23"/>
      <c r="J303" s="23"/>
      <c r="K303" s="23"/>
      <c r="L303" s="49"/>
    </row>
    <row r="304" customFormat="false" ht="15" hidden="true" customHeight="false" outlineLevel="1" collapsed="false">
      <c r="A304" s="20" t="n">
        <v>6</v>
      </c>
      <c r="B304" s="6" t="s">
        <v>559</v>
      </c>
      <c r="C304" s="20" t="s">
        <v>71</v>
      </c>
      <c r="D304" s="9" t="n">
        <f aca="false">Допущения!$E$45</f>
        <v>8</v>
      </c>
      <c r="E304" s="23"/>
      <c r="F304" s="23"/>
      <c r="G304" s="23"/>
      <c r="H304" s="23"/>
      <c r="I304" s="23"/>
      <c r="J304" s="23"/>
      <c r="K304" s="23"/>
      <c r="L304" s="49"/>
    </row>
    <row r="305" customFormat="false" ht="15" hidden="true" customHeight="false" outlineLevel="1" collapsed="false">
      <c r="A305" s="20" t="n">
        <v>7</v>
      </c>
      <c r="B305" s="6" t="s">
        <v>560</v>
      </c>
      <c r="C305" s="20" t="s">
        <v>71</v>
      </c>
      <c r="D305" s="9" t="n">
        <f aca="false">Допущения!$E$46</f>
        <v>2</v>
      </c>
      <c r="E305" s="23"/>
      <c r="F305" s="23"/>
      <c r="G305" s="23"/>
      <c r="H305" s="23"/>
      <c r="I305" s="23"/>
      <c r="J305" s="23"/>
      <c r="K305" s="23"/>
      <c r="L305" s="49"/>
    </row>
    <row r="306" customFormat="false" ht="15" hidden="true" customHeight="false" outlineLevel="1" collapsed="false">
      <c r="A306" s="20" t="n">
        <v>8</v>
      </c>
      <c r="B306" s="6" t="s">
        <v>260</v>
      </c>
      <c r="C306" s="20" t="s">
        <v>261</v>
      </c>
      <c r="D306" s="22" t="n">
        <f aca="false">Допущения!$E$47</f>
        <v>0.05</v>
      </c>
      <c r="E306" s="23"/>
      <c r="F306" s="23"/>
      <c r="G306" s="23"/>
      <c r="H306" s="23"/>
      <c r="I306" s="23"/>
      <c r="J306" s="23"/>
      <c r="K306" s="23"/>
      <c r="L306" s="49"/>
    </row>
    <row r="307" customFormat="false" ht="15" hidden="true" customHeight="false" outlineLevel="1" collapsed="false">
      <c r="A307" s="20" t="n">
        <v>9</v>
      </c>
      <c r="B307" s="6" t="s">
        <v>561</v>
      </c>
      <c r="C307" s="20" t="s">
        <v>261</v>
      </c>
      <c r="D307" s="22" t="n">
        <f aca="false">Допущения!$E$48</f>
        <v>0.15</v>
      </c>
      <c r="E307" s="23"/>
      <c r="F307" s="23"/>
      <c r="G307" s="23"/>
      <c r="H307" s="23"/>
      <c r="I307" s="23"/>
      <c r="J307" s="23"/>
      <c r="K307" s="23"/>
      <c r="L307" s="49"/>
    </row>
    <row r="308" customFormat="false" ht="15" hidden="true" customHeight="false" outlineLevel="1" collapsed="false">
      <c r="A308" s="20" t="n">
        <v>10</v>
      </c>
      <c r="B308" s="6" t="s">
        <v>274</v>
      </c>
      <c r="C308" s="20" t="s">
        <v>261</v>
      </c>
      <c r="D308" s="22" t="n">
        <f aca="false">Допущения!$E$51</f>
        <v>0.07</v>
      </c>
      <c r="E308" s="23"/>
      <c r="F308" s="23"/>
      <c r="G308" s="23"/>
      <c r="H308" s="23"/>
      <c r="I308" s="23"/>
      <c r="J308" s="23"/>
      <c r="K308" s="23"/>
      <c r="L308" s="49"/>
    </row>
    <row r="309" customFormat="false" ht="15" hidden="true" customHeight="false" outlineLevel="1" collapsed="false">
      <c r="A309" s="20" t="n">
        <v>11</v>
      </c>
      <c r="B309" s="6" t="s">
        <v>562</v>
      </c>
      <c r="C309" s="20" t="s">
        <v>68</v>
      </c>
      <c r="D309" s="22" t="n">
        <f aca="false">Допущения!$E$52</f>
        <v>0.15</v>
      </c>
      <c r="E309" s="23"/>
      <c r="F309" s="23"/>
      <c r="G309" s="23"/>
      <c r="H309" s="23"/>
      <c r="I309" s="23"/>
      <c r="J309" s="23"/>
      <c r="K309" s="23"/>
      <c r="L309" s="49"/>
    </row>
    <row r="310" customFormat="false" ht="15" hidden="true" customHeight="false" outlineLevel="1" collapsed="false">
      <c r="A310" s="20" t="n">
        <v>12</v>
      </c>
      <c r="B310" s="6" t="s">
        <v>563</v>
      </c>
      <c r="C310" s="20" t="s">
        <v>68</v>
      </c>
      <c r="D310" s="22" t="n">
        <f aca="false">Допущения!$E$53</f>
        <v>0.076</v>
      </c>
      <c r="E310" s="23"/>
      <c r="F310" s="23"/>
      <c r="G310" s="23"/>
      <c r="H310" s="23"/>
      <c r="I310" s="23"/>
      <c r="J310" s="23"/>
      <c r="K310" s="23"/>
      <c r="L310" s="49"/>
    </row>
    <row r="311" customFormat="false" ht="15" hidden="true" customHeight="false" outlineLevel="1" collapsed="false">
      <c r="A311" s="20" t="n">
        <v>13</v>
      </c>
      <c r="B311" s="6" t="s">
        <v>284</v>
      </c>
      <c r="C311" s="20" t="s">
        <v>68</v>
      </c>
      <c r="D311" s="22" t="n">
        <f aca="false">Допущения!$E$54</f>
        <v>0.002</v>
      </c>
      <c r="E311" s="23"/>
      <c r="F311" s="23"/>
      <c r="G311" s="23"/>
      <c r="H311" s="23"/>
      <c r="I311" s="23"/>
      <c r="J311" s="23"/>
      <c r="K311" s="23"/>
      <c r="L311" s="49"/>
    </row>
    <row r="312" customFormat="false" ht="15" hidden="true" customHeight="false" outlineLevel="1" collapsed="false">
      <c r="A312" s="20" t="n">
        <v>14</v>
      </c>
      <c r="B312" s="6" t="s">
        <v>564</v>
      </c>
      <c r="C312" s="20" t="s">
        <v>55</v>
      </c>
      <c r="D312" s="50" t="n">
        <f aca="false">Допущения!$E$55</f>
        <v>2.979</v>
      </c>
      <c r="E312" s="23"/>
      <c r="F312" s="23"/>
      <c r="G312" s="23"/>
      <c r="H312" s="23"/>
      <c r="I312" s="23"/>
      <c r="J312" s="23"/>
      <c r="K312" s="23"/>
      <c r="L312" s="49"/>
    </row>
    <row r="313" customFormat="false" ht="15" hidden="true" customHeight="false" outlineLevel="1" collapsed="false">
      <c r="A313" s="20" t="n">
        <v>15</v>
      </c>
      <c r="B313" s="6" t="s">
        <v>565</v>
      </c>
      <c r="C313" s="20" t="s">
        <v>261</v>
      </c>
      <c r="D313" s="22" t="n">
        <f aca="false">Допущения!$E$56</f>
        <v>0.08</v>
      </c>
      <c r="E313" s="23"/>
      <c r="F313" s="23"/>
      <c r="G313" s="23"/>
      <c r="H313" s="23"/>
      <c r="I313" s="23"/>
      <c r="J313" s="23"/>
      <c r="K313" s="23"/>
      <c r="L313" s="49"/>
    </row>
    <row r="314" customFormat="false" ht="15" hidden="true" customHeight="false" outlineLevel="1" collapsed="false">
      <c r="A314" s="20" t="n">
        <v>16</v>
      </c>
      <c r="B314" s="6" t="s">
        <v>566</v>
      </c>
      <c r="C314" s="20" t="s">
        <v>71</v>
      </c>
      <c r="D314" s="9" t="n">
        <f aca="false">Допущения!$E$58</f>
        <v>2.5</v>
      </c>
      <c r="E314" s="23"/>
      <c r="F314" s="23"/>
      <c r="G314" s="23"/>
      <c r="H314" s="23"/>
      <c r="I314" s="23"/>
      <c r="J314" s="23"/>
      <c r="K314" s="23"/>
      <c r="L314" s="49"/>
    </row>
    <row r="315" customFormat="false" ht="15" hidden="true" customHeight="false" outlineLevel="1" collapsed="false">
      <c r="A315" s="20" t="n">
        <v>17</v>
      </c>
      <c r="B315" s="6" t="s">
        <v>299</v>
      </c>
      <c r="C315" s="20" t="s">
        <v>55</v>
      </c>
      <c r="D315" s="9" t="n">
        <f aca="false">Допущения!$E$59</f>
        <v>1</v>
      </c>
      <c r="E315" s="23"/>
      <c r="F315" s="23"/>
      <c r="G315" s="23"/>
      <c r="H315" s="23"/>
      <c r="I315" s="23"/>
      <c r="J315" s="23"/>
      <c r="K315" s="23"/>
      <c r="L315" s="49"/>
    </row>
    <row r="316" customFormat="false" ht="15" hidden="true" customHeight="false" outlineLevel="1" collapsed="false">
      <c r="A316" s="20" t="n">
        <v>18</v>
      </c>
      <c r="B316" s="6" t="s">
        <v>302</v>
      </c>
      <c r="C316" s="20" t="s">
        <v>55</v>
      </c>
      <c r="D316" s="9" t="n">
        <f aca="false">Допущения!$E$60</f>
        <v>0.6</v>
      </c>
      <c r="E316" s="23"/>
      <c r="F316" s="23"/>
      <c r="G316" s="23"/>
      <c r="H316" s="23"/>
      <c r="I316" s="23"/>
      <c r="J316" s="23"/>
      <c r="K316" s="23"/>
      <c r="L316" s="49"/>
    </row>
    <row r="317" customFormat="false" ht="15" hidden="true" customHeight="false" outlineLevel="1" collapsed="false">
      <c r="A317" s="20" t="n">
        <v>19</v>
      </c>
      <c r="B317" s="6" t="s">
        <v>567</v>
      </c>
      <c r="C317" s="20" t="s">
        <v>55</v>
      </c>
      <c r="D317" s="45" t="n">
        <f aca="false">Допущения!$E$61</f>
        <v>0.15</v>
      </c>
      <c r="E317" s="23"/>
      <c r="F317" s="23"/>
      <c r="G317" s="23"/>
      <c r="H317" s="23"/>
      <c r="I317" s="23"/>
      <c r="J317" s="23"/>
      <c r="K317" s="23"/>
      <c r="L317" s="49"/>
    </row>
    <row r="318" customFormat="false" ht="15" hidden="true" customHeight="false" outlineLevel="1" collapsed="false">
      <c r="A318" s="20" t="n">
        <v>20</v>
      </c>
      <c r="B318" s="6" t="s">
        <v>568</v>
      </c>
      <c r="C318" s="20" t="s">
        <v>55</v>
      </c>
      <c r="D318" s="9" t="n">
        <f aca="false">Допущения!$E$62</f>
        <v>1</v>
      </c>
      <c r="E318" s="23"/>
      <c r="F318" s="23"/>
      <c r="G318" s="23"/>
      <c r="H318" s="23"/>
      <c r="I318" s="23"/>
      <c r="J318" s="23"/>
      <c r="K318" s="23"/>
      <c r="L318" s="49"/>
    </row>
    <row r="319" customFormat="false" ht="15" hidden="true" customHeight="false" outlineLevel="1" collapsed="false">
      <c r="A319" s="20" t="n">
        <v>21</v>
      </c>
      <c r="B319" s="6" t="s">
        <v>569</v>
      </c>
      <c r="C319" s="20" t="s">
        <v>71</v>
      </c>
      <c r="D319" s="9" t="n">
        <f aca="false">Допущения!$E$63</f>
        <v>0.4</v>
      </c>
      <c r="E319" s="23"/>
      <c r="F319" s="23"/>
      <c r="G319" s="23"/>
      <c r="H319" s="23"/>
      <c r="I319" s="23"/>
      <c r="J319" s="23"/>
      <c r="K319" s="23"/>
      <c r="L319" s="49"/>
    </row>
    <row r="320" customFormat="false" ht="15" hidden="true" customHeight="false" outlineLevel="1" collapsed="false">
      <c r="A320" s="20" t="n">
        <v>22</v>
      </c>
      <c r="B320" s="6" t="s">
        <v>314</v>
      </c>
      <c r="C320" s="20" t="s">
        <v>55</v>
      </c>
      <c r="D320" s="9" t="n">
        <f aca="false">Допущения!$E$64</f>
        <v>1.2</v>
      </c>
      <c r="E320" s="23"/>
      <c r="F320" s="23"/>
      <c r="G320" s="23"/>
      <c r="H320" s="23"/>
      <c r="I320" s="23"/>
      <c r="J320" s="23"/>
      <c r="K320" s="23"/>
      <c r="L320" s="49"/>
    </row>
    <row r="321" customFormat="false" ht="15" hidden="true" customHeight="false" outlineLevel="1" collapsed="false">
      <c r="A321" s="20" t="n">
        <v>23</v>
      </c>
      <c r="B321" s="6" t="s">
        <v>317</v>
      </c>
      <c r="C321" s="20" t="s">
        <v>55</v>
      </c>
      <c r="D321" s="45" t="n">
        <f aca="false">Допущения!$E$65</f>
        <v>0.1</v>
      </c>
      <c r="E321" s="23"/>
      <c r="F321" s="23"/>
      <c r="G321" s="23"/>
      <c r="H321" s="23"/>
      <c r="I321" s="23"/>
      <c r="J321" s="23"/>
      <c r="K321" s="23"/>
      <c r="L321" s="49"/>
    </row>
    <row r="322" customFormat="false" ht="15" hidden="true" customHeight="false" outlineLevel="1" collapsed="false">
      <c r="A322" s="20" t="n">
        <v>24</v>
      </c>
      <c r="B322" s="6" t="s">
        <v>320</v>
      </c>
      <c r="C322" s="20" t="s">
        <v>71</v>
      </c>
      <c r="D322" s="45" t="n">
        <f aca="false">Допущения!$E$66</f>
        <v>0.25</v>
      </c>
      <c r="E322" s="23"/>
      <c r="F322" s="23"/>
      <c r="G322" s="23"/>
      <c r="H322" s="23"/>
      <c r="I322" s="23"/>
      <c r="J322" s="23"/>
      <c r="K322" s="23"/>
      <c r="L322" s="49"/>
    </row>
    <row r="323" customFormat="false" ht="15" hidden="true" customHeight="false" outlineLevel="1" collapsed="false">
      <c r="A323" s="20" t="n">
        <v>25</v>
      </c>
      <c r="B323" s="6" t="s">
        <v>570</v>
      </c>
      <c r="C323" s="20" t="s">
        <v>71</v>
      </c>
      <c r="D323" s="9" t="n">
        <f aca="false">Допущения!$E$67</f>
        <v>0.3</v>
      </c>
      <c r="E323" s="23"/>
      <c r="F323" s="23"/>
      <c r="G323" s="23"/>
      <c r="H323" s="23"/>
      <c r="I323" s="23"/>
      <c r="J323" s="23"/>
      <c r="K323" s="23"/>
      <c r="L323" s="49"/>
    </row>
    <row r="324" customFormat="false" ht="15" hidden="true" customHeight="false" outlineLevel="1" collapsed="false">
      <c r="A324" s="20" t="n">
        <v>26</v>
      </c>
      <c r="B324" s="6" t="s">
        <v>326</v>
      </c>
      <c r="C324" s="20" t="s">
        <v>261</v>
      </c>
      <c r="D324" s="22" t="n">
        <f aca="false">Допущения!$E$68</f>
        <v>0.05</v>
      </c>
      <c r="E324" s="23"/>
      <c r="F324" s="23"/>
      <c r="G324" s="23"/>
      <c r="H324" s="23"/>
      <c r="I324" s="23"/>
      <c r="J324" s="23"/>
      <c r="K324" s="23"/>
      <c r="L324" s="49"/>
    </row>
    <row r="325" customFormat="false" ht="15" hidden="true" customHeight="false" outlineLevel="1" collapsed="false">
      <c r="A325" s="20" t="n">
        <v>27</v>
      </c>
      <c r="B325" s="6" t="s">
        <v>571</v>
      </c>
      <c r="C325" s="20" t="s">
        <v>330</v>
      </c>
      <c r="D325" s="22" t="n">
        <f aca="false">Допущения!$E$69</f>
        <v>0.1</v>
      </c>
      <c r="E325" s="23"/>
      <c r="F325" s="23"/>
      <c r="G325" s="23"/>
      <c r="H325" s="23"/>
      <c r="I325" s="23"/>
      <c r="J325" s="23"/>
      <c r="K325" s="23"/>
      <c r="L325" s="49"/>
    </row>
    <row r="326" customFormat="false" ht="15" hidden="true" customHeight="false" outlineLevel="1" collapsed="false">
      <c r="A326" s="20" t="n">
        <v>28</v>
      </c>
      <c r="B326" s="6" t="s">
        <v>572</v>
      </c>
      <c r="C326" s="20" t="s">
        <v>68</v>
      </c>
      <c r="D326" s="22" t="n">
        <f aca="false">Допущения!$E$71</f>
        <v>0.05</v>
      </c>
      <c r="E326" s="23"/>
      <c r="F326" s="23"/>
      <c r="G326" s="23"/>
      <c r="H326" s="23"/>
      <c r="I326" s="23"/>
      <c r="J326" s="23"/>
      <c r="K326" s="23"/>
      <c r="L326" s="49"/>
    </row>
    <row r="327" customFormat="false" ht="15" hidden="true" customHeight="false" outlineLevel="1" collapsed="false">
      <c r="A327" s="20" t="n">
        <v>29</v>
      </c>
      <c r="B327" s="6" t="s">
        <v>573</v>
      </c>
      <c r="C327" s="20" t="s">
        <v>68</v>
      </c>
      <c r="D327" s="22" t="n">
        <f aca="false">Допущения!$E$72</f>
        <v>0.5</v>
      </c>
      <c r="E327" s="23"/>
      <c r="F327" s="23"/>
      <c r="G327" s="23"/>
      <c r="H327" s="23"/>
      <c r="I327" s="23"/>
      <c r="J327" s="23"/>
      <c r="K327" s="23"/>
      <c r="L327" s="49"/>
    </row>
    <row r="328" customFormat="false" ht="15" hidden="true" customHeight="false" outlineLevel="1" collapsed="false">
      <c r="A328" s="20" t="n">
        <v>30</v>
      </c>
      <c r="B328" s="6" t="s">
        <v>574</v>
      </c>
      <c r="C328" s="20" t="s">
        <v>575</v>
      </c>
      <c r="D328" s="7" t="n">
        <f aca="false">Допущения!$E$73</f>
        <v>90</v>
      </c>
      <c r="E328" s="23"/>
      <c r="F328" s="23"/>
      <c r="G328" s="23"/>
      <c r="H328" s="23"/>
      <c r="I328" s="23"/>
      <c r="J328" s="23"/>
      <c r="K328" s="23"/>
      <c r="L328" s="49"/>
    </row>
    <row r="329" customFormat="false" ht="15" hidden="true" customHeight="false" outlineLevel="1" collapsed="false">
      <c r="A329" s="20" t="n">
        <v>31</v>
      </c>
      <c r="B329" s="6" t="s">
        <v>345</v>
      </c>
      <c r="C329" s="20" t="s">
        <v>68</v>
      </c>
      <c r="D329" s="22" t="n">
        <f aca="false">Допущения!$E$74</f>
        <v>0.3</v>
      </c>
      <c r="E329" s="23"/>
      <c r="F329" s="23"/>
      <c r="G329" s="23"/>
      <c r="H329" s="23"/>
      <c r="I329" s="23"/>
      <c r="J329" s="23"/>
      <c r="K329" s="23"/>
      <c r="L329" s="49"/>
    </row>
    <row r="330" customFormat="false" ht="15" hidden="true" customHeight="false" outlineLevel="1" collapsed="false">
      <c r="A330" s="20" t="n">
        <v>32</v>
      </c>
      <c r="B330" s="6" t="s">
        <v>576</v>
      </c>
      <c r="C330" s="20" t="s">
        <v>261</v>
      </c>
      <c r="D330" s="22" t="n">
        <f aca="false">Допущения!$E$75</f>
        <v>0.04</v>
      </c>
      <c r="E330" s="23"/>
      <c r="F330" s="23"/>
      <c r="G330" s="23"/>
      <c r="H330" s="23"/>
      <c r="I330" s="23"/>
      <c r="J330" s="23"/>
      <c r="K330" s="23"/>
      <c r="L330" s="49"/>
    </row>
    <row r="331" customFormat="false" ht="15" hidden="true" customHeight="false" outlineLevel="1" collapsed="false">
      <c r="A331" s="20" t="n">
        <v>33</v>
      </c>
      <c r="B331" s="6" t="s">
        <v>577</v>
      </c>
      <c r="C331" s="20" t="s">
        <v>68</v>
      </c>
      <c r="D331" s="22" t="n">
        <f aca="false">Допущения!$E$76</f>
        <v>0.2</v>
      </c>
      <c r="E331" s="23"/>
      <c r="F331" s="23"/>
      <c r="G331" s="23"/>
      <c r="H331" s="23"/>
      <c r="I331" s="23"/>
      <c r="J331" s="23"/>
      <c r="K331" s="23"/>
      <c r="L331" s="49"/>
    </row>
    <row r="332" customFormat="false" ht="15" hidden="true" customHeight="false" outlineLevel="1" collapsed="false">
      <c r="A332" s="20" t="n">
        <v>34</v>
      </c>
      <c r="B332" s="6" t="s">
        <v>578</v>
      </c>
      <c r="C332" s="20" t="s">
        <v>105</v>
      </c>
      <c r="D332" s="50" t="n">
        <f aca="false">Рынок!$E$30</f>
        <v>0.490909090909091</v>
      </c>
      <c r="E332" s="23"/>
      <c r="F332" s="23"/>
      <c r="G332" s="23"/>
      <c r="H332" s="23"/>
      <c r="I332" s="23"/>
      <c r="J332" s="23"/>
      <c r="K332" s="23"/>
      <c r="L332" s="49" t="s">
        <v>579</v>
      </c>
    </row>
    <row r="333" customFormat="false" ht="15" hidden="true" customHeight="false" outlineLevel="1" collapsed="false">
      <c r="A333" s="20" t="n">
        <v>35</v>
      </c>
      <c r="B333" s="6" t="s">
        <v>580</v>
      </c>
      <c r="C333" s="20" t="s">
        <v>105</v>
      </c>
      <c r="D333" s="50" t="n">
        <f aca="false">Рынок!$E$31</f>
        <v>0.028125</v>
      </c>
      <c r="E333" s="23"/>
      <c r="F333" s="23"/>
      <c r="G333" s="23"/>
      <c r="H333" s="23"/>
      <c r="I333" s="23"/>
      <c r="J333" s="23"/>
      <c r="K333" s="23"/>
      <c r="L333" s="49" t="s">
        <v>579</v>
      </c>
    </row>
    <row r="334" customFormat="false" ht="15" hidden="true" customHeight="false" outlineLevel="1" collapsed="false">
      <c r="A334" s="20" t="n">
        <v>36</v>
      </c>
      <c r="B334" s="6" t="s">
        <v>581</v>
      </c>
      <c r="C334" s="20" t="s">
        <v>142</v>
      </c>
      <c r="D334" s="7" t="n">
        <f aca="false">План!$D$18</f>
        <v>200</v>
      </c>
      <c r="E334" s="23"/>
      <c r="F334" s="23"/>
      <c r="G334" s="23"/>
      <c r="H334" s="23"/>
      <c r="I334" s="23"/>
      <c r="J334" s="23"/>
      <c r="K334" s="23"/>
      <c r="L334" s="49" t="s">
        <v>582</v>
      </c>
    </row>
    <row r="335" customFormat="false" ht="15" hidden="true" customHeight="false" outlineLevel="1" collapsed="false">
      <c r="A335" s="20" t="n">
        <v>37</v>
      </c>
      <c r="B335" s="6" t="s">
        <v>583</v>
      </c>
      <c r="C335" s="20" t="s">
        <v>142</v>
      </c>
      <c r="D335" s="7" t="n">
        <f aca="false">План!$D$19</f>
        <v>280</v>
      </c>
      <c r="E335" s="23"/>
      <c r="F335" s="23"/>
      <c r="G335" s="23"/>
      <c r="H335" s="23"/>
      <c r="I335" s="23"/>
      <c r="J335" s="23"/>
      <c r="K335" s="23"/>
      <c r="L335" s="49" t="s">
        <v>582</v>
      </c>
    </row>
    <row r="336" customFormat="false" ht="15" hidden="true" customHeight="false" outlineLevel="1" collapsed="false">
      <c r="A336" s="20" t="n">
        <v>38</v>
      </c>
      <c r="B336" s="6" t="s">
        <v>584</v>
      </c>
      <c r="C336" s="20" t="s">
        <v>142</v>
      </c>
      <c r="D336" s="7" t="n">
        <f aca="false">План!$D$20</f>
        <v>230</v>
      </c>
      <c r="E336" s="23"/>
      <c r="F336" s="23"/>
      <c r="G336" s="23"/>
      <c r="H336" s="23"/>
      <c r="I336" s="23"/>
      <c r="J336" s="23"/>
      <c r="K336" s="23"/>
      <c r="L336" s="49" t="s">
        <v>582</v>
      </c>
    </row>
    <row r="337" customFormat="false" ht="15" hidden="true" customHeight="false" outlineLevel="1" collapsed="false">
      <c r="A337" s="20" t="n">
        <v>39</v>
      </c>
      <c r="B337" s="6" t="s">
        <v>585</v>
      </c>
      <c r="C337" s="20" t="s">
        <v>142</v>
      </c>
      <c r="D337" s="7" t="n">
        <f aca="false">План!$D$21</f>
        <v>220</v>
      </c>
      <c r="E337" s="23"/>
      <c r="F337" s="23"/>
      <c r="G337" s="23"/>
      <c r="H337" s="23"/>
      <c r="I337" s="23"/>
      <c r="J337" s="23"/>
      <c r="K337" s="23"/>
      <c r="L337" s="49" t="s">
        <v>582</v>
      </c>
    </row>
    <row r="338" customFormat="false" ht="15" hidden="true" customHeight="false" outlineLevel="1" collapsed="false">
      <c r="A338" s="20" t="n">
        <v>40</v>
      </c>
      <c r="B338" s="6" t="s">
        <v>586</v>
      </c>
      <c r="C338" s="20" t="s">
        <v>142</v>
      </c>
      <c r="D338" s="7" t="n">
        <f aca="false">План!$D$22</f>
        <v>250</v>
      </c>
      <c r="E338" s="23"/>
      <c r="F338" s="23"/>
      <c r="G338" s="23"/>
      <c r="H338" s="23"/>
      <c r="I338" s="23"/>
      <c r="J338" s="23"/>
      <c r="K338" s="23"/>
      <c r="L338" s="49" t="s">
        <v>582</v>
      </c>
    </row>
    <row r="339" customFormat="false" ht="15" hidden="true" customHeight="false" outlineLevel="1" collapsed="false">
      <c r="A339" s="20" t="n">
        <v>41</v>
      </c>
      <c r="B339" s="6" t="s">
        <v>587</v>
      </c>
      <c r="C339" s="20" t="s">
        <v>142</v>
      </c>
      <c r="D339" s="7" t="n">
        <f aca="false">План!$D$23</f>
        <v>220</v>
      </c>
      <c r="E339" s="23"/>
      <c r="F339" s="23"/>
      <c r="G339" s="23"/>
      <c r="H339" s="23"/>
      <c r="I339" s="23"/>
      <c r="J339" s="23"/>
      <c r="K339" s="23"/>
      <c r="L339" s="49" t="s">
        <v>582</v>
      </c>
    </row>
    <row r="340" customFormat="false" ht="15" hidden="true" customHeight="false" outlineLevel="1" collapsed="false">
      <c r="A340" s="20" t="n">
        <v>42</v>
      </c>
      <c r="B340" s="6" t="s">
        <v>359</v>
      </c>
      <c r="C340" s="20" t="s">
        <v>76</v>
      </c>
      <c r="D340" s="23"/>
      <c r="E340" s="9" t="n">
        <f aca="false">План!E16</f>
        <v>0</v>
      </c>
      <c r="F340" s="9" t="n">
        <f aca="false">План!F16</f>
        <v>0</v>
      </c>
      <c r="G340" s="9" t="n">
        <f aca="false">План!G16</f>
        <v>0</v>
      </c>
      <c r="H340" s="9" t="n">
        <f aca="false">План!H16</f>
        <v>1</v>
      </c>
      <c r="I340" s="9" t="n">
        <f aca="false">План!I16</f>
        <v>0</v>
      </c>
      <c r="J340" s="9" t="n">
        <f aca="false">План!J16</f>
        <v>1</v>
      </c>
      <c r="K340" s="51" t="n">
        <f aca="false">SUM(F340:J340)</f>
        <v>2</v>
      </c>
      <c r="L340" s="49" t="s">
        <v>582</v>
      </c>
    </row>
    <row r="341" customFormat="false" ht="15" hidden="true" customHeight="false" outlineLevel="1" collapsed="false">
      <c r="A341" s="20" t="n">
        <v>43</v>
      </c>
      <c r="B341" s="6" t="s">
        <v>361</v>
      </c>
      <c r="C341" s="20" t="s">
        <v>76</v>
      </c>
      <c r="D341" s="23"/>
      <c r="E341" s="9" t="n">
        <f aca="false">План!E17</f>
        <v>0</v>
      </c>
      <c r="F341" s="9" t="n">
        <f aca="false">План!F17</f>
        <v>0</v>
      </c>
      <c r="G341" s="9" t="n">
        <f aca="false">План!G17</f>
        <v>1</v>
      </c>
      <c r="H341" s="9" t="n">
        <f aca="false">План!H17</f>
        <v>2</v>
      </c>
      <c r="I341" s="9" t="n">
        <f aca="false">План!I17</f>
        <v>2</v>
      </c>
      <c r="J341" s="9" t="n">
        <f aca="false">План!J17</f>
        <v>3</v>
      </c>
      <c r="K341" s="51" t="n">
        <f aca="false">SUM(F341:J341)</f>
        <v>8</v>
      </c>
      <c r="L341" s="49" t="s">
        <v>582</v>
      </c>
    </row>
    <row r="342" customFormat="false" ht="15" hidden="true" customHeight="false" outlineLevel="1" collapsed="false">
      <c r="A342" s="20" t="n">
        <v>44</v>
      </c>
      <c r="B342" s="6" t="s">
        <v>588</v>
      </c>
      <c r="C342" s="20" t="s">
        <v>53</v>
      </c>
      <c r="D342" s="23"/>
      <c r="E342" s="9" t="n">
        <f aca="false">План!E18</f>
        <v>2</v>
      </c>
      <c r="F342" s="9" t="n">
        <f aca="false">План!F18</f>
        <v>2</v>
      </c>
      <c r="G342" s="9" t="n">
        <f aca="false">План!G18</f>
        <v>2</v>
      </c>
      <c r="H342" s="9" t="n">
        <f aca="false">План!H18</f>
        <v>2</v>
      </c>
      <c r="I342" s="9" t="n">
        <f aca="false">План!I18</f>
        <v>2</v>
      </c>
      <c r="J342" s="9" t="n">
        <f aca="false">План!J18</f>
        <v>2</v>
      </c>
      <c r="K342" s="23"/>
      <c r="L342" s="49" t="s">
        <v>582</v>
      </c>
    </row>
    <row r="343" customFormat="false" ht="15" hidden="true" customHeight="false" outlineLevel="1" collapsed="false">
      <c r="A343" s="20" t="n">
        <v>45</v>
      </c>
      <c r="B343" s="6" t="s">
        <v>589</v>
      </c>
      <c r="C343" s="20" t="s">
        <v>53</v>
      </c>
      <c r="D343" s="23"/>
      <c r="E343" s="9" t="n">
        <f aca="false">План!E19</f>
        <v>0</v>
      </c>
      <c r="F343" s="9" t="n">
        <f aca="false">План!F19</f>
        <v>1</v>
      </c>
      <c r="G343" s="9" t="n">
        <f aca="false">План!G19</f>
        <v>1</v>
      </c>
      <c r="H343" s="9" t="n">
        <f aca="false">План!H19</f>
        <v>1</v>
      </c>
      <c r="I343" s="9" t="n">
        <f aca="false">План!I19</f>
        <v>2</v>
      </c>
      <c r="J343" s="9" t="n">
        <f aca="false">План!J19</f>
        <v>2</v>
      </c>
      <c r="K343" s="23"/>
      <c r="L343" s="49" t="s">
        <v>582</v>
      </c>
    </row>
    <row r="344" customFormat="false" ht="15" hidden="true" customHeight="false" outlineLevel="1" collapsed="false">
      <c r="A344" s="20" t="n">
        <v>46</v>
      </c>
      <c r="B344" s="6" t="s">
        <v>590</v>
      </c>
      <c r="C344" s="20" t="s">
        <v>53</v>
      </c>
      <c r="D344" s="23"/>
      <c r="E344" s="9" t="n">
        <f aca="false">План!E20</f>
        <v>0</v>
      </c>
      <c r="F344" s="9" t="n">
        <f aca="false">План!F20</f>
        <v>1</v>
      </c>
      <c r="G344" s="9" t="n">
        <f aca="false">План!G20</f>
        <v>1</v>
      </c>
      <c r="H344" s="9" t="n">
        <f aca="false">План!H20</f>
        <v>1</v>
      </c>
      <c r="I344" s="9" t="n">
        <f aca="false">План!I20</f>
        <v>1</v>
      </c>
      <c r="J344" s="9" t="n">
        <f aca="false">План!J20</f>
        <v>1</v>
      </c>
      <c r="K344" s="23"/>
      <c r="L344" s="49" t="s">
        <v>582</v>
      </c>
    </row>
    <row r="345" customFormat="false" ht="15" hidden="true" customHeight="false" outlineLevel="1" collapsed="false">
      <c r="A345" s="20" t="n">
        <v>47</v>
      </c>
      <c r="B345" s="6" t="s">
        <v>591</v>
      </c>
      <c r="C345" s="20" t="s">
        <v>53</v>
      </c>
      <c r="D345" s="23"/>
      <c r="E345" s="9" t="n">
        <f aca="false">План!E21</f>
        <v>0</v>
      </c>
      <c r="F345" s="9" t="n">
        <f aca="false">План!F21</f>
        <v>0</v>
      </c>
      <c r="G345" s="9" t="n">
        <f aca="false">План!G21</f>
        <v>1</v>
      </c>
      <c r="H345" s="9" t="n">
        <f aca="false">План!H21</f>
        <v>1</v>
      </c>
      <c r="I345" s="9" t="n">
        <f aca="false">План!I21</f>
        <v>1</v>
      </c>
      <c r="J345" s="9" t="n">
        <f aca="false">План!J21</f>
        <v>1</v>
      </c>
      <c r="K345" s="23"/>
      <c r="L345" s="49" t="s">
        <v>582</v>
      </c>
    </row>
    <row r="346" customFormat="false" ht="15" hidden="true" customHeight="false" outlineLevel="1" collapsed="false">
      <c r="A346" s="20" t="n">
        <v>48</v>
      </c>
      <c r="B346" s="6" t="s">
        <v>592</v>
      </c>
      <c r="C346" s="20" t="s">
        <v>53</v>
      </c>
      <c r="D346" s="23"/>
      <c r="E346" s="9" t="n">
        <f aca="false">План!E22</f>
        <v>0</v>
      </c>
      <c r="F346" s="9" t="n">
        <f aca="false">План!F22</f>
        <v>0</v>
      </c>
      <c r="G346" s="9" t="n">
        <f aca="false">План!G22</f>
        <v>0</v>
      </c>
      <c r="H346" s="9" t="n">
        <f aca="false">План!H22</f>
        <v>1</v>
      </c>
      <c r="I346" s="9" t="n">
        <f aca="false">План!I22</f>
        <v>1</v>
      </c>
      <c r="J346" s="9" t="n">
        <f aca="false">План!J22</f>
        <v>1</v>
      </c>
      <c r="K346" s="23"/>
      <c r="L346" s="49" t="s">
        <v>582</v>
      </c>
    </row>
    <row r="347" customFormat="false" ht="15" hidden="true" customHeight="false" outlineLevel="1" collapsed="false">
      <c r="A347" s="20" t="n">
        <v>49</v>
      </c>
      <c r="B347" s="6" t="s">
        <v>593</v>
      </c>
      <c r="C347" s="20" t="s">
        <v>53</v>
      </c>
      <c r="D347" s="23"/>
      <c r="E347" s="9" t="n">
        <f aca="false">План!E23</f>
        <v>0</v>
      </c>
      <c r="F347" s="9" t="n">
        <f aca="false">План!F23</f>
        <v>0</v>
      </c>
      <c r="G347" s="9" t="n">
        <f aca="false">План!G23</f>
        <v>0</v>
      </c>
      <c r="H347" s="9" t="n">
        <f aca="false">План!H23</f>
        <v>0</v>
      </c>
      <c r="I347" s="9" t="n">
        <f aca="false">План!I23</f>
        <v>0</v>
      </c>
      <c r="J347" s="9" t="n">
        <f aca="false">План!J23</f>
        <v>1</v>
      </c>
      <c r="K347" s="23"/>
      <c r="L347" s="49" t="s">
        <v>582</v>
      </c>
    </row>
    <row r="348" customFormat="false" ht="15" hidden="true" customHeight="false" outlineLevel="1" collapsed="false">
      <c r="A348" s="19" t="s">
        <v>594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</row>
    <row r="349" customFormat="false" ht="15" hidden="true" customHeight="false" outlineLevel="1" collapsed="false">
      <c r="A349" s="20" t="n">
        <v>50</v>
      </c>
      <c r="B349" s="6" t="s">
        <v>595</v>
      </c>
      <c r="C349" s="20"/>
      <c r="D349" s="23"/>
      <c r="E349" s="10" t="n">
        <f aca="false">Допущения!$D$3</f>
        <v>2026</v>
      </c>
      <c r="F349" s="52" t="n">
        <f aca="false">E349+1</f>
        <v>2027</v>
      </c>
      <c r="G349" s="52" t="n">
        <f aca="false">F349+1</f>
        <v>2028</v>
      </c>
      <c r="H349" s="52" t="n">
        <f aca="false">G349+1</f>
        <v>2029</v>
      </c>
      <c r="I349" s="52" t="n">
        <f aca="false">H349+1</f>
        <v>2030</v>
      </c>
      <c r="J349" s="52" t="n">
        <f aca="false">I349+1</f>
        <v>2031</v>
      </c>
      <c r="K349" s="23"/>
      <c r="L349" s="49" t="s">
        <v>596</v>
      </c>
    </row>
    <row r="350" customFormat="false" ht="15" hidden="true" customHeight="false" outlineLevel="1" collapsed="false">
      <c r="A350" s="20" t="n">
        <v>51</v>
      </c>
      <c r="B350" s="6" t="s">
        <v>597</v>
      </c>
      <c r="C350" s="20" t="s">
        <v>62</v>
      </c>
      <c r="D350" s="23"/>
      <c r="E350" s="23"/>
      <c r="F350" s="53" t="n">
        <f aca="false">(1+$D$306)^(F$349-$E$349-1)</f>
        <v>1</v>
      </c>
      <c r="G350" s="53" t="n">
        <f aca="false">(1+$D$306)^(G$349-$E$349-1)</f>
        <v>1.05</v>
      </c>
      <c r="H350" s="53" t="n">
        <f aca="false">(1+$D$306)^(H$349-$E$349-1)</f>
        <v>1.1025</v>
      </c>
      <c r="I350" s="53" t="n">
        <f aca="false">(1+$D$306)^(I$349-$E$349-1)</f>
        <v>1.157625</v>
      </c>
      <c r="J350" s="53" t="n">
        <f aca="false">(1+$D$306)^(J$349-$E$349-1)</f>
        <v>1.21550625</v>
      </c>
      <c r="K350" s="23"/>
      <c r="L350" s="49" t="s">
        <v>598</v>
      </c>
    </row>
    <row r="351" customFormat="false" ht="15" hidden="true" customHeight="false" outlineLevel="1" collapsed="false">
      <c r="A351" s="20" t="n">
        <v>52</v>
      </c>
      <c r="B351" s="6" t="s">
        <v>599</v>
      </c>
      <c r="C351" s="20" t="s">
        <v>62</v>
      </c>
      <c r="D351" s="23"/>
      <c r="E351" s="23"/>
      <c r="F351" s="53" t="n">
        <f aca="false">(1+$D$324)^(F$349-$E$349-1)</f>
        <v>1</v>
      </c>
      <c r="G351" s="53" t="n">
        <f aca="false">(1+$D$324)^(G$349-$E$349-1)</f>
        <v>1.05</v>
      </c>
      <c r="H351" s="53" t="n">
        <f aca="false">(1+$D$324)^(H$349-$E$349-1)</f>
        <v>1.1025</v>
      </c>
      <c r="I351" s="53" t="n">
        <f aca="false">(1+$D$324)^(I$349-$E$349-1)</f>
        <v>1.157625</v>
      </c>
      <c r="J351" s="53" t="n">
        <f aca="false">(1+$D$324)^(J$349-$E$349-1)</f>
        <v>1.21550625</v>
      </c>
      <c r="K351" s="23"/>
      <c r="L351" s="49" t="s">
        <v>600</v>
      </c>
    </row>
    <row r="352" customFormat="false" ht="15" hidden="true" customHeight="false" outlineLevel="1" collapsed="false">
      <c r="A352" s="20" t="n">
        <v>53</v>
      </c>
      <c r="B352" s="6" t="s">
        <v>601</v>
      </c>
      <c r="C352" s="20" t="s">
        <v>62</v>
      </c>
      <c r="D352" s="23"/>
      <c r="E352" s="23"/>
      <c r="F352" s="53" t="n">
        <f aca="false">(1+$D$308)^(F$349-$E$349-1)</f>
        <v>1</v>
      </c>
      <c r="G352" s="53" t="n">
        <f aca="false">(1+$D$308)^(G$349-$E$349-1)</f>
        <v>1.07</v>
      </c>
      <c r="H352" s="53" t="n">
        <f aca="false">(1+$D$308)^(H$349-$E$349-1)</f>
        <v>1.1449</v>
      </c>
      <c r="I352" s="53" t="n">
        <f aca="false">(1+$D$308)^(I$349-$E$349-1)</f>
        <v>1.225043</v>
      </c>
      <c r="J352" s="53" t="n">
        <f aca="false">(1+$D$308)^(J$349-$E$349-1)</f>
        <v>1.31079601</v>
      </c>
      <c r="K352" s="23"/>
      <c r="L352" s="49" t="s">
        <v>602</v>
      </c>
    </row>
    <row r="353" customFormat="false" ht="15" hidden="true" customHeight="false" outlineLevel="1" collapsed="false">
      <c r="A353" s="20" t="n">
        <v>54</v>
      </c>
      <c r="B353" s="6" t="s">
        <v>603</v>
      </c>
      <c r="C353" s="20" t="s">
        <v>55</v>
      </c>
      <c r="D353" s="23"/>
      <c r="E353" s="23"/>
      <c r="F353" s="46" t="n">
        <f aca="false">$D$312*(1+$D$313)^(F$349-$E$349)</f>
        <v>3.21732</v>
      </c>
      <c r="G353" s="46" t="n">
        <f aca="false">$D$312*(1+$D$313)^(G$349-$E$349)</f>
        <v>3.4747056</v>
      </c>
      <c r="H353" s="46" t="n">
        <f aca="false">$D$312*(1+$D$313)^(H$349-$E$349)</f>
        <v>3.752682048</v>
      </c>
      <c r="I353" s="46" t="n">
        <f aca="false">$D$312*(1+$D$313)^(I$349-$E$349)</f>
        <v>4.05289661184</v>
      </c>
      <c r="J353" s="46" t="n">
        <f aca="false">$D$312*(1+$D$313)^(J$349-$E$349)</f>
        <v>4.3771283407872</v>
      </c>
      <c r="K353" s="23"/>
      <c r="L353" s="49" t="s">
        <v>604</v>
      </c>
    </row>
    <row r="354" customFormat="false" ht="15" hidden="true" customHeight="false" outlineLevel="1" collapsed="false">
      <c r="A354" s="19" t="s">
        <v>605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</row>
    <row r="355" customFormat="false" ht="15" hidden="true" customHeight="false" outlineLevel="1" collapsed="false">
      <c r="A355" s="20" t="n">
        <v>55</v>
      </c>
      <c r="B355" s="6" t="s">
        <v>606</v>
      </c>
      <c r="C355" s="20" t="s">
        <v>76</v>
      </c>
      <c r="D355" s="23"/>
      <c r="E355" s="23"/>
      <c r="F355" s="38" t="n">
        <f aca="false">IF(F$349=$D$299,1,0)</f>
        <v>1</v>
      </c>
      <c r="G355" s="38" t="n">
        <f aca="false">IF(G$349=$D$299,1,0)</f>
        <v>0</v>
      </c>
      <c r="H355" s="38" t="n">
        <f aca="false">IF(H$349=$D$299,1,0)</f>
        <v>0</v>
      </c>
      <c r="I355" s="38" t="n">
        <f aca="false">IF(I$349=$D$299,1,0)</f>
        <v>0</v>
      </c>
      <c r="J355" s="38" t="n">
        <f aca="false">IF(J$349=$D$299,1,0)</f>
        <v>0</v>
      </c>
      <c r="K355" s="23"/>
      <c r="L355" s="49" t="s">
        <v>607</v>
      </c>
    </row>
    <row r="356" customFormat="false" ht="15" hidden="true" customHeight="false" outlineLevel="1" collapsed="false">
      <c r="A356" s="20" t="n">
        <v>56</v>
      </c>
      <c r="B356" s="6" t="s">
        <v>608</v>
      </c>
      <c r="C356" s="20" t="s">
        <v>76</v>
      </c>
      <c r="D356" s="23"/>
      <c r="E356" s="38" t="n">
        <f aca="false">0</f>
        <v>0</v>
      </c>
      <c r="F356" s="38" t="n">
        <f aca="false">F355+F340</f>
        <v>1</v>
      </c>
      <c r="G356" s="38" t="n">
        <f aca="false">G355+G340</f>
        <v>0</v>
      </c>
      <c r="H356" s="38" t="n">
        <f aca="false">H355+H340</f>
        <v>1</v>
      </c>
      <c r="I356" s="38" t="n">
        <f aca="false">I355+I340</f>
        <v>0</v>
      </c>
      <c r="J356" s="38" t="n">
        <f aca="false">J355+J340</f>
        <v>1</v>
      </c>
      <c r="K356" s="54" t="n">
        <f aca="false">SUM(F356:J356)</f>
        <v>3</v>
      </c>
      <c r="L356" s="49" t="s">
        <v>609</v>
      </c>
    </row>
    <row r="357" customFormat="false" ht="15" hidden="true" customHeight="false" outlineLevel="1" collapsed="false">
      <c r="A357" s="20" t="n">
        <v>57</v>
      </c>
      <c r="B357" s="6" t="s">
        <v>610</v>
      </c>
      <c r="C357" s="20" t="s">
        <v>76</v>
      </c>
      <c r="D357" s="23"/>
      <c r="E357" s="38" t="n">
        <f aca="false">0</f>
        <v>0</v>
      </c>
      <c r="F357" s="38" t="n">
        <f aca="false">E357+F356</f>
        <v>1</v>
      </c>
      <c r="G357" s="38" t="n">
        <f aca="false">F357+G356</f>
        <v>1</v>
      </c>
      <c r="H357" s="38" t="n">
        <f aca="false">G357+H356</f>
        <v>2</v>
      </c>
      <c r="I357" s="38" t="n">
        <f aca="false">H357+I356</f>
        <v>2</v>
      </c>
      <c r="J357" s="38" t="n">
        <f aca="false">I357+J356</f>
        <v>3</v>
      </c>
      <c r="K357" s="23"/>
      <c r="L357" s="49" t="s">
        <v>611</v>
      </c>
    </row>
    <row r="358" customFormat="false" ht="15" hidden="true" customHeight="false" outlineLevel="1" collapsed="false">
      <c r="A358" s="20" t="n">
        <v>58</v>
      </c>
      <c r="B358" s="6" t="s">
        <v>612</v>
      </c>
      <c r="C358" s="20" t="s">
        <v>76</v>
      </c>
      <c r="D358" s="23"/>
      <c r="E358" s="38" t="n">
        <f aca="false">0</f>
        <v>0</v>
      </c>
      <c r="F358" s="38" t="n">
        <f aca="false">E358+F341</f>
        <v>0</v>
      </c>
      <c r="G358" s="38" t="n">
        <f aca="false">F358+G341</f>
        <v>1</v>
      </c>
      <c r="H358" s="38" t="n">
        <f aca="false">G358+H341</f>
        <v>3</v>
      </c>
      <c r="I358" s="38" t="n">
        <f aca="false">H358+I341</f>
        <v>5</v>
      </c>
      <c r="J358" s="38" t="n">
        <f aca="false">I358+J341</f>
        <v>8</v>
      </c>
      <c r="K358" s="23"/>
      <c r="L358" s="49" t="s">
        <v>611</v>
      </c>
    </row>
    <row r="359" customFormat="false" ht="15" hidden="true" customHeight="false" outlineLevel="1" collapsed="false">
      <c r="A359" s="20" t="n">
        <v>59</v>
      </c>
      <c r="B359" s="6" t="s">
        <v>613</v>
      </c>
      <c r="C359" s="20" t="s">
        <v>76</v>
      </c>
      <c r="D359" s="23"/>
      <c r="E359" s="38" t="n">
        <f aca="false">0</f>
        <v>0</v>
      </c>
      <c r="F359" s="38" t="n">
        <f aca="false">F357+F358</f>
        <v>1</v>
      </c>
      <c r="G359" s="38" t="n">
        <f aca="false">G357+G358</f>
        <v>2</v>
      </c>
      <c r="H359" s="38" t="n">
        <f aca="false">H357+H358</f>
        <v>5</v>
      </c>
      <c r="I359" s="38" t="n">
        <f aca="false">I357+I358</f>
        <v>7</v>
      </c>
      <c r="J359" s="38" t="n">
        <f aca="false">J357+J358</f>
        <v>11</v>
      </c>
      <c r="K359" s="23"/>
      <c r="L359" s="49" t="s">
        <v>614</v>
      </c>
    </row>
    <row r="360" customFormat="false" ht="15" hidden="true" customHeight="false" outlineLevel="1" collapsed="false">
      <c r="A360" s="20" t="n">
        <v>60</v>
      </c>
      <c r="B360" s="6" t="s">
        <v>615</v>
      </c>
      <c r="C360" s="20" t="s">
        <v>76</v>
      </c>
      <c r="D360" s="23"/>
      <c r="E360" s="23"/>
      <c r="F360" s="38" t="n">
        <f aca="false">F356+F341</f>
        <v>1</v>
      </c>
      <c r="G360" s="38" t="n">
        <f aca="false">G356+G341</f>
        <v>1</v>
      </c>
      <c r="H360" s="38" t="n">
        <f aca="false">H356+H341</f>
        <v>3</v>
      </c>
      <c r="I360" s="38" t="n">
        <f aca="false">I356+I341</f>
        <v>2</v>
      </c>
      <c r="J360" s="38" t="n">
        <f aca="false">J356+J341</f>
        <v>4</v>
      </c>
      <c r="K360" s="54" t="n">
        <f aca="false">SUM(F360:J360)</f>
        <v>11</v>
      </c>
      <c r="L360" s="49"/>
    </row>
    <row r="361" customFormat="false" ht="15" hidden="true" customHeight="false" outlineLevel="1" collapsed="false">
      <c r="A361" s="19" t="s">
        <v>616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customFormat="false" ht="15" hidden="true" customHeight="false" outlineLevel="1" collapsed="false">
      <c r="A362" s="20" t="n">
        <v>61</v>
      </c>
      <c r="B362" s="6" t="s">
        <v>617</v>
      </c>
      <c r="C362" s="20" t="s">
        <v>71</v>
      </c>
      <c r="D362" s="23"/>
      <c r="E362" s="23"/>
      <c r="F362" s="40" t="n">
        <f aca="false">IF(F$349&gt;$D$299,($D$301+$D$300*$D$302)*(1+$D$307)^(F$349-$D$299-1)*F350,0)</f>
        <v>0</v>
      </c>
      <c r="G362" s="40" t="n">
        <f aca="false">IF(G$349&gt;$D$299,($D$301+$D$300*$D$302)*(1+$D$307)^(G$349-$D$299-1)*G350,0)</f>
        <v>18.9</v>
      </c>
      <c r="H362" s="40" t="n">
        <f aca="false">IF(H$349&gt;$D$299,($D$301+$D$300*$D$302)*(1+$D$307)^(H$349-$D$299-1)*H350,0)</f>
        <v>22.82175</v>
      </c>
      <c r="I362" s="40" t="n">
        <f aca="false">IF(I$349&gt;$D$299,($D$301+$D$300*$D$302)*(1+$D$307)^(I$349-$D$299-1)*I350,0)</f>
        <v>27.557263125</v>
      </c>
      <c r="J362" s="40" t="n">
        <f aca="false">IF(J$349&gt;$D$299,($D$301+$D$300*$D$302)*(1+$D$307)^(J$349-$D$299-1)*J350,0)</f>
        <v>33.2753952234375</v>
      </c>
      <c r="K362" s="51" t="n">
        <f aca="false">SUM(F362:J362)</f>
        <v>102.554408348438</v>
      </c>
      <c r="L362" s="49" t="s">
        <v>618</v>
      </c>
    </row>
    <row r="363" customFormat="false" ht="15" hidden="true" customHeight="false" outlineLevel="1" collapsed="false">
      <c r="A363" s="20" t="n">
        <v>62</v>
      </c>
      <c r="B363" s="6" t="s">
        <v>619</v>
      </c>
      <c r="C363" s="20" t="s">
        <v>71</v>
      </c>
      <c r="D363" s="23"/>
      <c r="E363" s="23"/>
      <c r="F363" s="40" t="n">
        <f aca="false">($D$301+$D$332*$D$302)*F350*SUMPRODUCT($E$340:E$340,(1+$D$307)^(F$349-$E$349:E$349-1))</f>
        <v>0</v>
      </c>
      <c r="G363" s="40" t="n">
        <f aca="false">($D$301+$D$332*$D$302)*G350*SUMPRODUCT($E$340:F$340,(1+$D$307)^(G$349-$E$349:F$349-1))</f>
        <v>0</v>
      </c>
      <c r="H363" s="40" t="n">
        <f aca="false">($D$301+$D$332*$D$302)*H350*SUMPRODUCT($E$340:G$340,(1+$D$307)^(H$349-$E$349:G$349-1))</f>
        <v>0</v>
      </c>
      <c r="I363" s="40" t="n">
        <f aca="false">($D$301+$D$332*$D$302)*I350*SUMPRODUCT($E$340:H$340,(1+$D$307)^(I$349-$E$349:H$349-1))</f>
        <v>11.7446318181818</v>
      </c>
      <c r="J363" s="40" t="n">
        <f aca="false">($D$301+$D$332*$D$302)*J350*SUMPRODUCT($E$340:I$340,(1+$D$307)^(J$349-$E$349:I$349-1))</f>
        <v>14.1816429204545</v>
      </c>
      <c r="K363" s="51" t="n">
        <f aca="false">SUM(F363:J363)</f>
        <v>25.9262747386364</v>
      </c>
      <c r="L363" s="49" t="s">
        <v>620</v>
      </c>
    </row>
    <row r="364" customFormat="false" ht="15" hidden="true" customHeight="false" outlineLevel="1" collapsed="false">
      <c r="A364" s="20" t="n">
        <v>63</v>
      </c>
      <c r="B364" s="6" t="s">
        <v>621</v>
      </c>
      <c r="C364" s="20" t="s">
        <v>71</v>
      </c>
      <c r="D364" s="23"/>
      <c r="E364" s="23"/>
      <c r="F364" s="40" t="n">
        <f aca="false">($D$303+$D$333*$D$302)*F350*SUMPRODUCT($E$341:E$341,(1+$D$307)^(F$349-$E$349:E$349-1))</f>
        <v>0</v>
      </c>
      <c r="G364" s="40" t="n">
        <f aca="false">($D$303+$D$333*$D$302)*G350*SUMPRODUCT($E$341:F$341,(1+$D$307)^(G$349-$E$349:F$349-1))</f>
        <v>0</v>
      </c>
      <c r="H364" s="40" t="n">
        <f aca="false">($D$303+$D$333*$D$302)*H350*SUMPRODUCT($E$341:G$341,(1+$D$307)^(H$349-$E$349:G$349-1))</f>
        <v>2.170546875</v>
      </c>
      <c r="I364" s="40" t="n">
        <f aca="false">($D$303+$D$333*$D$302)*I350*SUMPRODUCT($E$341:H$341,(1+$D$307)^(I$349-$E$349:H$349-1))</f>
        <v>7.1790837890625</v>
      </c>
      <c r="J364" s="40" t="n">
        <f aca="false">($D$303+$D$333*$D$302)*J350*SUMPRODUCT($E$341:I$341,(1+$D$307)^(J$349-$E$349:I$349-1))</f>
        <v>13.454799534668</v>
      </c>
      <c r="K364" s="51" t="n">
        <f aca="false">SUM(F364:J364)</f>
        <v>22.8044301987305</v>
      </c>
      <c r="L364" s="49" t="s">
        <v>622</v>
      </c>
    </row>
    <row r="365" customFormat="false" ht="15" hidden="true" customHeight="false" outlineLevel="1" collapsed="false">
      <c r="A365" s="20" t="n">
        <v>64</v>
      </c>
      <c r="B365" s="6" t="s">
        <v>623</v>
      </c>
      <c r="C365" s="20" t="s">
        <v>71</v>
      </c>
      <c r="D365" s="23"/>
      <c r="E365" s="23"/>
      <c r="F365" s="40" t="n">
        <f aca="false">(F356*$D$304+F341*$D$305)*F350</f>
        <v>8</v>
      </c>
      <c r="G365" s="40" t="n">
        <f aca="false">(G356*$D$304+G341*$D$305)*G350</f>
        <v>2.1</v>
      </c>
      <c r="H365" s="40" t="n">
        <f aca="false">(H356*$D$304+H341*$D$305)*H350</f>
        <v>13.23</v>
      </c>
      <c r="I365" s="40" t="n">
        <f aca="false">(I356*$D$304+I341*$D$305)*I350</f>
        <v>4.6305</v>
      </c>
      <c r="J365" s="40" t="n">
        <f aca="false">(J356*$D$304+J341*$D$305)*J350</f>
        <v>17.0170875</v>
      </c>
      <c r="K365" s="51" t="n">
        <f aca="false">SUM(F365:J365)</f>
        <v>44.9775875</v>
      </c>
      <c r="L365" s="49" t="s">
        <v>624</v>
      </c>
    </row>
    <row r="366" customFormat="false" ht="15" hidden="true" customHeight="false" outlineLevel="1" collapsed="false">
      <c r="A366" s="20" t="n">
        <v>65</v>
      </c>
      <c r="B366" s="6" t="s">
        <v>625</v>
      </c>
      <c r="C366" s="20" t="s">
        <v>71</v>
      </c>
      <c r="D366" s="23"/>
      <c r="E366" s="23"/>
      <c r="F366" s="40" t="n">
        <f aca="false">F362+F363+F364</f>
        <v>0</v>
      </c>
      <c r="G366" s="40" t="n">
        <f aca="false">G362+G363+G364</f>
        <v>18.9</v>
      </c>
      <c r="H366" s="40" t="n">
        <f aca="false">H362+H363+H364</f>
        <v>24.992296875</v>
      </c>
      <c r="I366" s="40" t="n">
        <f aca="false">I362+I363+I364</f>
        <v>46.4809787322443</v>
      </c>
      <c r="J366" s="40" t="n">
        <f aca="false">J362+J363+J364</f>
        <v>60.91183767856</v>
      </c>
      <c r="K366" s="51" t="n">
        <f aca="false">SUM(F366:J366)</f>
        <v>151.285113285804</v>
      </c>
      <c r="L366" s="49"/>
    </row>
    <row r="367" customFormat="false" ht="15" hidden="true" customHeight="false" outlineLevel="1" collapsed="false">
      <c r="A367" s="20" t="n">
        <v>66</v>
      </c>
      <c r="B367" s="6" t="s">
        <v>91</v>
      </c>
      <c r="C367" s="20" t="s">
        <v>71</v>
      </c>
      <c r="D367" s="23"/>
      <c r="E367" s="23"/>
      <c r="F367" s="40" t="n">
        <f aca="false">F366+F365</f>
        <v>8</v>
      </c>
      <c r="G367" s="40" t="n">
        <f aca="false">G366+G365</f>
        <v>21</v>
      </c>
      <c r="H367" s="40" t="n">
        <f aca="false">H366+H365</f>
        <v>38.222296875</v>
      </c>
      <c r="I367" s="40" t="n">
        <f aca="false">I366+I365</f>
        <v>51.1114787322443</v>
      </c>
      <c r="J367" s="40" t="n">
        <f aca="false">J366+J365</f>
        <v>77.92892517856</v>
      </c>
      <c r="K367" s="51" t="n">
        <f aca="false">SUM(F367:J367)</f>
        <v>196.262700785804</v>
      </c>
      <c r="L367" s="49" t="s">
        <v>626</v>
      </c>
    </row>
    <row r="368" customFormat="false" ht="15" hidden="true" customHeight="false" outlineLevel="1" collapsed="false">
      <c r="A368" s="20" t="n">
        <v>67</v>
      </c>
      <c r="B368" s="6" t="s">
        <v>627</v>
      </c>
      <c r="C368" s="20" t="s">
        <v>55</v>
      </c>
      <c r="D368" s="23"/>
      <c r="E368" s="23"/>
      <c r="F368" s="40" t="n">
        <f aca="false">IF(F$349&gt;=$D$299,($D$301+$D$300*$D$302)*(1+$D$307)^(F$349-$D$299)*F350,0)+($D$301+$D$332*$D$302)*F350*SUMPRODUCT($E$340:F$340,(1+$D$307)^(F$349-$E$349:F$349))+($D$303+$D$333*$D$302)*F350*SUMPRODUCT($E$341:F$341,(1+$D$307)^(F$349-$E$349:F$349))</f>
        <v>18</v>
      </c>
      <c r="G368" s="40" t="n">
        <f aca="false">IF(G$349&gt;=$D$299,($D$301+$D$300*$D$302)*(1+$D$307)^(G$349-$D$299)*G350,0)+($D$301+$D$332*$D$302)*G350*SUMPRODUCT($E$340:G$340,(1+$D$307)^(G$349-$E$349:G$349))+($D$303+$D$333*$D$302)*G350*SUMPRODUCT($E$341:G$341,(1+$D$307)^(G$349-$E$349:G$349))</f>
        <v>23.8021875</v>
      </c>
      <c r="H368" s="40" t="n">
        <f aca="false">IF(H$349&gt;=$D$299,($D$301+$D$300*$D$302)*(1+$D$307)^(H$349-$D$299)*H350,0)+($D$301+$D$332*$D$302)*H350*SUMPRODUCT($E$340:H$340,(1+$D$307)^(H$349-$E$349:H$349))+($D$303+$D$333*$D$302)*H350*SUMPRODUCT($E$341:H$341,(1+$D$307)^(H$349-$E$349:H$349))</f>
        <v>44.2675987926136</v>
      </c>
      <c r="I368" s="40" t="n">
        <f aca="false">IF(I$349&gt;=$D$299,($D$301+$D$300*$D$302)*(1+$D$307)^(I$349-$D$299)*I350,0)+($D$301+$D$332*$D$302)*I350*SUMPRODUCT($E$340:I$340,(1+$D$307)^(I$349-$E$349:I$349))+($D$303+$D$333*$D$302)*I350*SUMPRODUCT($E$341:I$341,(1+$D$307)^(I$349-$E$349:I$349))</f>
        <v>58.011273979581</v>
      </c>
      <c r="J368" s="40" t="n">
        <f aca="false">IF(J$349&gt;=$D$299,($D$301+$D$300*$D$302)*(1+$D$307)^(J$349-$D$299)*J350,0)+($D$301+$D$332*$D$302)*J350*SUMPRODUCT($E$340:J$340,(1+$D$307)^(J$349-$E$349:J$349))+($D$303+$D$333*$D$302)*J350*SUMPRODUCT($E$341:J$341,(1+$D$307)^(J$349-$E$349:J$349))</f>
        <v>89.5595605284974</v>
      </c>
      <c r="K368" s="23"/>
      <c r="L368" s="49" t="s">
        <v>628</v>
      </c>
    </row>
    <row r="369" customFormat="false" ht="15" hidden="true" customHeight="false" outlineLevel="1" collapsed="false">
      <c r="A369" s="19" t="s">
        <v>629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</row>
    <row r="370" customFormat="false" ht="15" hidden="true" customHeight="false" outlineLevel="1" collapsed="false">
      <c r="A370" s="20" t="n">
        <v>68</v>
      </c>
      <c r="B370" s="6" t="s">
        <v>630</v>
      </c>
      <c r="C370" s="20" t="s">
        <v>53</v>
      </c>
      <c r="D370" s="23"/>
      <c r="E370" s="40" t="n">
        <f aca="false">E342+E343+E344+E345+E346+E347</f>
        <v>2</v>
      </c>
      <c r="F370" s="40" t="n">
        <f aca="false">F342+F343+F344+F345+F346+F347</f>
        <v>4</v>
      </c>
      <c r="G370" s="40" t="n">
        <f aca="false">G342+G343+G344+G345+G346+G347</f>
        <v>5</v>
      </c>
      <c r="H370" s="40" t="n">
        <f aca="false">H342+H343+H344+H345+H346+H347</f>
        <v>6</v>
      </c>
      <c r="I370" s="40" t="n">
        <f aca="false">I342+I343+I344+I345+I346+I347</f>
        <v>7</v>
      </c>
      <c r="J370" s="40" t="n">
        <f aca="false">J342+J343+J344+J345+J346+J347</f>
        <v>8</v>
      </c>
      <c r="K370" s="23"/>
      <c r="L370" s="49" t="s">
        <v>631</v>
      </c>
    </row>
    <row r="371" customFormat="false" ht="15" hidden="true" customHeight="false" outlineLevel="1" collapsed="false">
      <c r="A371" s="20" t="n">
        <v>69</v>
      </c>
      <c r="B371" s="6" t="s">
        <v>632</v>
      </c>
      <c r="C371" s="20" t="s">
        <v>53</v>
      </c>
      <c r="D371" s="23"/>
      <c r="E371" s="23"/>
      <c r="F371" s="40" t="n">
        <f aca="false">MAX(0,F370-E370)</f>
        <v>2</v>
      </c>
      <c r="G371" s="40" t="n">
        <f aca="false">MAX(0,G370-F370)</f>
        <v>1</v>
      </c>
      <c r="H371" s="40" t="n">
        <f aca="false">MAX(0,H370-G370)</f>
        <v>1</v>
      </c>
      <c r="I371" s="40" t="n">
        <f aca="false">MAX(0,I370-H370)</f>
        <v>1</v>
      </c>
      <c r="J371" s="40" t="n">
        <f aca="false">MAX(0,J370-I370)</f>
        <v>1</v>
      </c>
      <c r="K371" s="23"/>
      <c r="L371" s="49" t="s">
        <v>633</v>
      </c>
    </row>
    <row r="372" customFormat="false" ht="15" hidden="true" customHeight="false" outlineLevel="1" collapsed="false">
      <c r="A372" s="20" t="n">
        <v>70</v>
      </c>
      <c r="B372" s="6" t="s">
        <v>634</v>
      </c>
      <c r="C372" s="20" t="s">
        <v>71</v>
      </c>
      <c r="D372" s="23"/>
      <c r="E372" s="23"/>
      <c r="F372" s="41" t="n">
        <f aca="false">$D$334*12/1000*F352</f>
        <v>2.4</v>
      </c>
      <c r="G372" s="41" t="n">
        <f aca="false">$D$334*12/1000*G352</f>
        <v>2.568</v>
      </c>
      <c r="H372" s="41" t="n">
        <f aca="false">$D$334*12/1000*H352</f>
        <v>2.74776</v>
      </c>
      <c r="I372" s="41" t="n">
        <f aca="false">$D$334*12/1000*I352</f>
        <v>2.9401032</v>
      </c>
      <c r="J372" s="41" t="n">
        <f aca="false">$D$334*12/1000*J352</f>
        <v>3.145910424</v>
      </c>
      <c r="K372" s="23"/>
      <c r="L372" s="49" t="s">
        <v>635</v>
      </c>
    </row>
    <row r="373" customFormat="false" ht="15" hidden="true" customHeight="false" outlineLevel="1" collapsed="false">
      <c r="A373" s="20" t="n">
        <v>71</v>
      </c>
      <c r="B373" s="6" t="s">
        <v>636</v>
      </c>
      <c r="C373" s="20" t="s">
        <v>71</v>
      </c>
      <c r="D373" s="23"/>
      <c r="E373" s="23"/>
      <c r="F373" s="41" t="n">
        <f aca="false">$D$335*12/1000*F352</f>
        <v>3.36</v>
      </c>
      <c r="G373" s="41" t="n">
        <f aca="false">$D$335*12/1000*G352</f>
        <v>3.5952</v>
      </c>
      <c r="H373" s="41" t="n">
        <f aca="false">$D$335*12/1000*H352</f>
        <v>3.846864</v>
      </c>
      <c r="I373" s="41" t="n">
        <f aca="false">$D$335*12/1000*I352</f>
        <v>4.11614448</v>
      </c>
      <c r="J373" s="41" t="n">
        <f aca="false">$D$335*12/1000*J352</f>
        <v>4.4042745936</v>
      </c>
      <c r="K373" s="23"/>
      <c r="L373" s="49" t="s">
        <v>635</v>
      </c>
    </row>
    <row r="374" customFormat="false" ht="15" hidden="true" customHeight="false" outlineLevel="1" collapsed="false">
      <c r="A374" s="20" t="n">
        <v>72</v>
      </c>
      <c r="B374" s="6" t="s">
        <v>637</v>
      </c>
      <c r="C374" s="20" t="s">
        <v>71</v>
      </c>
      <c r="D374" s="23"/>
      <c r="E374" s="23"/>
      <c r="F374" s="41" t="n">
        <f aca="false">$D$336*12/1000*F352</f>
        <v>2.76</v>
      </c>
      <c r="G374" s="41" t="n">
        <f aca="false">$D$336*12/1000*G352</f>
        <v>2.9532</v>
      </c>
      <c r="H374" s="41" t="n">
        <f aca="false">$D$336*12/1000*H352</f>
        <v>3.159924</v>
      </c>
      <c r="I374" s="41" t="n">
        <f aca="false">$D$336*12/1000*I352</f>
        <v>3.38111868</v>
      </c>
      <c r="J374" s="41" t="n">
        <f aca="false">$D$336*12/1000*J352</f>
        <v>3.6177969876</v>
      </c>
      <c r="K374" s="23"/>
      <c r="L374" s="49" t="s">
        <v>635</v>
      </c>
    </row>
    <row r="375" customFormat="false" ht="15" hidden="true" customHeight="false" outlineLevel="1" collapsed="false">
      <c r="A375" s="20" t="n">
        <v>73</v>
      </c>
      <c r="B375" s="6" t="s">
        <v>638</v>
      </c>
      <c r="C375" s="20" t="s">
        <v>71</v>
      </c>
      <c r="D375" s="23"/>
      <c r="E375" s="23"/>
      <c r="F375" s="41" t="n">
        <f aca="false">$D$337*12/1000*F352</f>
        <v>2.64</v>
      </c>
      <c r="G375" s="41" t="n">
        <f aca="false">$D$337*12/1000*G352</f>
        <v>2.8248</v>
      </c>
      <c r="H375" s="41" t="n">
        <f aca="false">$D$337*12/1000*H352</f>
        <v>3.022536</v>
      </c>
      <c r="I375" s="41" t="n">
        <f aca="false">$D$337*12/1000*I352</f>
        <v>3.23411352</v>
      </c>
      <c r="J375" s="41" t="n">
        <f aca="false">$D$337*12/1000*J352</f>
        <v>3.4605014664</v>
      </c>
      <c r="K375" s="23"/>
      <c r="L375" s="49" t="s">
        <v>635</v>
      </c>
    </row>
    <row r="376" customFormat="false" ht="15" hidden="true" customHeight="false" outlineLevel="1" collapsed="false">
      <c r="A376" s="20" t="n">
        <v>74</v>
      </c>
      <c r="B376" s="6" t="s">
        <v>639</v>
      </c>
      <c r="C376" s="20" t="s">
        <v>71</v>
      </c>
      <c r="D376" s="23"/>
      <c r="E376" s="23"/>
      <c r="F376" s="41" t="n">
        <f aca="false">$D$338*12/1000*F352</f>
        <v>3</v>
      </c>
      <c r="G376" s="41" t="n">
        <f aca="false">$D$338*12/1000*G352</f>
        <v>3.21</v>
      </c>
      <c r="H376" s="41" t="n">
        <f aca="false">$D$338*12/1000*H352</f>
        <v>3.4347</v>
      </c>
      <c r="I376" s="41" t="n">
        <f aca="false">$D$338*12/1000*I352</f>
        <v>3.675129</v>
      </c>
      <c r="J376" s="41" t="n">
        <f aca="false">$D$338*12/1000*J352</f>
        <v>3.93238803</v>
      </c>
      <c r="K376" s="23"/>
      <c r="L376" s="49" t="s">
        <v>635</v>
      </c>
    </row>
    <row r="377" customFormat="false" ht="15" hidden="true" customHeight="false" outlineLevel="1" collapsed="false">
      <c r="A377" s="20" t="n">
        <v>75</v>
      </c>
      <c r="B377" s="6" t="s">
        <v>640</v>
      </c>
      <c r="C377" s="20" t="s">
        <v>71</v>
      </c>
      <c r="D377" s="23"/>
      <c r="E377" s="23"/>
      <c r="F377" s="41" t="n">
        <f aca="false">$D$339*12/1000*F352</f>
        <v>2.64</v>
      </c>
      <c r="G377" s="41" t="n">
        <f aca="false">$D$339*12/1000*G352</f>
        <v>2.8248</v>
      </c>
      <c r="H377" s="41" t="n">
        <f aca="false">$D$339*12/1000*H352</f>
        <v>3.022536</v>
      </c>
      <c r="I377" s="41" t="n">
        <f aca="false">$D$339*12/1000*I352</f>
        <v>3.23411352</v>
      </c>
      <c r="J377" s="41" t="n">
        <f aca="false">$D$339*12/1000*J352</f>
        <v>3.4605014664</v>
      </c>
      <c r="K377" s="23"/>
      <c r="L377" s="49" t="s">
        <v>635</v>
      </c>
    </row>
    <row r="378" customFormat="false" ht="15" hidden="true" customHeight="false" outlineLevel="1" collapsed="false">
      <c r="A378" s="20" t="n">
        <v>76</v>
      </c>
      <c r="B378" s="6" t="s">
        <v>641</v>
      </c>
      <c r="C378" s="20" t="s">
        <v>71</v>
      </c>
      <c r="D378" s="23"/>
      <c r="E378" s="23"/>
      <c r="F378" s="40" t="n">
        <f aca="false">F342*F372</f>
        <v>4.8</v>
      </c>
      <c r="G378" s="40" t="n">
        <f aca="false">G342*G372</f>
        <v>5.136</v>
      </c>
      <c r="H378" s="40" t="n">
        <f aca="false">H342*H372</f>
        <v>5.49552</v>
      </c>
      <c r="I378" s="40" t="n">
        <f aca="false">I342*I372</f>
        <v>5.8802064</v>
      </c>
      <c r="J378" s="40" t="n">
        <f aca="false">J342*J372</f>
        <v>6.291820848</v>
      </c>
      <c r="K378" s="51" t="n">
        <f aca="false">SUM(F378:J378)</f>
        <v>27.603547248</v>
      </c>
      <c r="L378" s="49" t="s">
        <v>642</v>
      </c>
    </row>
    <row r="379" customFormat="false" ht="15" hidden="true" customHeight="false" outlineLevel="1" collapsed="false">
      <c r="A379" s="20" t="n">
        <v>77</v>
      </c>
      <c r="B379" s="6" t="s">
        <v>643</v>
      </c>
      <c r="C379" s="20" t="s">
        <v>71</v>
      </c>
      <c r="D379" s="23"/>
      <c r="E379" s="23"/>
      <c r="F379" s="40" t="n">
        <f aca="false">F343*F373</f>
        <v>3.36</v>
      </c>
      <c r="G379" s="40" t="n">
        <f aca="false">G343*G373</f>
        <v>3.5952</v>
      </c>
      <c r="H379" s="40" t="n">
        <f aca="false">H343*H373</f>
        <v>3.846864</v>
      </c>
      <c r="I379" s="40" t="n">
        <f aca="false">I343*I373</f>
        <v>8.23228896</v>
      </c>
      <c r="J379" s="40" t="n">
        <f aca="false">J343*J373</f>
        <v>8.8085491872</v>
      </c>
      <c r="K379" s="51" t="n">
        <f aca="false">SUM(F379:J379)</f>
        <v>27.8429021472</v>
      </c>
      <c r="L379" s="49" t="s">
        <v>642</v>
      </c>
    </row>
    <row r="380" customFormat="false" ht="15" hidden="true" customHeight="false" outlineLevel="1" collapsed="false">
      <c r="A380" s="20" t="n">
        <v>78</v>
      </c>
      <c r="B380" s="6" t="s">
        <v>644</v>
      </c>
      <c r="C380" s="20" t="s">
        <v>71</v>
      </c>
      <c r="D380" s="23"/>
      <c r="E380" s="23"/>
      <c r="F380" s="40" t="n">
        <f aca="false">F344*F374</f>
        <v>2.76</v>
      </c>
      <c r="G380" s="40" t="n">
        <f aca="false">G344*G374</f>
        <v>2.9532</v>
      </c>
      <c r="H380" s="40" t="n">
        <f aca="false">H344*H374</f>
        <v>3.159924</v>
      </c>
      <c r="I380" s="40" t="n">
        <f aca="false">I344*I374</f>
        <v>3.38111868</v>
      </c>
      <c r="J380" s="40" t="n">
        <f aca="false">J344*J374</f>
        <v>3.6177969876</v>
      </c>
      <c r="K380" s="51" t="n">
        <f aca="false">SUM(F380:J380)</f>
        <v>15.8720396676</v>
      </c>
      <c r="L380" s="49" t="s">
        <v>642</v>
      </c>
    </row>
    <row r="381" customFormat="false" ht="15" hidden="true" customHeight="false" outlineLevel="1" collapsed="false">
      <c r="A381" s="20" t="n">
        <v>79</v>
      </c>
      <c r="B381" s="6" t="s">
        <v>645</v>
      </c>
      <c r="C381" s="20" t="s">
        <v>71</v>
      </c>
      <c r="D381" s="23"/>
      <c r="E381" s="23"/>
      <c r="F381" s="40" t="n">
        <f aca="false">F345*F375</f>
        <v>0</v>
      </c>
      <c r="G381" s="40" t="n">
        <f aca="false">G345*G375</f>
        <v>2.8248</v>
      </c>
      <c r="H381" s="40" t="n">
        <f aca="false">H345*H375</f>
        <v>3.022536</v>
      </c>
      <c r="I381" s="40" t="n">
        <f aca="false">I345*I375</f>
        <v>3.23411352</v>
      </c>
      <c r="J381" s="40" t="n">
        <f aca="false">J345*J375</f>
        <v>3.4605014664</v>
      </c>
      <c r="K381" s="51" t="n">
        <f aca="false">SUM(F381:J381)</f>
        <v>12.5419509864</v>
      </c>
      <c r="L381" s="49" t="s">
        <v>642</v>
      </c>
    </row>
    <row r="382" customFormat="false" ht="15" hidden="true" customHeight="false" outlineLevel="1" collapsed="false">
      <c r="A382" s="20" t="n">
        <v>80</v>
      </c>
      <c r="B382" s="6" t="s">
        <v>646</v>
      </c>
      <c r="C382" s="20" t="s">
        <v>71</v>
      </c>
      <c r="D382" s="23"/>
      <c r="E382" s="23"/>
      <c r="F382" s="40" t="n">
        <f aca="false">F346*F376</f>
        <v>0</v>
      </c>
      <c r="G382" s="40" t="n">
        <f aca="false">G346*G376</f>
        <v>0</v>
      </c>
      <c r="H382" s="40" t="n">
        <f aca="false">H346*H376</f>
        <v>3.4347</v>
      </c>
      <c r="I382" s="40" t="n">
        <f aca="false">I346*I376</f>
        <v>3.675129</v>
      </c>
      <c r="J382" s="40" t="n">
        <f aca="false">J346*J376</f>
        <v>3.93238803</v>
      </c>
      <c r="K382" s="51" t="n">
        <f aca="false">SUM(F382:J382)</f>
        <v>11.04221703</v>
      </c>
      <c r="L382" s="49" t="s">
        <v>642</v>
      </c>
    </row>
    <row r="383" customFormat="false" ht="15" hidden="true" customHeight="false" outlineLevel="1" collapsed="false">
      <c r="A383" s="20" t="n">
        <v>81</v>
      </c>
      <c r="B383" s="6" t="s">
        <v>647</v>
      </c>
      <c r="C383" s="20" t="s">
        <v>71</v>
      </c>
      <c r="D383" s="23"/>
      <c r="E383" s="23"/>
      <c r="F383" s="40" t="n">
        <f aca="false">F347*F377</f>
        <v>0</v>
      </c>
      <c r="G383" s="40" t="n">
        <f aca="false">G347*G377</f>
        <v>0</v>
      </c>
      <c r="H383" s="40" t="n">
        <f aca="false">H347*H377</f>
        <v>0</v>
      </c>
      <c r="I383" s="40" t="n">
        <f aca="false">I347*I377</f>
        <v>0</v>
      </c>
      <c r="J383" s="40" t="n">
        <f aca="false">J347*J377</f>
        <v>3.4605014664</v>
      </c>
      <c r="K383" s="51" t="n">
        <f aca="false">SUM(F383:J383)</f>
        <v>3.4605014664</v>
      </c>
      <c r="L383" s="49" t="s">
        <v>642</v>
      </c>
    </row>
    <row r="384" customFormat="false" ht="15" hidden="true" customHeight="false" outlineLevel="1" collapsed="false">
      <c r="A384" s="20" t="n">
        <v>82</v>
      </c>
      <c r="B384" s="6" t="s">
        <v>648</v>
      </c>
      <c r="C384" s="20" t="s">
        <v>71</v>
      </c>
      <c r="D384" s="23"/>
      <c r="E384" s="23"/>
      <c r="F384" s="40" t="n">
        <f aca="false">F378+F379+F380+F381+F382+F383</f>
        <v>10.92</v>
      </c>
      <c r="G384" s="40" t="n">
        <f aca="false">G378+G379+G380+G381+G382+G383</f>
        <v>14.5092</v>
      </c>
      <c r="H384" s="40" t="n">
        <f aca="false">H378+H379+H380+H381+H382+H383</f>
        <v>18.959544</v>
      </c>
      <c r="I384" s="40" t="n">
        <f aca="false">I378+I379+I380+I381+I382+I383</f>
        <v>24.40285656</v>
      </c>
      <c r="J384" s="40" t="n">
        <f aca="false">J378+J379+J380+J381+J382+J383</f>
        <v>29.5715579856</v>
      </c>
      <c r="K384" s="51" t="n">
        <f aca="false">SUM(F384:J384)</f>
        <v>98.3631585456</v>
      </c>
      <c r="L384" s="49"/>
    </row>
    <row r="385" customFormat="false" ht="15" hidden="true" customHeight="false" outlineLevel="1" collapsed="false">
      <c r="A385" s="20" t="n">
        <v>83</v>
      </c>
      <c r="B385" s="6" t="s">
        <v>649</v>
      </c>
      <c r="C385" s="20" t="s">
        <v>71</v>
      </c>
      <c r="D385" s="23"/>
      <c r="E385" s="23"/>
      <c r="F385" s="40" t="n">
        <f aca="false">F342*(MIN(F372,F353)*$D$309+MAX(0,F372-F353)*$D$310+F372*$D$311)+F343*(MIN(F373,F353)*$D$309+MAX(0,F373-F353)*$D$310+F373*$D$311)+F344*(MIN(F374,F353)*$D$309+MAX(0,F374-F353)*$D$310+F374*$D$311)+F345*(MIN(F375,F353)*$D$309+MAX(0,F375-F353)*$D$310+F375*$D$311)+F346*(MIN(F376,F353)*$D$309+MAX(0,F376-F353)*$D$310+F376*$D$311)+F347*(MIN(F377,F353)*$D$309+MAX(0,F377-F353)*$D$310+F377*$D$311)</f>
        <v>1.64928168</v>
      </c>
      <c r="G385" s="40" t="n">
        <f aca="false">G342*(MIN(G372,G353)*$D$309+MAX(0,G372-G353)*$D$310+G372*$D$311)+G343*(MIN(G373,G353)*$D$309+MAX(0,G373-G353)*$D$310+G373*$D$311)+G344*(MIN(G374,G353)*$D$309+MAX(0,G374-G353)*$D$310+G374*$D$311)+G345*(MIN(G375,G353)*$D$309+MAX(0,G375-G353)*$D$310+G375*$D$311)+G346*(MIN(G376,G353)*$D$309+MAX(0,G376-G353)*$D$310+G376*$D$311)+G347*(MIN(G377,G353)*$D$309+MAX(0,G377-G353)*$D$310+G377*$D$311)</f>
        <v>2.1964818144</v>
      </c>
      <c r="H385" s="40" t="n">
        <f aca="false">H342*(MIN(H372,H353)*$D$309+MAX(0,H372-H353)*$D$310+H372*$D$311)+H343*(MIN(H373,H353)*$D$309+MAX(0,H373-H353)*$D$310+H373*$D$311)+H344*(MIN(H374,H353)*$D$309+MAX(0,H374-H353)*$D$310+H374*$D$311)+H345*(MIN(H375,H353)*$D$309+MAX(0,H375-H353)*$D$310+H375*$D$311)+H346*(MIN(H376,H353)*$D$309+MAX(0,H376-H353)*$D$310+H376*$D$311)+H347*(MIN(H377,H353)*$D$309+MAX(0,H377-H353)*$D$310+H377*$D$311)</f>
        <v>2.874881223552</v>
      </c>
      <c r="I385" s="40" t="n">
        <f aca="false">I342*(MIN(I372,I353)*$D$309+MAX(0,I372-I353)*$D$310+I372*$D$311)+I343*(MIN(I373,I353)*$D$309+MAX(0,I373-I353)*$D$310+I373*$D$311)+I344*(MIN(I374,I353)*$D$309+MAX(0,I374-I353)*$D$310+I374*$D$311)+I345*(MIN(I375,I353)*$D$309+MAX(0,I375-I353)*$D$310+I375*$D$311)+I346*(MIN(I376,I353)*$D$309+MAX(0,I376-I353)*$D$310+I376*$D$311)+I347*(MIN(I377,I353)*$D$309+MAX(0,I377-I353)*$D$310+I377*$D$311)</f>
        <v>3.69987351263232</v>
      </c>
      <c r="J385" s="40" t="n">
        <f aca="false">J342*(MIN(J372,J353)*$D$309+MAX(0,J372-J353)*$D$310+J372*$D$311)+J343*(MIN(J373,J353)*$D$309+MAX(0,J373-J353)*$D$310+J373*$D$311)+J344*(MIN(J374,J353)*$D$309+MAX(0,J374-J353)*$D$310+J374*$D$311)+J345*(MIN(J375,J353)*$D$309+MAX(0,J375-J353)*$D$310+J375*$D$311)+J346*(MIN(J376,J353)*$D$309+MAX(0,J376-J353)*$D$310+J376*$D$311)+J347*(MIN(J377,J353)*$D$309+MAX(0,J377-J353)*$D$310+J377*$D$311)</f>
        <v>4.49085916839491</v>
      </c>
      <c r="K385" s="51" t="n">
        <f aca="false">SUM(F385:J385)</f>
        <v>14.9113773989792</v>
      </c>
      <c r="L385" s="49" t="s">
        <v>650</v>
      </c>
    </row>
    <row r="386" customFormat="false" ht="15" hidden="true" customHeight="false" outlineLevel="1" collapsed="false">
      <c r="A386" s="20" t="n">
        <v>84</v>
      </c>
      <c r="B386" s="6" t="s">
        <v>651</v>
      </c>
      <c r="C386" s="20"/>
      <c r="D386" s="23"/>
      <c r="E386" s="23"/>
      <c r="F386" s="38" t="n">
        <f aca="false">IF(AND(F359&gt;0,E359=0),1,0)</f>
        <v>1</v>
      </c>
      <c r="G386" s="38" t="n">
        <f aca="false">IF(AND(G359&gt;0,F359=0),1,0)</f>
        <v>0</v>
      </c>
      <c r="H386" s="38" t="n">
        <f aca="false">IF(AND(H359&gt;0,G359=0),1,0)</f>
        <v>0</v>
      </c>
      <c r="I386" s="38" t="n">
        <f aca="false">IF(AND(I359&gt;0,H359=0),1,0)</f>
        <v>0</v>
      </c>
      <c r="J386" s="38" t="n">
        <f aca="false">IF(AND(J359&gt;0,I359=0),1,0)</f>
        <v>0</v>
      </c>
      <c r="K386" s="23"/>
      <c r="L386" s="49"/>
    </row>
    <row r="387" customFormat="false" ht="15" hidden="true" customHeight="false" outlineLevel="1" collapsed="false">
      <c r="A387" s="20" t="n">
        <v>85</v>
      </c>
      <c r="B387" s="6" t="s">
        <v>652</v>
      </c>
      <c r="C387" s="20" t="s">
        <v>71</v>
      </c>
      <c r="D387" s="23"/>
      <c r="E387" s="23"/>
      <c r="F387" s="40" t="n">
        <f aca="false">(F386*$D$314+IF(E359&gt;0,1,0)*$D$315)*F351</f>
        <v>2.5</v>
      </c>
      <c r="G387" s="40" t="n">
        <f aca="false">(G386*$D$314+IF(F359&gt;0,1,0)*$D$315)*G351</f>
        <v>1.05</v>
      </c>
      <c r="H387" s="40" t="n">
        <f aca="false">(H386*$D$314+IF(G359&gt;0,1,0)*$D$315)*H351</f>
        <v>1.1025</v>
      </c>
      <c r="I387" s="40" t="n">
        <f aca="false">(I386*$D$314+IF(H359&gt;0,1,0)*$D$315)*I351</f>
        <v>1.157625</v>
      </c>
      <c r="J387" s="40" t="n">
        <f aca="false">(J386*$D$314+IF(I359&gt;0,1,0)*$D$315)*J351</f>
        <v>1.21550625</v>
      </c>
      <c r="K387" s="51" t="n">
        <f aca="false">SUM(F387:J387)</f>
        <v>7.02563125</v>
      </c>
      <c r="L387" s="49" t="s">
        <v>653</v>
      </c>
    </row>
    <row r="388" customFormat="false" ht="15" hidden="true" customHeight="false" outlineLevel="1" collapsed="false">
      <c r="A388" s="20" t="n">
        <v>86</v>
      </c>
      <c r="B388" s="6" t="s">
        <v>302</v>
      </c>
      <c r="C388" s="20" t="s">
        <v>71</v>
      </c>
      <c r="D388" s="23"/>
      <c r="E388" s="23"/>
      <c r="F388" s="40" t="n">
        <f aca="false">$D$316*F351</f>
        <v>0.6</v>
      </c>
      <c r="G388" s="40" t="n">
        <f aca="false">$D$316*G351</f>
        <v>0.63</v>
      </c>
      <c r="H388" s="40" t="n">
        <f aca="false">$D$316*H351</f>
        <v>0.6615</v>
      </c>
      <c r="I388" s="40" t="n">
        <f aca="false">$D$316*I351</f>
        <v>0.694575</v>
      </c>
      <c r="J388" s="40" t="n">
        <f aca="false">$D$316*J351</f>
        <v>0.72930375</v>
      </c>
      <c r="K388" s="51" t="n">
        <f aca="false">SUM(F388:J388)</f>
        <v>3.31537875</v>
      </c>
      <c r="L388" s="49"/>
    </row>
    <row r="389" customFormat="false" ht="15" hidden="true" customHeight="false" outlineLevel="1" collapsed="false">
      <c r="A389" s="20" t="n">
        <v>87</v>
      </c>
      <c r="B389" s="6" t="s">
        <v>654</v>
      </c>
      <c r="C389" s="20" t="s">
        <v>71</v>
      </c>
      <c r="D389" s="23"/>
      <c r="E389" s="23"/>
      <c r="F389" s="40" t="n">
        <f aca="false">$D$317*F370*F351</f>
        <v>0.6</v>
      </c>
      <c r="G389" s="40" t="n">
        <f aca="false">$D$317*G370*G351</f>
        <v>0.7875</v>
      </c>
      <c r="H389" s="40" t="n">
        <f aca="false">$D$317*H370*H351</f>
        <v>0.99225</v>
      </c>
      <c r="I389" s="40" t="n">
        <f aca="false">$D$317*I370*I351</f>
        <v>1.21550625</v>
      </c>
      <c r="J389" s="40" t="n">
        <f aca="false">$D$317*J370*J351</f>
        <v>1.4586075</v>
      </c>
      <c r="K389" s="51" t="n">
        <f aca="false">SUM(F389:J389)</f>
        <v>5.05386375</v>
      </c>
      <c r="L389" s="49" t="s">
        <v>655</v>
      </c>
    </row>
    <row r="390" customFormat="false" ht="15" hidden="true" customHeight="false" outlineLevel="1" collapsed="false">
      <c r="A390" s="20" t="n">
        <v>88</v>
      </c>
      <c r="B390" s="6" t="s">
        <v>656</v>
      </c>
      <c r="C390" s="20" t="s">
        <v>71</v>
      </c>
      <c r="D390" s="23"/>
      <c r="E390" s="23"/>
      <c r="F390" s="40" t="n">
        <f aca="false">($D$318+$D$319*F360)*F351</f>
        <v>1.4</v>
      </c>
      <c r="G390" s="40" t="n">
        <f aca="false">($D$318+$D$319*G360)*G351</f>
        <v>1.47</v>
      </c>
      <c r="H390" s="40" t="n">
        <f aca="false">($D$318+$D$319*H360)*H351</f>
        <v>2.4255</v>
      </c>
      <c r="I390" s="40" t="n">
        <f aca="false">($D$318+$D$319*I360)*I351</f>
        <v>2.083725</v>
      </c>
      <c r="J390" s="40" t="n">
        <f aca="false">($D$318+$D$319*J360)*J351</f>
        <v>3.16031625</v>
      </c>
      <c r="K390" s="51" t="n">
        <f aca="false">SUM(F390:J390)</f>
        <v>10.53954125</v>
      </c>
      <c r="L390" s="49" t="s">
        <v>657</v>
      </c>
    </row>
    <row r="391" customFormat="false" ht="15" hidden="true" customHeight="false" outlineLevel="1" collapsed="false">
      <c r="A391" s="20" t="n">
        <v>89</v>
      </c>
      <c r="B391" s="6" t="s">
        <v>658</v>
      </c>
      <c r="C391" s="20" t="s">
        <v>71</v>
      </c>
      <c r="D391" s="23"/>
      <c r="E391" s="23"/>
      <c r="F391" s="40" t="n">
        <f aca="false">($D$320+$D$321*F370)*F351</f>
        <v>1.6</v>
      </c>
      <c r="G391" s="40" t="n">
        <f aca="false">($D$320+$D$321*G370)*G351</f>
        <v>1.785</v>
      </c>
      <c r="H391" s="40" t="n">
        <f aca="false">($D$320+$D$321*H370)*H351</f>
        <v>1.9845</v>
      </c>
      <c r="I391" s="40" t="n">
        <f aca="false">($D$320+$D$321*I370)*I351</f>
        <v>2.1994875</v>
      </c>
      <c r="J391" s="40" t="n">
        <f aca="false">($D$320+$D$321*J370)*J351</f>
        <v>2.4310125</v>
      </c>
      <c r="K391" s="51" t="n">
        <f aca="false">SUM(F391:J391)</f>
        <v>10</v>
      </c>
      <c r="L391" s="49" t="s">
        <v>659</v>
      </c>
    </row>
    <row r="392" customFormat="false" ht="15" hidden="true" customHeight="false" outlineLevel="1" collapsed="false">
      <c r="A392" s="20" t="n">
        <v>90</v>
      </c>
      <c r="B392" s="6" t="s">
        <v>660</v>
      </c>
      <c r="C392" s="20" t="s">
        <v>71</v>
      </c>
      <c r="D392" s="23"/>
      <c r="E392" s="23"/>
      <c r="F392" s="40" t="n">
        <f aca="false">$D$322*F371*F351</f>
        <v>0.5</v>
      </c>
      <c r="G392" s="40" t="n">
        <f aca="false">$D$322*G371*G351</f>
        <v>0.2625</v>
      </c>
      <c r="H392" s="40" t="n">
        <f aca="false">$D$322*H371*H351</f>
        <v>0.275625</v>
      </c>
      <c r="I392" s="40" t="n">
        <f aca="false">$D$322*I371*I351</f>
        <v>0.28940625</v>
      </c>
      <c r="J392" s="40" t="n">
        <f aca="false">$D$322*J371*J351</f>
        <v>0.3038765625</v>
      </c>
      <c r="K392" s="51" t="n">
        <f aca="false">SUM(F392:J392)</f>
        <v>1.6314078125</v>
      </c>
      <c r="L392" s="49" t="s">
        <v>661</v>
      </c>
    </row>
    <row r="393" customFormat="false" ht="15" hidden="true" customHeight="false" outlineLevel="1" collapsed="false">
      <c r="A393" s="20" t="n">
        <v>91</v>
      </c>
      <c r="B393" s="6" t="s">
        <v>570</v>
      </c>
      <c r="C393" s="20" t="s">
        <v>71</v>
      </c>
      <c r="D393" s="23"/>
      <c r="E393" s="23"/>
      <c r="F393" s="40" t="n">
        <f aca="false">IF(F$349=$F$349,$D$323,0)</f>
        <v>0.3</v>
      </c>
      <c r="G393" s="40" t="n">
        <f aca="false">IF(G$349=$F$349,$D$323,0)</f>
        <v>0</v>
      </c>
      <c r="H393" s="40" t="n">
        <f aca="false">IF(H$349=$F$349,$D$323,0)</f>
        <v>0</v>
      </c>
      <c r="I393" s="40" t="n">
        <f aca="false">IF(I$349=$F$349,$D$323,0)</f>
        <v>0</v>
      </c>
      <c r="J393" s="40" t="n">
        <f aca="false">IF(J$349=$F$349,$D$323,0)</f>
        <v>0</v>
      </c>
      <c r="K393" s="51" t="n">
        <f aca="false">SUM(F393:J393)</f>
        <v>0.3</v>
      </c>
      <c r="L393" s="49" t="s">
        <v>662</v>
      </c>
    </row>
    <row r="394" customFormat="false" ht="15" hidden="true" customHeight="false" outlineLevel="1" collapsed="false">
      <c r="A394" s="20" t="n">
        <v>92</v>
      </c>
      <c r="B394" s="6" t="s">
        <v>663</v>
      </c>
      <c r="C394" s="20" t="s">
        <v>71</v>
      </c>
      <c r="D394" s="23"/>
      <c r="E394" s="23"/>
      <c r="F394" s="40" t="n">
        <f aca="false">F384+F385+F387+F388+F389+F390+F391+F392+F393</f>
        <v>20.06928168</v>
      </c>
      <c r="G394" s="40" t="n">
        <f aca="false">G384+G385+G387+G388+G389+G390+G391+G392+G393</f>
        <v>22.6906818144</v>
      </c>
      <c r="H394" s="40" t="n">
        <f aca="false">H384+H385+H387+H388+H389+H390+H391+H392+H393</f>
        <v>29.276300223552</v>
      </c>
      <c r="I394" s="40" t="n">
        <f aca="false">I384+I385+I387+I388+I389+I390+I391+I392+I393</f>
        <v>35.7430550726323</v>
      </c>
      <c r="J394" s="40" t="n">
        <f aca="false">J384+J385+J387+J388+J389+J390+J391+J392+J393</f>
        <v>43.3610399664949</v>
      </c>
      <c r="K394" s="51" t="n">
        <f aca="false">SUM(F394:J394)</f>
        <v>151.140358757079</v>
      </c>
      <c r="L394" s="49"/>
    </row>
    <row r="395" customFormat="false" ht="15" hidden="true" customHeight="false" outlineLevel="1" collapsed="false">
      <c r="A395" s="20" t="n">
        <v>93</v>
      </c>
      <c r="B395" s="6" t="s">
        <v>329</v>
      </c>
      <c r="C395" s="20" t="s">
        <v>71</v>
      </c>
      <c r="D395" s="23"/>
      <c r="E395" s="23"/>
      <c r="F395" s="40" t="n">
        <f aca="false">F394*$D$325</f>
        <v>2.006928168</v>
      </c>
      <c r="G395" s="40" t="n">
        <f aca="false">G394*$D$325</f>
        <v>2.26906818144</v>
      </c>
      <c r="H395" s="40" t="n">
        <f aca="false">H394*$D$325</f>
        <v>2.9276300223552</v>
      </c>
      <c r="I395" s="40" t="n">
        <f aca="false">I394*$D$325</f>
        <v>3.57430550726323</v>
      </c>
      <c r="J395" s="40" t="n">
        <f aca="false">J394*$D$325</f>
        <v>4.33610399664949</v>
      </c>
      <c r="K395" s="51" t="n">
        <f aca="false">SUM(F395:J395)</f>
        <v>15.1140358757079</v>
      </c>
      <c r="L395" s="49"/>
    </row>
    <row r="396" customFormat="false" ht="15" hidden="true" customHeight="false" outlineLevel="1" collapsed="false">
      <c r="A396" s="20" t="n">
        <v>94</v>
      </c>
      <c r="B396" s="6" t="s">
        <v>664</v>
      </c>
      <c r="C396" s="20" t="s">
        <v>71</v>
      </c>
      <c r="D396" s="23"/>
      <c r="E396" s="23"/>
      <c r="F396" s="40" t="n">
        <f aca="false">F394+F395</f>
        <v>22.076209848</v>
      </c>
      <c r="G396" s="40" t="n">
        <f aca="false">G394+G395</f>
        <v>24.95974999584</v>
      </c>
      <c r="H396" s="40" t="n">
        <f aca="false">H394+H395</f>
        <v>32.2039302459072</v>
      </c>
      <c r="I396" s="40" t="n">
        <f aca="false">I394+I395</f>
        <v>39.3173605798956</v>
      </c>
      <c r="J396" s="40" t="n">
        <f aca="false">J394+J395</f>
        <v>47.6971439631444</v>
      </c>
      <c r="K396" s="51" t="n">
        <f aca="false">SUM(F396:J396)</f>
        <v>166.254394632787</v>
      </c>
      <c r="L396" s="49"/>
    </row>
    <row r="397" customFormat="false" ht="15" hidden="true" customHeight="false" outlineLevel="1" collapsed="false">
      <c r="A397" s="19" t="s">
        <v>665</v>
      </c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customFormat="false" ht="15" hidden="true" customHeight="false" outlineLevel="1" collapsed="false">
      <c r="A398" s="20" t="n">
        <v>95</v>
      </c>
      <c r="B398" s="6" t="s">
        <v>666</v>
      </c>
      <c r="C398" s="20" t="s">
        <v>71</v>
      </c>
      <c r="D398" s="23"/>
      <c r="E398" s="23"/>
      <c r="F398" s="40" t="n">
        <f aca="false">F367-F396</f>
        <v>-14.076209848</v>
      </c>
      <c r="G398" s="40" t="n">
        <f aca="false">G367-G396</f>
        <v>-3.95974999584</v>
      </c>
      <c r="H398" s="40" t="n">
        <f aca="false">H367-H396</f>
        <v>6.0183666290928</v>
      </c>
      <c r="I398" s="40" t="n">
        <f aca="false">I367-I396</f>
        <v>11.7941181523488</v>
      </c>
      <c r="J398" s="40" t="n">
        <f aca="false">J367-J396</f>
        <v>30.2317812154156</v>
      </c>
      <c r="K398" s="51" t="n">
        <f aca="false">SUM(F398:J398)</f>
        <v>30.0083061530172</v>
      </c>
      <c r="L398" s="49" t="s">
        <v>667</v>
      </c>
    </row>
    <row r="399" customFormat="false" ht="15" hidden="true" customHeight="false" outlineLevel="1" collapsed="false">
      <c r="A399" s="20" t="n">
        <v>96</v>
      </c>
      <c r="B399" s="6" t="s">
        <v>668</v>
      </c>
      <c r="C399" s="20" t="s">
        <v>68</v>
      </c>
      <c r="D399" s="23"/>
      <c r="E399" s="23"/>
      <c r="F399" s="44" t="n">
        <f aca="false">IF(F367&gt;0,F398/F367,0)</f>
        <v>-1.759526231</v>
      </c>
      <c r="G399" s="44" t="n">
        <f aca="false">IF(G367&gt;0,G398/G367,0)</f>
        <v>-0.188559523611428</v>
      </c>
      <c r="H399" s="44" t="n">
        <f aca="false">IF(H367&gt;0,H398/H367,0)</f>
        <v>0.1574569589257</v>
      </c>
      <c r="I399" s="44" t="n">
        <f aca="false">IF(I367&gt;0,I398/I367,0)</f>
        <v>0.230752825879567</v>
      </c>
      <c r="J399" s="44" t="n">
        <f aca="false">IF(J367&gt;0,J398/J367,0)</f>
        <v>0.38794043605946</v>
      </c>
      <c r="K399" s="23"/>
      <c r="L399" s="49"/>
    </row>
    <row r="400" customFormat="false" ht="15" hidden="true" customHeight="false" outlineLevel="1" collapsed="false">
      <c r="A400" s="20" t="n">
        <v>97</v>
      </c>
      <c r="B400" s="6" t="s">
        <v>669</v>
      </c>
      <c r="C400" s="20" t="s">
        <v>71</v>
      </c>
      <c r="D400" s="23"/>
      <c r="E400" s="23"/>
      <c r="F400" s="40" t="n">
        <f aca="false">E404</f>
        <v>0</v>
      </c>
      <c r="G400" s="40" t="n">
        <f aca="false">F404</f>
        <v>14.076209848</v>
      </c>
      <c r="H400" s="40" t="n">
        <f aca="false">G404</f>
        <v>18.03595984384</v>
      </c>
      <c r="I400" s="40" t="n">
        <f aca="false">H404</f>
        <v>15.0267765292936</v>
      </c>
      <c r="J400" s="40" t="n">
        <f aca="false">I404</f>
        <v>9.12971745311921</v>
      </c>
      <c r="K400" s="23"/>
      <c r="L400" s="49"/>
    </row>
    <row r="401" customFormat="false" ht="15" hidden="true" customHeight="false" outlineLevel="1" collapsed="false">
      <c r="A401" s="20" t="n">
        <v>98</v>
      </c>
      <c r="B401" s="6" t="s">
        <v>670</v>
      </c>
      <c r="C401" s="20" t="s">
        <v>71</v>
      </c>
      <c r="D401" s="23"/>
      <c r="E401" s="23"/>
      <c r="F401" s="40" t="n">
        <f aca="false">MIN(F400,MAX(0,F398)*$D$327)</f>
        <v>0</v>
      </c>
      <c r="G401" s="40" t="n">
        <f aca="false">MIN(G400,MAX(0,G398)*$D$327)</f>
        <v>0</v>
      </c>
      <c r="H401" s="40" t="n">
        <f aca="false">MIN(H400,MAX(0,H398)*$D$327)</f>
        <v>3.0091833145464</v>
      </c>
      <c r="I401" s="40" t="n">
        <f aca="false">MIN(I400,MAX(0,I398)*$D$327)</f>
        <v>5.89705907617439</v>
      </c>
      <c r="J401" s="40" t="n">
        <f aca="false">MIN(J400,MAX(0,J398)*$D$327)</f>
        <v>9.12971745311921</v>
      </c>
      <c r="K401" s="23"/>
      <c r="L401" s="49" t="s">
        <v>671</v>
      </c>
    </row>
    <row r="402" customFormat="false" ht="15" hidden="true" customHeight="false" outlineLevel="1" collapsed="false">
      <c r="A402" s="20" t="n">
        <v>99</v>
      </c>
      <c r="B402" s="6" t="s">
        <v>672</v>
      </c>
      <c r="C402" s="20" t="s">
        <v>71</v>
      </c>
      <c r="D402" s="23"/>
      <c r="E402" s="23"/>
      <c r="F402" s="40" t="n">
        <f aca="false">MAX(0,F398)-F401</f>
        <v>0</v>
      </c>
      <c r="G402" s="40" t="n">
        <f aca="false">MAX(0,G398)-G401</f>
        <v>0</v>
      </c>
      <c r="H402" s="40" t="n">
        <f aca="false">MAX(0,H398)-H401</f>
        <v>3.0091833145464</v>
      </c>
      <c r="I402" s="40" t="n">
        <f aca="false">MAX(0,I398)-I401</f>
        <v>5.89705907617439</v>
      </c>
      <c r="J402" s="40" t="n">
        <f aca="false">MAX(0,J398)-J401</f>
        <v>21.1020637622964</v>
      </c>
      <c r="K402" s="23"/>
      <c r="L402" s="49"/>
    </row>
    <row r="403" customFormat="false" ht="15" hidden="true" customHeight="false" outlineLevel="1" collapsed="false">
      <c r="A403" s="20" t="n">
        <v>100</v>
      </c>
      <c r="B403" s="6" t="s">
        <v>572</v>
      </c>
      <c r="C403" s="20" t="s">
        <v>71</v>
      </c>
      <c r="D403" s="23"/>
      <c r="E403" s="23"/>
      <c r="F403" s="40" t="n">
        <f aca="false">F402*$D$326</f>
        <v>0</v>
      </c>
      <c r="G403" s="40" t="n">
        <f aca="false">G402*$D$326</f>
        <v>0</v>
      </c>
      <c r="H403" s="40" t="n">
        <f aca="false">H402*$D$326</f>
        <v>0.15045916572732</v>
      </c>
      <c r="I403" s="40" t="n">
        <f aca="false">I402*$D$326</f>
        <v>0.294852953808719</v>
      </c>
      <c r="J403" s="40" t="n">
        <f aca="false">J402*$D$326</f>
        <v>1.05510318811482</v>
      </c>
      <c r="K403" s="51" t="n">
        <f aca="false">SUM(F403:J403)</f>
        <v>1.50041530765086</v>
      </c>
      <c r="L403" s="49"/>
    </row>
    <row r="404" customFormat="false" ht="15" hidden="true" customHeight="false" outlineLevel="1" collapsed="false">
      <c r="A404" s="20" t="n">
        <v>101</v>
      </c>
      <c r="B404" s="6" t="s">
        <v>673</v>
      </c>
      <c r="C404" s="20" t="s">
        <v>71</v>
      </c>
      <c r="D404" s="23"/>
      <c r="E404" s="40" t="n">
        <f aca="false">0</f>
        <v>0</v>
      </c>
      <c r="F404" s="40" t="n">
        <f aca="false">F400-F401+MAX(0,-F398)</f>
        <v>14.076209848</v>
      </c>
      <c r="G404" s="40" t="n">
        <f aca="false">G400-G401+MAX(0,-G398)</f>
        <v>18.03595984384</v>
      </c>
      <c r="H404" s="40" t="n">
        <f aca="false">H400-H401+MAX(0,-H398)</f>
        <v>15.0267765292936</v>
      </c>
      <c r="I404" s="40" t="n">
        <f aca="false">I400-I401+MAX(0,-I398)</f>
        <v>9.12971745311921</v>
      </c>
      <c r="J404" s="40" t="n">
        <f aca="false">J400-J401+MAX(0,-J398)</f>
        <v>0</v>
      </c>
      <c r="K404" s="23"/>
      <c r="L404" s="49"/>
    </row>
    <row r="405" customFormat="false" ht="15" hidden="true" customHeight="false" outlineLevel="1" collapsed="false">
      <c r="A405" s="20" t="n">
        <v>102</v>
      </c>
      <c r="B405" s="6" t="s">
        <v>674</v>
      </c>
      <c r="C405" s="20" t="s">
        <v>71</v>
      </c>
      <c r="D405" s="23"/>
      <c r="E405" s="23"/>
      <c r="F405" s="40" t="n">
        <f aca="false">F398-F403</f>
        <v>-14.076209848</v>
      </c>
      <c r="G405" s="40" t="n">
        <f aca="false">G398-G403</f>
        <v>-3.95974999584</v>
      </c>
      <c r="H405" s="40" t="n">
        <f aca="false">H398-H403</f>
        <v>5.86790746336548</v>
      </c>
      <c r="I405" s="40" t="n">
        <f aca="false">I398-I403</f>
        <v>11.4992651985401</v>
      </c>
      <c r="J405" s="40" t="n">
        <f aca="false">J398-J403</f>
        <v>29.1766780273008</v>
      </c>
      <c r="K405" s="51" t="n">
        <f aca="false">SUM(F405:J405)</f>
        <v>28.5078908453663</v>
      </c>
      <c r="L405" s="49"/>
    </row>
    <row r="406" customFormat="false" ht="15" hidden="true" customHeight="false" outlineLevel="1" collapsed="false">
      <c r="A406" s="19" t="s">
        <v>675</v>
      </c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</row>
    <row r="407" customFormat="false" ht="15" hidden="true" customHeight="false" outlineLevel="1" collapsed="false">
      <c r="A407" s="20" t="n">
        <v>103</v>
      </c>
      <c r="B407" s="6" t="s">
        <v>676</v>
      </c>
      <c r="C407" s="20" t="s">
        <v>71</v>
      </c>
      <c r="D407" s="23"/>
      <c r="E407" s="40" t="n">
        <f aca="false">0</f>
        <v>0</v>
      </c>
      <c r="F407" s="40" t="n">
        <f aca="false">F367*$D$328/365</f>
        <v>1.97260273972603</v>
      </c>
      <c r="G407" s="40" t="n">
        <f aca="false">G367*$D$328/365</f>
        <v>5.17808219178082</v>
      </c>
      <c r="H407" s="40" t="n">
        <f aca="false">H367*$D$328/365</f>
        <v>9.42467594178082</v>
      </c>
      <c r="I407" s="40" t="n">
        <f aca="false">I367*$D$328/365</f>
        <v>12.6028303723342</v>
      </c>
      <c r="J407" s="40" t="n">
        <f aca="false">J367*$D$328/365</f>
        <v>19.2153514138915</v>
      </c>
      <c r="K407" s="23"/>
      <c r="L407" s="49" t="s">
        <v>677</v>
      </c>
    </row>
    <row r="408" customFormat="false" ht="15" hidden="true" customHeight="false" outlineLevel="1" collapsed="false">
      <c r="A408" s="20" t="n">
        <v>104</v>
      </c>
      <c r="B408" s="6" t="s">
        <v>678</v>
      </c>
      <c r="C408" s="20" t="s">
        <v>71</v>
      </c>
      <c r="D408" s="23"/>
      <c r="E408" s="23"/>
      <c r="F408" s="40" t="n">
        <f aca="false">F407-E407</f>
        <v>1.97260273972603</v>
      </c>
      <c r="G408" s="40" t="n">
        <f aca="false">G407-F407</f>
        <v>3.2054794520548</v>
      </c>
      <c r="H408" s="40" t="n">
        <f aca="false">H407-G407</f>
        <v>4.24659375</v>
      </c>
      <c r="I408" s="40" t="n">
        <f aca="false">I407-H407</f>
        <v>3.1781544305534</v>
      </c>
      <c r="J408" s="40" t="n">
        <f aca="false">J407-I407</f>
        <v>6.6125210415573</v>
      </c>
      <c r="K408" s="51" t="n">
        <f aca="false">SUM(F408:J408)</f>
        <v>19.2153514138915</v>
      </c>
      <c r="L408" s="49"/>
    </row>
    <row r="409" customFormat="false" ht="15" hidden="true" customHeight="false" outlineLevel="1" collapsed="false">
      <c r="A409" s="20" t="n">
        <v>105</v>
      </c>
      <c r="B409" s="6" t="s">
        <v>679</v>
      </c>
      <c r="C409" s="20" t="s">
        <v>71</v>
      </c>
      <c r="D409" s="23"/>
      <c r="E409" s="23"/>
      <c r="F409" s="40" t="n">
        <f aca="false">F405-F408</f>
        <v>-16.048812587726</v>
      </c>
      <c r="G409" s="40" t="n">
        <f aca="false">G405-G408</f>
        <v>-7.16522944789479</v>
      </c>
      <c r="H409" s="40" t="n">
        <f aca="false">H405-H408</f>
        <v>1.62131371336548</v>
      </c>
      <c r="I409" s="40" t="n">
        <f aca="false">I405-I408</f>
        <v>8.32111076798666</v>
      </c>
      <c r="J409" s="40" t="n">
        <f aca="false">J405-J408</f>
        <v>22.5641569857435</v>
      </c>
      <c r="K409" s="51" t="n">
        <f aca="false">SUM(F409:J409)</f>
        <v>9.29253943147482</v>
      </c>
      <c r="L409" s="49" t="s">
        <v>680</v>
      </c>
    </row>
    <row r="410" customFormat="false" ht="15" hidden="true" customHeight="false" outlineLevel="1" collapsed="false">
      <c r="A410" s="20" t="n">
        <v>106</v>
      </c>
      <c r="B410" s="6" t="s">
        <v>93</v>
      </c>
      <c r="C410" s="20" t="s">
        <v>71</v>
      </c>
      <c r="D410" s="23"/>
      <c r="E410" s="40" t="n">
        <f aca="false">0</f>
        <v>0</v>
      </c>
      <c r="F410" s="40" t="n">
        <f aca="false">E410+F409</f>
        <v>-16.048812587726</v>
      </c>
      <c r="G410" s="40" t="n">
        <f aca="false">F410+G409</f>
        <v>-23.2140420356208</v>
      </c>
      <c r="H410" s="40" t="n">
        <f aca="false">G410+H409</f>
        <v>-21.5927283222553</v>
      </c>
      <c r="I410" s="40" t="n">
        <f aca="false">H410+I409</f>
        <v>-13.2716175542687</v>
      </c>
      <c r="J410" s="40" t="n">
        <f aca="false">I410+J409</f>
        <v>9.29253943147482</v>
      </c>
      <c r="K410" s="23"/>
      <c r="L410" s="49" t="s">
        <v>681</v>
      </c>
    </row>
    <row r="411" customFormat="false" ht="15" hidden="true" customHeight="false" outlineLevel="1" collapsed="false">
      <c r="A411" s="20" t="n">
        <v>107</v>
      </c>
      <c r="B411" s="6" t="s">
        <v>682</v>
      </c>
      <c r="C411" s="20"/>
      <c r="D411" s="23"/>
      <c r="E411" s="23"/>
      <c r="F411" s="53" t="n">
        <f aca="false">1/(1+$D$329)^(F$349-$E$349)</f>
        <v>0.769230769230769</v>
      </c>
      <c r="G411" s="53" t="n">
        <f aca="false">1/(1+$D$329)^(G$349-$E$349)</f>
        <v>0.591715976331361</v>
      </c>
      <c r="H411" s="53" t="n">
        <f aca="false">1/(1+$D$329)^(H$349-$E$349)</f>
        <v>0.455166135639508</v>
      </c>
      <c r="I411" s="53" t="n">
        <f aca="false">1/(1+$D$329)^(I$349-$E$349)</f>
        <v>0.350127796645776</v>
      </c>
      <c r="J411" s="53" t="n">
        <f aca="false">1/(1+$D$329)^(J$349-$E$349)</f>
        <v>0.269329074342904</v>
      </c>
      <c r="K411" s="23"/>
      <c r="L411" s="49" t="s">
        <v>683</v>
      </c>
    </row>
    <row r="412" customFormat="false" ht="15" hidden="true" customHeight="false" outlineLevel="1" collapsed="false">
      <c r="A412" s="20" t="n">
        <v>108</v>
      </c>
      <c r="B412" s="6" t="s">
        <v>684</v>
      </c>
      <c r="C412" s="20" t="s">
        <v>71</v>
      </c>
      <c r="D412" s="23"/>
      <c r="E412" s="23"/>
      <c r="F412" s="40" t="n">
        <f aca="false">F409*F411</f>
        <v>-12.3452404520969</v>
      </c>
      <c r="G412" s="40" t="n">
        <f aca="false">G409*G411</f>
        <v>-4.23978073839928</v>
      </c>
      <c r="H412" s="40" t="n">
        <f aca="false">H409*H411</f>
        <v>0.737967097571906</v>
      </c>
      <c r="I412" s="40" t="n">
        <f aca="false">I409*I411</f>
        <v>2.91345217884061</v>
      </c>
      <c r="J412" s="40" t="n">
        <f aca="false">J409*J411</f>
        <v>6.07718351429828</v>
      </c>
      <c r="K412" s="51" t="n">
        <f aca="false">SUM(F412:J412)</f>
        <v>-6.85641839978544</v>
      </c>
      <c r="L412" s="49"/>
    </row>
    <row r="413" customFormat="false" ht="15" hidden="true" customHeight="false" outlineLevel="1" collapsed="false">
      <c r="A413" s="20" t="n">
        <v>109</v>
      </c>
      <c r="B413" s="6" t="s">
        <v>685</v>
      </c>
      <c r="C413" s="20" t="s">
        <v>71</v>
      </c>
      <c r="D413" s="23"/>
      <c r="E413" s="23"/>
      <c r="F413" s="40" t="n">
        <f aca="false">IF(F$349=$J$349,MAX(0,F409)*(1+$D$330)/($D$329-$D$330),0)</f>
        <v>0</v>
      </c>
      <c r="G413" s="40" t="n">
        <f aca="false">IF(G$349=$J$349,MAX(0,G409)*(1+$D$330)/($D$329-$D$330),0)</f>
        <v>0</v>
      </c>
      <c r="H413" s="40" t="n">
        <f aca="false">IF(H$349=$J$349,MAX(0,H409)*(1+$D$330)/($D$329-$D$330),0)</f>
        <v>0</v>
      </c>
      <c r="I413" s="40" t="n">
        <f aca="false">IF(I$349=$J$349,MAX(0,I409)*(1+$D$330)/($D$329-$D$330),0)</f>
        <v>0</v>
      </c>
      <c r="J413" s="40" t="n">
        <f aca="false">IF(J$349=$J$349,MAX(0,J409)*(1+$D$330)/($D$329-$D$330),0)</f>
        <v>90.256627942974</v>
      </c>
      <c r="K413" s="23"/>
      <c r="L413" s="49" t="s">
        <v>686</v>
      </c>
    </row>
    <row r="414" customFormat="false" ht="15" hidden="true" customHeight="false" outlineLevel="1" collapsed="false">
      <c r="A414" s="20" t="n">
        <v>110</v>
      </c>
      <c r="B414" s="6" t="s">
        <v>687</v>
      </c>
      <c r="C414" s="20" t="s">
        <v>71</v>
      </c>
      <c r="D414" s="23"/>
      <c r="E414" s="23"/>
      <c r="F414" s="40" t="n">
        <f aca="false">F413*F411</f>
        <v>0</v>
      </c>
      <c r="G414" s="40" t="n">
        <f aca="false">G413*G411</f>
        <v>0</v>
      </c>
      <c r="H414" s="40" t="n">
        <f aca="false">H413*H411</f>
        <v>0</v>
      </c>
      <c r="I414" s="40" t="n">
        <f aca="false">I413*I411</f>
        <v>0</v>
      </c>
      <c r="J414" s="40" t="n">
        <f aca="false">J413*J411</f>
        <v>24.3087340571931</v>
      </c>
      <c r="K414" s="51" t="n">
        <f aca="false">SUM(F414:J414)</f>
        <v>24.3087340571931</v>
      </c>
      <c r="L414" s="49"/>
    </row>
    <row r="415" customFormat="false" ht="15" hidden="true" customHeight="false" outlineLevel="1" collapsed="false">
      <c r="A415" s="20" t="n">
        <v>111</v>
      </c>
      <c r="B415" s="6" t="s">
        <v>688</v>
      </c>
      <c r="C415" s="20" t="s">
        <v>71</v>
      </c>
      <c r="D415" s="23"/>
      <c r="E415" s="23"/>
      <c r="F415" s="40" t="n">
        <f aca="false">F409+F413</f>
        <v>-16.048812587726</v>
      </c>
      <c r="G415" s="40" t="n">
        <f aca="false">G409+G413</f>
        <v>-7.16522944789479</v>
      </c>
      <c r="H415" s="40" t="n">
        <f aca="false">H409+H413</f>
        <v>1.62131371336548</v>
      </c>
      <c r="I415" s="40" t="n">
        <f aca="false">I409+I413</f>
        <v>8.32111076798666</v>
      </c>
      <c r="J415" s="40" t="n">
        <f aca="false">J409+J413</f>
        <v>112.820784928718</v>
      </c>
      <c r="K415" s="23"/>
      <c r="L415" s="49" t="s">
        <v>689</v>
      </c>
    </row>
    <row r="416" customFormat="false" ht="15" hidden="true" customHeight="false" outlineLevel="1" collapsed="false">
      <c r="A416" s="20" t="n">
        <v>112</v>
      </c>
      <c r="B416" s="6" t="s">
        <v>690</v>
      </c>
      <c r="C416" s="20"/>
      <c r="D416" s="23"/>
      <c r="E416" s="23"/>
      <c r="F416" s="52" t="str">
        <f aca="false">IF(AND(F398&gt;0,COUNTIF($F$398:F$398,"&gt;0")=1),F$349,"")</f>
        <v/>
      </c>
      <c r="G416" s="52" t="str">
        <f aca="false">IF(AND(G398&gt;0,COUNTIF($F$398:G$398,"&gt;0")=1),G$349,"")</f>
        <v/>
      </c>
      <c r="H416" s="52" t="n">
        <f aca="false">IF(AND(H398&gt;0,COUNTIF($F$398:H$398,"&gt;0")=1),H$349,"")</f>
        <v>2029</v>
      </c>
      <c r="I416" s="52" t="str">
        <f aca="false">IF(AND(I398&gt;0,COUNTIF($F$398:I$398,"&gt;0")=1),I$349,"")</f>
        <v/>
      </c>
      <c r="J416" s="52" t="str">
        <f aca="false">IF(AND(J398&gt;0,COUNTIF($F$398:J$398,"&gt;0")=1),J$349,"")</f>
        <v/>
      </c>
      <c r="K416" s="23"/>
      <c r="L416" s="49" t="s">
        <v>691</v>
      </c>
    </row>
    <row r="417" customFormat="false" ht="15" hidden="true" customHeight="false" outlineLevel="1" collapsed="false">
      <c r="A417" s="20" t="n">
        <v>113</v>
      </c>
      <c r="B417" s="6" t="s">
        <v>692</v>
      </c>
      <c r="C417" s="20"/>
      <c r="D417" s="23"/>
      <c r="E417" s="23"/>
      <c r="F417" s="52" t="str">
        <f aca="false">IF(AND(F410&gt;0,COUNTIF($F$410:F$410,"&gt;0")=1),F$349,"")</f>
        <v/>
      </c>
      <c r="G417" s="52" t="str">
        <f aca="false">IF(AND(G410&gt;0,COUNTIF($F$410:G$410,"&gt;0")=1),G$349,"")</f>
        <v/>
      </c>
      <c r="H417" s="52" t="str">
        <f aca="false">IF(AND(H410&gt;0,COUNTIF($F$410:H$410,"&gt;0")=1),H$349,"")</f>
        <v/>
      </c>
      <c r="I417" s="52" t="str">
        <f aca="false">IF(AND(I410&gt;0,COUNTIF($F$410:I$410,"&gt;0")=1),I$349,"")</f>
        <v/>
      </c>
      <c r="J417" s="52" t="n">
        <f aca="false">IF(AND(J410&gt;0,COUNTIF($F$410:J$410,"&gt;0")=1),J$349,"")</f>
        <v>2031</v>
      </c>
      <c r="K417" s="23"/>
      <c r="L417" s="49" t="s">
        <v>691</v>
      </c>
    </row>
    <row r="418" customFormat="false" ht="15" hidden="true" customHeight="false" outlineLevel="1" collapsed="false">
      <c r="A418" s="19" t="s">
        <v>693</v>
      </c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</row>
    <row r="419" customFormat="false" ht="15" hidden="true" customHeight="false" outlineLevel="1" collapsed="false">
      <c r="A419" s="20" t="n">
        <v>114</v>
      </c>
      <c r="B419" s="6" t="s">
        <v>70</v>
      </c>
      <c r="C419" s="20" t="s">
        <v>71</v>
      </c>
      <c r="D419" s="51" t="n">
        <f aca="false">SUM(F367:J367)</f>
        <v>196.262700785804</v>
      </c>
      <c r="E419" s="23"/>
      <c r="F419" s="23"/>
      <c r="G419" s="23"/>
      <c r="H419" s="23"/>
      <c r="I419" s="23"/>
      <c r="J419" s="23"/>
      <c r="K419" s="23"/>
      <c r="L419" s="49"/>
    </row>
    <row r="420" customFormat="false" ht="15" hidden="true" customHeight="false" outlineLevel="1" collapsed="false">
      <c r="A420" s="20" t="n">
        <v>115</v>
      </c>
      <c r="B420" s="6" t="s">
        <v>694</v>
      </c>
      <c r="C420" s="20" t="s">
        <v>71</v>
      </c>
      <c r="D420" s="51" t="n">
        <f aca="false">J367</f>
        <v>77.92892517856</v>
      </c>
      <c r="E420" s="23"/>
      <c r="F420" s="23"/>
      <c r="G420" s="23"/>
      <c r="H420" s="23"/>
      <c r="I420" s="23"/>
      <c r="J420" s="23"/>
      <c r="K420" s="23"/>
      <c r="L420" s="49"/>
    </row>
    <row r="421" customFormat="false" ht="15" hidden="true" customHeight="false" outlineLevel="1" collapsed="false">
      <c r="A421" s="20" t="n">
        <v>116</v>
      </c>
      <c r="B421" s="6" t="s">
        <v>695</v>
      </c>
      <c r="C421" s="20" t="s">
        <v>71</v>
      </c>
      <c r="D421" s="51" t="n">
        <f aca="false">J368</f>
        <v>89.5595605284974</v>
      </c>
      <c r="E421" s="23"/>
      <c r="F421" s="23"/>
      <c r="G421" s="23"/>
      <c r="H421" s="23"/>
      <c r="I421" s="23"/>
      <c r="J421" s="23"/>
      <c r="K421" s="23"/>
      <c r="L421" s="49"/>
    </row>
    <row r="422" customFormat="false" ht="15" hidden="true" customHeight="false" outlineLevel="1" collapsed="false">
      <c r="A422" s="20" t="n">
        <v>117</v>
      </c>
      <c r="B422" s="6" t="s">
        <v>696</v>
      </c>
      <c r="C422" s="20" t="s">
        <v>71</v>
      </c>
      <c r="D422" s="51" t="n">
        <f aca="false">J398</f>
        <v>30.2317812154156</v>
      </c>
      <c r="E422" s="23"/>
      <c r="F422" s="23"/>
      <c r="G422" s="23"/>
      <c r="H422" s="23"/>
      <c r="I422" s="23"/>
      <c r="J422" s="23"/>
      <c r="K422" s="23"/>
      <c r="L422" s="49"/>
    </row>
    <row r="423" customFormat="false" ht="15" hidden="true" customHeight="false" outlineLevel="1" collapsed="false">
      <c r="A423" s="20" t="n">
        <v>118</v>
      </c>
      <c r="B423" s="6" t="s">
        <v>697</v>
      </c>
      <c r="C423" s="20" t="s">
        <v>76</v>
      </c>
      <c r="D423" s="54" t="n">
        <f aca="false">J359</f>
        <v>11</v>
      </c>
      <c r="E423" s="23"/>
      <c r="F423" s="23"/>
      <c r="G423" s="23"/>
      <c r="H423" s="23"/>
      <c r="I423" s="23"/>
      <c r="J423" s="23"/>
      <c r="K423" s="23"/>
      <c r="L423" s="49"/>
    </row>
    <row r="424" customFormat="false" ht="15" hidden="true" customHeight="false" outlineLevel="1" collapsed="false">
      <c r="A424" s="20" t="n">
        <v>119</v>
      </c>
      <c r="B424" s="6" t="s">
        <v>698</v>
      </c>
      <c r="C424" s="20" t="s">
        <v>53</v>
      </c>
      <c r="D424" s="51" t="n">
        <f aca="false">J370</f>
        <v>8</v>
      </c>
      <c r="E424" s="23"/>
      <c r="F424" s="23"/>
      <c r="G424" s="23"/>
      <c r="H424" s="23"/>
      <c r="I424" s="23"/>
      <c r="J424" s="23"/>
      <c r="K424" s="23"/>
      <c r="L424" s="49"/>
    </row>
    <row r="425" customFormat="false" ht="15" hidden="true" customHeight="false" outlineLevel="1" collapsed="false">
      <c r="A425" s="20" t="n">
        <v>120</v>
      </c>
      <c r="B425" s="6" t="s">
        <v>699</v>
      </c>
      <c r="C425" s="20" t="s">
        <v>71</v>
      </c>
      <c r="D425" s="51" t="n">
        <f aca="false">MIN(0,MIN(F410:J410))</f>
        <v>-23.2140420356208</v>
      </c>
      <c r="E425" s="23"/>
      <c r="F425" s="23"/>
      <c r="G425" s="23"/>
      <c r="H425" s="23"/>
      <c r="I425" s="23"/>
      <c r="J425" s="23"/>
      <c r="K425" s="23"/>
      <c r="L425" s="49"/>
    </row>
    <row r="426" customFormat="false" ht="15" hidden="true" customHeight="false" outlineLevel="1" collapsed="false">
      <c r="A426" s="20" t="n">
        <v>121</v>
      </c>
      <c r="B426" s="6" t="s">
        <v>700</v>
      </c>
      <c r="C426" s="20" t="s">
        <v>71</v>
      </c>
      <c r="D426" s="51" t="n">
        <f aca="false">-$D$425*(1+$D$331)</f>
        <v>27.856850442745</v>
      </c>
      <c r="E426" s="23"/>
      <c r="F426" s="23"/>
      <c r="G426" s="23"/>
      <c r="H426" s="23"/>
      <c r="I426" s="23"/>
      <c r="J426" s="23"/>
      <c r="K426" s="23"/>
      <c r="L426" s="49"/>
    </row>
    <row r="427" customFormat="false" ht="15" hidden="true" customHeight="false" outlineLevel="1" collapsed="false">
      <c r="A427" s="20" t="n">
        <v>122</v>
      </c>
      <c r="B427" s="6" t="s">
        <v>701</v>
      </c>
      <c r="C427" s="20" t="s">
        <v>71</v>
      </c>
      <c r="D427" s="51" t="n">
        <f aca="false">J410</f>
        <v>9.29253943147482</v>
      </c>
      <c r="E427" s="23"/>
      <c r="F427" s="23"/>
      <c r="G427" s="23"/>
      <c r="H427" s="23"/>
      <c r="I427" s="23"/>
      <c r="J427" s="23"/>
      <c r="K427" s="23"/>
      <c r="L427" s="49"/>
    </row>
    <row r="428" customFormat="false" ht="15" hidden="true" customHeight="false" outlineLevel="1" collapsed="false">
      <c r="A428" s="20" t="n">
        <v>123</v>
      </c>
      <c r="B428" s="6" t="s">
        <v>702</v>
      </c>
      <c r="C428" s="20" t="s">
        <v>71</v>
      </c>
      <c r="D428" s="51" t="n">
        <f aca="false">SUM(F412:J412)</f>
        <v>-6.85641839978544</v>
      </c>
      <c r="E428" s="23"/>
      <c r="F428" s="23"/>
      <c r="G428" s="23"/>
      <c r="H428" s="23"/>
      <c r="I428" s="23"/>
      <c r="J428" s="23"/>
      <c r="K428" s="23"/>
      <c r="L428" s="49"/>
    </row>
    <row r="429" customFormat="false" ht="15" hidden="true" customHeight="false" outlineLevel="1" collapsed="false">
      <c r="A429" s="20" t="n">
        <v>124</v>
      </c>
      <c r="B429" s="6" t="s">
        <v>82</v>
      </c>
      <c r="C429" s="20" t="s">
        <v>71</v>
      </c>
      <c r="D429" s="51" t="n">
        <f aca="false">SUM(F412:J412)+SUM(F414:J414)</f>
        <v>17.4523156574077</v>
      </c>
      <c r="E429" s="23"/>
      <c r="F429" s="23"/>
      <c r="G429" s="23"/>
      <c r="H429" s="23"/>
      <c r="I429" s="23"/>
      <c r="J429" s="23"/>
      <c r="K429" s="23"/>
      <c r="L429" s="49"/>
    </row>
    <row r="430" customFormat="false" ht="15" hidden="true" customHeight="false" outlineLevel="1" collapsed="false">
      <c r="A430" s="20" t="n">
        <v>125</v>
      </c>
      <c r="B430" s="6" t="s">
        <v>83</v>
      </c>
      <c r="C430" s="20" t="s">
        <v>68</v>
      </c>
      <c r="D430" s="55" t="n">
        <f aca="false">IFERROR(IRR(F415:J415),"н/д")</f>
        <v>0.585888419082903</v>
      </c>
      <c r="E430" s="23"/>
      <c r="F430" s="23"/>
      <c r="G430" s="23"/>
      <c r="H430" s="23"/>
      <c r="I430" s="23"/>
      <c r="J430" s="23"/>
      <c r="K430" s="23"/>
      <c r="L430" s="49"/>
    </row>
    <row r="431" customFormat="false" ht="15" hidden="true" customHeight="false" outlineLevel="1" collapsed="false">
      <c r="A431" s="20" t="n">
        <v>126</v>
      </c>
      <c r="B431" s="6" t="s">
        <v>13</v>
      </c>
      <c r="C431" s="20" t="s">
        <v>79</v>
      </c>
      <c r="D431" s="56" t="n">
        <f aca="false">IF(COUNT(F416:J416)=0,"после 2031",MIN(F416:J416))</f>
        <v>2029</v>
      </c>
      <c r="E431" s="23"/>
      <c r="F431" s="23"/>
      <c r="G431" s="23"/>
      <c r="H431" s="23"/>
      <c r="I431" s="23"/>
      <c r="J431" s="23"/>
      <c r="K431" s="23"/>
      <c r="L431" s="49"/>
    </row>
    <row r="432" customFormat="false" ht="15" hidden="true" customHeight="false" outlineLevel="1" collapsed="false">
      <c r="A432" s="20" t="n">
        <v>127</v>
      </c>
      <c r="B432" s="6" t="s">
        <v>703</v>
      </c>
      <c r="C432" s="20" t="s">
        <v>79</v>
      </c>
      <c r="D432" s="56" t="n">
        <f aca="false">IF(COUNT(F417:J417)=0,"после 2031",MIN(F417:J417))</f>
        <v>2031</v>
      </c>
      <c r="E432" s="23"/>
      <c r="F432" s="23"/>
      <c r="G432" s="23"/>
      <c r="H432" s="23"/>
      <c r="I432" s="23"/>
      <c r="J432" s="23"/>
      <c r="K432" s="23"/>
      <c r="L432" s="49"/>
    </row>
    <row r="435" customFormat="false" ht="15" hidden="true" customHeight="false" outlineLevel="1" collapsed="false">
      <c r="A435" s="57" t="s">
        <v>726</v>
      </c>
    </row>
    <row r="436" customFormat="false" ht="30" hidden="true" customHeight="true" outlineLevel="1" collapsed="false">
      <c r="A436" s="4" t="s">
        <v>49</v>
      </c>
      <c r="B436" s="4" t="s">
        <v>3</v>
      </c>
      <c r="C436" s="5" t="s">
        <v>50</v>
      </c>
      <c r="D436" s="5" t="s">
        <v>551</v>
      </c>
      <c r="E436" s="5" t="s">
        <v>356</v>
      </c>
      <c r="F436" s="5" t="s">
        <v>86</v>
      </c>
      <c r="G436" s="5" t="s">
        <v>87</v>
      </c>
      <c r="H436" s="5" t="s">
        <v>88</v>
      </c>
      <c r="I436" s="5" t="s">
        <v>89</v>
      </c>
      <c r="J436" s="5" t="s">
        <v>90</v>
      </c>
      <c r="K436" s="5" t="s">
        <v>552</v>
      </c>
      <c r="L436" s="5" t="s">
        <v>393</v>
      </c>
    </row>
    <row r="437" customFormat="false" ht="15" hidden="true" customHeight="false" outlineLevel="1" collapsed="false">
      <c r="A437" s="19" t="s">
        <v>553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customFormat="false" ht="15" hidden="true" customHeight="false" outlineLevel="1" collapsed="false">
      <c r="A438" s="20" t="n">
        <v>1</v>
      </c>
      <c r="B438" s="6" t="s">
        <v>554</v>
      </c>
      <c r="C438" s="20" t="s">
        <v>79</v>
      </c>
      <c r="D438" s="10" t="n">
        <f aca="false">Допущения!$E$49</f>
        <v>2027</v>
      </c>
      <c r="E438" s="23"/>
      <c r="F438" s="23"/>
      <c r="G438" s="23"/>
      <c r="H438" s="23"/>
      <c r="I438" s="23"/>
      <c r="J438" s="23"/>
      <c r="K438" s="23"/>
      <c r="L438" s="49"/>
    </row>
    <row r="439" customFormat="false" ht="15" hidden="true" customHeight="false" outlineLevel="1" collapsed="false">
      <c r="A439" s="20" t="n">
        <v>2</v>
      </c>
      <c r="B439" s="6" t="s">
        <v>555</v>
      </c>
      <c r="C439" s="20" t="s">
        <v>105</v>
      </c>
      <c r="D439" s="45" t="n">
        <f aca="false">Допущения!$E$7</f>
        <v>1.8</v>
      </c>
      <c r="E439" s="23"/>
      <c r="F439" s="23"/>
      <c r="G439" s="23"/>
      <c r="H439" s="23"/>
      <c r="I439" s="23"/>
      <c r="J439" s="23"/>
      <c r="K439" s="23"/>
      <c r="L439" s="49"/>
    </row>
    <row r="440" customFormat="false" ht="15" hidden="true" customHeight="false" outlineLevel="1" collapsed="false">
      <c r="A440" s="20" t="n">
        <v>3</v>
      </c>
      <c r="B440" s="6" t="s">
        <v>556</v>
      </c>
      <c r="C440" s="20" t="s">
        <v>55</v>
      </c>
      <c r="D440" s="9" t="n">
        <f aca="false">Допущения!$E$42</f>
        <v>6</v>
      </c>
      <c r="E440" s="23"/>
      <c r="F440" s="23"/>
      <c r="G440" s="23"/>
      <c r="H440" s="23"/>
      <c r="I440" s="23"/>
      <c r="J440" s="23"/>
      <c r="K440" s="23"/>
      <c r="L440" s="49"/>
    </row>
    <row r="441" customFormat="false" ht="15" hidden="true" customHeight="false" outlineLevel="1" collapsed="false">
      <c r="A441" s="20" t="n">
        <v>4</v>
      </c>
      <c r="B441" s="6" t="s">
        <v>557</v>
      </c>
      <c r="C441" s="20" t="s">
        <v>244</v>
      </c>
      <c r="D441" s="9" t="n">
        <f aca="false">Допущения!$E$43</f>
        <v>5</v>
      </c>
      <c r="E441" s="23"/>
      <c r="F441" s="23"/>
      <c r="G441" s="23"/>
      <c r="H441" s="23"/>
      <c r="I441" s="23"/>
      <c r="J441" s="23"/>
      <c r="K441" s="23"/>
      <c r="L441" s="49"/>
    </row>
    <row r="442" customFormat="false" ht="15" hidden="true" customHeight="false" outlineLevel="1" collapsed="false">
      <c r="A442" s="20" t="n">
        <v>5</v>
      </c>
      <c r="B442" s="6" t="s">
        <v>558</v>
      </c>
      <c r="C442" s="20" t="s">
        <v>55</v>
      </c>
      <c r="D442" s="9" t="n">
        <f aca="false">Допущения!$E$44</f>
        <v>1.5</v>
      </c>
      <c r="E442" s="23"/>
      <c r="F442" s="23"/>
      <c r="G442" s="23"/>
      <c r="H442" s="23"/>
      <c r="I442" s="23"/>
      <c r="J442" s="23"/>
      <c r="K442" s="23"/>
      <c r="L442" s="49"/>
    </row>
    <row r="443" customFormat="false" ht="15" hidden="true" customHeight="false" outlineLevel="1" collapsed="false">
      <c r="A443" s="20" t="n">
        <v>6</v>
      </c>
      <c r="B443" s="6" t="s">
        <v>559</v>
      </c>
      <c r="C443" s="20" t="s">
        <v>71</v>
      </c>
      <c r="D443" s="9" t="n">
        <f aca="false">Допущения!$E$45</f>
        <v>8</v>
      </c>
      <c r="E443" s="23"/>
      <c r="F443" s="23"/>
      <c r="G443" s="23"/>
      <c r="H443" s="23"/>
      <c r="I443" s="23"/>
      <c r="J443" s="23"/>
      <c r="K443" s="23"/>
      <c r="L443" s="49"/>
    </row>
    <row r="444" customFormat="false" ht="15" hidden="true" customHeight="false" outlineLevel="1" collapsed="false">
      <c r="A444" s="20" t="n">
        <v>7</v>
      </c>
      <c r="B444" s="6" t="s">
        <v>560</v>
      </c>
      <c r="C444" s="20" t="s">
        <v>71</v>
      </c>
      <c r="D444" s="9" t="n">
        <f aca="false">Допущения!$E$46</f>
        <v>2</v>
      </c>
      <c r="E444" s="23"/>
      <c r="F444" s="23"/>
      <c r="G444" s="23"/>
      <c r="H444" s="23"/>
      <c r="I444" s="23"/>
      <c r="J444" s="23"/>
      <c r="K444" s="23"/>
      <c r="L444" s="49"/>
    </row>
    <row r="445" customFormat="false" ht="15" hidden="true" customHeight="false" outlineLevel="1" collapsed="false">
      <c r="A445" s="20" t="n">
        <v>8</v>
      </c>
      <c r="B445" s="6" t="s">
        <v>260</v>
      </c>
      <c r="C445" s="20" t="s">
        <v>261</v>
      </c>
      <c r="D445" s="22" t="n">
        <f aca="false">Допущения!$E$47</f>
        <v>0.05</v>
      </c>
      <c r="E445" s="23"/>
      <c r="F445" s="23"/>
      <c r="G445" s="23"/>
      <c r="H445" s="23"/>
      <c r="I445" s="23"/>
      <c r="J445" s="23"/>
      <c r="K445" s="23"/>
      <c r="L445" s="49"/>
    </row>
    <row r="446" customFormat="false" ht="15" hidden="true" customHeight="false" outlineLevel="1" collapsed="false">
      <c r="A446" s="20" t="n">
        <v>9</v>
      </c>
      <c r="B446" s="6" t="s">
        <v>561</v>
      </c>
      <c r="C446" s="20" t="s">
        <v>261</v>
      </c>
      <c r="D446" s="22" t="n">
        <f aca="false">Допущения!$E$48</f>
        <v>0.15</v>
      </c>
      <c r="E446" s="23"/>
      <c r="F446" s="23"/>
      <c r="G446" s="23"/>
      <c r="H446" s="23"/>
      <c r="I446" s="23"/>
      <c r="J446" s="23"/>
      <c r="K446" s="23"/>
      <c r="L446" s="49"/>
    </row>
    <row r="447" customFormat="false" ht="15" hidden="true" customHeight="false" outlineLevel="1" collapsed="false">
      <c r="A447" s="20" t="n">
        <v>10</v>
      </c>
      <c r="B447" s="6" t="s">
        <v>274</v>
      </c>
      <c r="C447" s="20" t="s">
        <v>261</v>
      </c>
      <c r="D447" s="22" t="n">
        <f aca="false">Допущения!$E$51</f>
        <v>0.07</v>
      </c>
      <c r="E447" s="23"/>
      <c r="F447" s="23"/>
      <c r="G447" s="23"/>
      <c r="H447" s="23"/>
      <c r="I447" s="23"/>
      <c r="J447" s="23"/>
      <c r="K447" s="23"/>
      <c r="L447" s="49"/>
    </row>
    <row r="448" customFormat="false" ht="15" hidden="true" customHeight="false" outlineLevel="1" collapsed="false">
      <c r="A448" s="20" t="n">
        <v>11</v>
      </c>
      <c r="B448" s="6" t="s">
        <v>562</v>
      </c>
      <c r="C448" s="20" t="s">
        <v>68</v>
      </c>
      <c r="D448" s="22" t="n">
        <f aca="false">Допущения!$E$52</f>
        <v>0.15</v>
      </c>
      <c r="E448" s="23"/>
      <c r="F448" s="23"/>
      <c r="G448" s="23"/>
      <c r="H448" s="23"/>
      <c r="I448" s="23"/>
      <c r="J448" s="23"/>
      <c r="K448" s="23"/>
      <c r="L448" s="49"/>
    </row>
    <row r="449" customFormat="false" ht="15" hidden="true" customHeight="false" outlineLevel="1" collapsed="false">
      <c r="A449" s="20" t="n">
        <v>12</v>
      </c>
      <c r="B449" s="6" t="s">
        <v>563</v>
      </c>
      <c r="C449" s="20" t="s">
        <v>68</v>
      </c>
      <c r="D449" s="22" t="n">
        <f aca="false">Допущения!$E$53</f>
        <v>0.076</v>
      </c>
      <c r="E449" s="23"/>
      <c r="F449" s="23"/>
      <c r="G449" s="23"/>
      <c r="H449" s="23"/>
      <c r="I449" s="23"/>
      <c r="J449" s="23"/>
      <c r="K449" s="23"/>
      <c r="L449" s="49"/>
    </row>
    <row r="450" customFormat="false" ht="15" hidden="true" customHeight="false" outlineLevel="1" collapsed="false">
      <c r="A450" s="20" t="n">
        <v>13</v>
      </c>
      <c r="B450" s="6" t="s">
        <v>284</v>
      </c>
      <c r="C450" s="20" t="s">
        <v>68</v>
      </c>
      <c r="D450" s="22" t="n">
        <f aca="false">Допущения!$E$54</f>
        <v>0.002</v>
      </c>
      <c r="E450" s="23"/>
      <c r="F450" s="23"/>
      <c r="G450" s="23"/>
      <c r="H450" s="23"/>
      <c r="I450" s="23"/>
      <c r="J450" s="23"/>
      <c r="K450" s="23"/>
      <c r="L450" s="49"/>
    </row>
    <row r="451" customFormat="false" ht="15" hidden="true" customHeight="false" outlineLevel="1" collapsed="false">
      <c r="A451" s="20" t="n">
        <v>14</v>
      </c>
      <c r="B451" s="6" t="s">
        <v>564</v>
      </c>
      <c r="C451" s="20" t="s">
        <v>55</v>
      </c>
      <c r="D451" s="50" t="n">
        <f aca="false">Допущения!$E$55</f>
        <v>2.979</v>
      </c>
      <c r="E451" s="23"/>
      <c r="F451" s="23"/>
      <c r="G451" s="23"/>
      <c r="H451" s="23"/>
      <c r="I451" s="23"/>
      <c r="J451" s="23"/>
      <c r="K451" s="23"/>
      <c r="L451" s="49"/>
    </row>
    <row r="452" customFormat="false" ht="15" hidden="true" customHeight="false" outlineLevel="1" collapsed="false">
      <c r="A452" s="20" t="n">
        <v>15</v>
      </c>
      <c r="B452" s="6" t="s">
        <v>565</v>
      </c>
      <c r="C452" s="20" t="s">
        <v>261</v>
      </c>
      <c r="D452" s="22" t="n">
        <f aca="false">Допущения!$E$56</f>
        <v>0.08</v>
      </c>
      <c r="E452" s="23"/>
      <c r="F452" s="23"/>
      <c r="G452" s="23"/>
      <c r="H452" s="23"/>
      <c r="I452" s="23"/>
      <c r="J452" s="23"/>
      <c r="K452" s="23"/>
      <c r="L452" s="49"/>
    </row>
    <row r="453" customFormat="false" ht="15" hidden="true" customHeight="false" outlineLevel="1" collapsed="false">
      <c r="A453" s="20" t="n">
        <v>16</v>
      </c>
      <c r="B453" s="6" t="s">
        <v>566</v>
      </c>
      <c r="C453" s="20" t="s">
        <v>71</v>
      </c>
      <c r="D453" s="9" t="n">
        <f aca="false">Допущения!$E$58</f>
        <v>2.5</v>
      </c>
      <c r="E453" s="23"/>
      <c r="F453" s="23"/>
      <c r="G453" s="23"/>
      <c r="H453" s="23"/>
      <c r="I453" s="23"/>
      <c r="J453" s="23"/>
      <c r="K453" s="23"/>
      <c r="L453" s="49"/>
    </row>
    <row r="454" customFormat="false" ht="15" hidden="true" customHeight="false" outlineLevel="1" collapsed="false">
      <c r="A454" s="20" t="n">
        <v>17</v>
      </c>
      <c r="B454" s="6" t="s">
        <v>299</v>
      </c>
      <c r="C454" s="20" t="s">
        <v>55</v>
      </c>
      <c r="D454" s="9" t="n">
        <f aca="false">Допущения!$E$59</f>
        <v>1</v>
      </c>
      <c r="E454" s="23"/>
      <c r="F454" s="23"/>
      <c r="G454" s="23"/>
      <c r="H454" s="23"/>
      <c r="I454" s="23"/>
      <c r="J454" s="23"/>
      <c r="K454" s="23"/>
      <c r="L454" s="49"/>
    </row>
    <row r="455" customFormat="false" ht="15" hidden="true" customHeight="false" outlineLevel="1" collapsed="false">
      <c r="A455" s="20" t="n">
        <v>18</v>
      </c>
      <c r="B455" s="6" t="s">
        <v>302</v>
      </c>
      <c r="C455" s="20" t="s">
        <v>55</v>
      </c>
      <c r="D455" s="9" t="n">
        <f aca="false">Допущения!$E$60</f>
        <v>0.6</v>
      </c>
      <c r="E455" s="23"/>
      <c r="F455" s="23"/>
      <c r="G455" s="23"/>
      <c r="H455" s="23"/>
      <c r="I455" s="23"/>
      <c r="J455" s="23"/>
      <c r="K455" s="23"/>
      <c r="L455" s="49"/>
    </row>
    <row r="456" customFormat="false" ht="15" hidden="true" customHeight="false" outlineLevel="1" collapsed="false">
      <c r="A456" s="20" t="n">
        <v>19</v>
      </c>
      <c r="B456" s="6" t="s">
        <v>567</v>
      </c>
      <c r="C456" s="20" t="s">
        <v>55</v>
      </c>
      <c r="D456" s="45" t="n">
        <f aca="false">Допущения!$E$61</f>
        <v>0.15</v>
      </c>
      <c r="E456" s="23"/>
      <c r="F456" s="23"/>
      <c r="G456" s="23"/>
      <c r="H456" s="23"/>
      <c r="I456" s="23"/>
      <c r="J456" s="23"/>
      <c r="K456" s="23"/>
      <c r="L456" s="49"/>
    </row>
    <row r="457" customFormat="false" ht="15" hidden="true" customHeight="false" outlineLevel="1" collapsed="false">
      <c r="A457" s="20" t="n">
        <v>20</v>
      </c>
      <c r="B457" s="6" t="s">
        <v>568</v>
      </c>
      <c r="C457" s="20" t="s">
        <v>55</v>
      </c>
      <c r="D457" s="9" t="n">
        <f aca="false">Допущения!$E$62</f>
        <v>1</v>
      </c>
      <c r="E457" s="23"/>
      <c r="F457" s="23"/>
      <c r="G457" s="23"/>
      <c r="H457" s="23"/>
      <c r="I457" s="23"/>
      <c r="J457" s="23"/>
      <c r="K457" s="23"/>
      <c r="L457" s="49"/>
    </row>
    <row r="458" customFormat="false" ht="15" hidden="true" customHeight="false" outlineLevel="1" collapsed="false">
      <c r="A458" s="20" t="n">
        <v>21</v>
      </c>
      <c r="B458" s="6" t="s">
        <v>569</v>
      </c>
      <c r="C458" s="20" t="s">
        <v>71</v>
      </c>
      <c r="D458" s="9" t="n">
        <f aca="false">Допущения!$E$63</f>
        <v>0.4</v>
      </c>
      <c r="E458" s="23"/>
      <c r="F458" s="23"/>
      <c r="G458" s="23"/>
      <c r="H458" s="23"/>
      <c r="I458" s="23"/>
      <c r="J458" s="23"/>
      <c r="K458" s="23"/>
      <c r="L458" s="49"/>
    </row>
    <row r="459" customFormat="false" ht="15" hidden="true" customHeight="false" outlineLevel="1" collapsed="false">
      <c r="A459" s="20" t="n">
        <v>22</v>
      </c>
      <c r="B459" s="6" t="s">
        <v>314</v>
      </c>
      <c r="C459" s="20" t="s">
        <v>55</v>
      </c>
      <c r="D459" s="9" t="n">
        <f aca="false">Допущения!$E$64</f>
        <v>1.2</v>
      </c>
      <c r="E459" s="23"/>
      <c r="F459" s="23"/>
      <c r="G459" s="23"/>
      <c r="H459" s="23"/>
      <c r="I459" s="23"/>
      <c r="J459" s="23"/>
      <c r="K459" s="23"/>
      <c r="L459" s="49"/>
    </row>
    <row r="460" customFormat="false" ht="15" hidden="true" customHeight="false" outlineLevel="1" collapsed="false">
      <c r="A460" s="20" t="n">
        <v>23</v>
      </c>
      <c r="B460" s="6" t="s">
        <v>317</v>
      </c>
      <c r="C460" s="20" t="s">
        <v>55</v>
      </c>
      <c r="D460" s="45" t="n">
        <f aca="false">Допущения!$E$65</f>
        <v>0.1</v>
      </c>
      <c r="E460" s="23"/>
      <c r="F460" s="23"/>
      <c r="G460" s="23"/>
      <c r="H460" s="23"/>
      <c r="I460" s="23"/>
      <c r="J460" s="23"/>
      <c r="K460" s="23"/>
      <c r="L460" s="49"/>
    </row>
    <row r="461" customFormat="false" ht="15" hidden="true" customHeight="false" outlineLevel="1" collapsed="false">
      <c r="A461" s="20" t="n">
        <v>24</v>
      </c>
      <c r="B461" s="6" t="s">
        <v>320</v>
      </c>
      <c r="C461" s="20" t="s">
        <v>71</v>
      </c>
      <c r="D461" s="45" t="n">
        <f aca="false">Допущения!$E$66</f>
        <v>0.25</v>
      </c>
      <c r="E461" s="23"/>
      <c r="F461" s="23"/>
      <c r="G461" s="23"/>
      <c r="H461" s="23"/>
      <c r="I461" s="23"/>
      <c r="J461" s="23"/>
      <c r="K461" s="23"/>
      <c r="L461" s="49"/>
    </row>
    <row r="462" customFormat="false" ht="15" hidden="true" customHeight="false" outlineLevel="1" collapsed="false">
      <c r="A462" s="20" t="n">
        <v>25</v>
      </c>
      <c r="B462" s="6" t="s">
        <v>570</v>
      </c>
      <c r="C462" s="20" t="s">
        <v>71</v>
      </c>
      <c r="D462" s="9" t="n">
        <f aca="false">Допущения!$E$67</f>
        <v>0.3</v>
      </c>
      <c r="E462" s="23"/>
      <c r="F462" s="23"/>
      <c r="G462" s="23"/>
      <c r="H462" s="23"/>
      <c r="I462" s="23"/>
      <c r="J462" s="23"/>
      <c r="K462" s="23"/>
      <c r="L462" s="49"/>
    </row>
    <row r="463" customFormat="false" ht="15" hidden="true" customHeight="false" outlineLevel="1" collapsed="false">
      <c r="A463" s="20" t="n">
        <v>26</v>
      </c>
      <c r="B463" s="6" t="s">
        <v>326</v>
      </c>
      <c r="C463" s="20" t="s">
        <v>261</v>
      </c>
      <c r="D463" s="22" t="n">
        <f aca="false">Допущения!$E$68</f>
        <v>0.05</v>
      </c>
      <c r="E463" s="23"/>
      <c r="F463" s="23"/>
      <c r="G463" s="23"/>
      <c r="H463" s="23"/>
      <c r="I463" s="23"/>
      <c r="J463" s="23"/>
      <c r="K463" s="23"/>
      <c r="L463" s="49"/>
    </row>
    <row r="464" customFormat="false" ht="15" hidden="true" customHeight="false" outlineLevel="1" collapsed="false">
      <c r="A464" s="20" t="n">
        <v>27</v>
      </c>
      <c r="B464" s="6" t="s">
        <v>571</v>
      </c>
      <c r="C464" s="20" t="s">
        <v>330</v>
      </c>
      <c r="D464" s="22" t="n">
        <f aca="false">Допущения!$E$69</f>
        <v>0.1</v>
      </c>
      <c r="E464" s="23"/>
      <c r="F464" s="23"/>
      <c r="G464" s="23"/>
      <c r="H464" s="23"/>
      <c r="I464" s="23"/>
      <c r="J464" s="23"/>
      <c r="K464" s="23"/>
      <c r="L464" s="49"/>
    </row>
    <row r="465" customFormat="false" ht="15" hidden="true" customHeight="false" outlineLevel="1" collapsed="false">
      <c r="A465" s="20" t="n">
        <v>28</v>
      </c>
      <c r="B465" s="6" t="s">
        <v>572</v>
      </c>
      <c r="C465" s="20" t="s">
        <v>68</v>
      </c>
      <c r="D465" s="22" t="n">
        <f aca="false">Допущения!$E$71</f>
        <v>0.05</v>
      </c>
      <c r="E465" s="23"/>
      <c r="F465" s="23"/>
      <c r="G465" s="23"/>
      <c r="H465" s="23"/>
      <c r="I465" s="23"/>
      <c r="J465" s="23"/>
      <c r="K465" s="23"/>
      <c r="L465" s="49"/>
    </row>
    <row r="466" customFormat="false" ht="15" hidden="true" customHeight="false" outlineLevel="1" collapsed="false">
      <c r="A466" s="20" t="n">
        <v>29</v>
      </c>
      <c r="B466" s="6" t="s">
        <v>573</v>
      </c>
      <c r="C466" s="20" t="s">
        <v>68</v>
      </c>
      <c r="D466" s="22" t="n">
        <f aca="false">Допущения!$E$72</f>
        <v>0.5</v>
      </c>
      <c r="E466" s="23"/>
      <c r="F466" s="23"/>
      <c r="G466" s="23"/>
      <c r="H466" s="23"/>
      <c r="I466" s="23"/>
      <c r="J466" s="23"/>
      <c r="K466" s="23"/>
      <c r="L466" s="49"/>
    </row>
    <row r="467" customFormat="false" ht="15" hidden="true" customHeight="false" outlineLevel="1" collapsed="false">
      <c r="A467" s="20" t="n">
        <v>30</v>
      </c>
      <c r="B467" s="6" t="s">
        <v>574</v>
      </c>
      <c r="C467" s="20" t="s">
        <v>575</v>
      </c>
      <c r="D467" s="7" t="n">
        <f aca="false">Допущения!$E$73</f>
        <v>90</v>
      </c>
      <c r="E467" s="23"/>
      <c r="F467" s="23"/>
      <c r="G467" s="23"/>
      <c r="H467" s="23"/>
      <c r="I467" s="23"/>
      <c r="J467" s="23"/>
      <c r="K467" s="23"/>
      <c r="L467" s="49"/>
    </row>
    <row r="468" customFormat="false" ht="15" hidden="true" customHeight="false" outlineLevel="1" collapsed="false">
      <c r="A468" s="20" t="n">
        <v>31</v>
      </c>
      <c r="B468" s="6" t="s">
        <v>345</v>
      </c>
      <c r="C468" s="20" t="s">
        <v>68</v>
      </c>
      <c r="D468" s="22" t="n">
        <f aca="false">Допущения!$E$74</f>
        <v>0.3</v>
      </c>
      <c r="E468" s="23"/>
      <c r="F468" s="23"/>
      <c r="G468" s="23"/>
      <c r="H468" s="23"/>
      <c r="I468" s="23"/>
      <c r="J468" s="23"/>
      <c r="K468" s="23"/>
      <c r="L468" s="49"/>
    </row>
    <row r="469" customFormat="false" ht="15" hidden="true" customHeight="false" outlineLevel="1" collapsed="false">
      <c r="A469" s="20" t="n">
        <v>32</v>
      </c>
      <c r="B469" s="6" t="s">
        <v>576</v>
      </c>
      <c r="C469" s="20" t="s">
        <v>261</v>
      </c>
      <c r="D469" s="22" t="n">
        <f aca="false">Допущения!$E$75</f>
        <v>0.04</v>
      </c>
      <c r="E469" s="23"/>
      <c r="F469" s="23"/>
      <c r="G469" s="23"/>
      <c r="H469" s="23"/>
      <c r="I469" s="23"/>
      <c r="J469" s="23"/>
      <c r="K469" s="23"/>
      <c r="L469" s="49"/>
    </row>
    <row r="470" customFormat="false" ht="15" hidden="true" customHeight="false" outlineLevel="1" collapsed="false">
      <c r="A470" s="20" t="n">
        <v>33</v>
      </c>
      <c r="B470" s="6" t="s">
        <v>577</v>
      </c>
      <c r="C470" s="20" t="s">
        <v>68</v>
      </c>
      <c r="D470" s="22" t="n">
        <f aca="false">Допущения!$E$76</f>
        <v>0.2</v>
      </c>
      <c r="E470" s="23"/>
      <c r="F470" s="23"/>
      <c r="G470" s="23"/>
      <c r="H470" s="23"/>
      <c r="I470" s="23"/>
      <c r="J470" s="23"/>
      <c r="K470" s="23"/>
      <c r="L470" s="49"/>
    </row>
    <row r="471" customFormat="false" ht="15" hidden="true" customHeight="false" outlineLevel="1" collapsed="false">
      <c r="A471" s="20" t="n">
        <v>34</v>
      </c>
      <c r="B471" s="6" t="s">
        <v>578</v>
      </c>
      <c r="C471" s="20" t="s">
        <v>105</v>
      </c>
      <c r="D471" s="50" t="n">
        <f aca="false">Рынок!$E$30</f>
        <v>0.490909090909091</v>
      </c>
      <c r="E471" s="23"/>
      <c r="F471" s="23"/>
      <c r="G471" s="23"/>
      <c r="H471" s="23"/>
      <c r="I471" s="23"/>
      <c r="J471" s="23"/>
      <c r="K471" s="23"/>
      <c r="L471" s="49" t="s">
        <v>579</v>
      </c>
    </row>
    <row r="472" customFormat="false" ht="15" hidden="true" customHeight="false" outlineLevel="1" collapsed="false">
      <c r="A472" s="20" t="n">
        <v>35</v>
      </c>
      <c r="B472" s="6" t="s">
        <v>580</v>
      </c>
      <c r="C472" s="20" t="s">
        <v>105</v>
      </c>
      <c r="D472" s="50" t="n">
        <f aca="false">Рынок!$E$31</f>
        <v>0.028125</v>
      </c>
      <c r="E472" s="23"/>
      <c r="F472" s="23"/>
      <c r="G472" s="23"/>
      <c r="H472" s="23"/>
      <c r="I472" s="23"/>
      <c r="J472" s="23"/>
      <c r="K472" s="23"/>
      <c r="L472" s="49" t="s">
        <v>579</v>
      </c>
    </row>
    <row r="473" customFormat="false" ht="15" hidden="true" customHeight="false" outlineLevel="1" collapsed="false">
      <c r="A473" s="20" t="n">
        <v>36</v>
      </c>
      <c r="B473" s="6" t="s">
        <v>581</v>
      </c>
      <c r="C473" s="20" t="s">
        <v>142</v>
      </c>
      <c r="D473" s="7" t="n">
        <f aca="false">План!$D$18</f>
        <v>200</v>
      </c>
      <c r="E473" s="23"/>
      <c r="F473" s="23"/>
      <c r="G473" s="23"/>
      <c r="H473" s="23"/>
      <c r="I473" s="23"/>
      <c r="J473" s="23"/>
      <c r="K473" s="23"/>
      <c r="L473" s="49" t="s">
        <v>582</v>
      </c>
    </row>
    <row r="474" customFormat="false" ht="15" hidden="true" customHeight="false" outlineLevel="1" collapsed="false">
      <c r="A474" s="20" t="n">
        <v>37</v>
      </c>
      <c r="B474" s="6" t="s">
        <v>583</v>
      </c>
      <c r="C474" s="20" t="s">
        <v>142</v>
      </c>
      <c r="D474" s="7" t="n">
        <f aca="false">План!$D$19</f>
        <v>280</v>
      </c>
      <c r="E474" s="23"/>
      <c r="F474" s="23"/>
      <c r="G474" s="23"/>
      <c r="H474" s="23"/>
      <c r="I474" s="23"/>
      <c r="J474" s="23"/>
      <c r="K474" s="23"/>
      <c r="L474" s="49" t="s">
        <v>582</v>
      </c>
    </row>
    <row r="475" customFormat="false" ht="15" hidden="true" customHeight="false" outlineLevel="1" collapsed="false">
      <c r="A475" s="20" t="n">
        <v>38</v>
      </c>
      <c r="B475" s="6" t="s">
        <v>584</v>
      </c>
      <c r="C475" s="20" t="s">
        <v>142</v>
      </c>
      <c r="D475" s="7" t="n">
        <f aca="false">План!$D$20</f>
        <v>230</v>
      </c>
      <c r="E475" s="23"/>
      <c r="F475" s="23"/>
      <c r="G475" s="23"/>
      <c r="H475" s="23"/>
      <c r="I475" s="23"/>
      <c r="J475" s="23"/>
      <c r="K475" s="23"/>
      <c r="L475" s="49" t="s">
        <v>582</v>
      </c>
    </row>
    <row r="476" customFormat="false" ht="15" hidden="true" customHeight="false" outlineLevel="1" collapsed="false">
      <c r="A476" s="20" t="n">
        <v>39</v>
      </c>
      <c r="B476" s="6" t="s">
        <v>585</v>
      </c>
      <c r="C476" s="20" t="s">
        <v>142</v>
      </c>
      <c r="D476" s="7" t="n">
        <f aca="false">План!$D$21</f>
        <v>220</v>
      </c>
      <c r="E476" s="23"/>
      <c r="F476" s="23"/>
      <c r="G476" s="23"/>
      <c r="H476" s="23"/>
      <c r="I476" s="23"/>
      <c r="J476" s="23"/>
      <c r="K476" s="23"/>
      <c r="L476" s="49" t="s">
        <v>582</v>
      </c>
    </row>
    <row r="477" customFormat="false" ht="15" hidden="true" customHeight="false" outlineLevel="1" collapsed="false">
      <c r="A477" s="20" t="n">
        <v>40</v>
      </c>
      <c r="B477" s="6" t="s">
        <v>586</v>
      </c>
      <c r="C477" s="20" t="s">
        <v>142</v>
      </c>
      <c r="D477" s="7" t="n">
        <f aca="false">План!$D$22</f>
        <v>250</v>
      </c>
      <c r="E477" s="23"/>
      <c r="F477" s="23"/>
      <c r="G477" s="23"/>
      <c r="H477" s="23"/>
      <c r="I477" s="23"/>
      <c r="J477" s="23"/>
      <c r="K477" s="23"/>
      <c r="L477" s="49" t="s">
        <v>582</v>
      </c>
    </row>
    <row r="478" customFormat="false" ht="15" hidden="true" customHeight="false" outlineLevel="1" collapsed="false">
      <c r="A478" s="20" t="n">
        <v>41</v>
      </c>
      <c r="B478" s="6" t="s">
        <v>587</v>
      </c>
      <c r="C478" s="20" t="s">
        <v>142</v>
      </c>
      <c r="D478" s="7" t="n">
        <f aca="false">План!$D$23</f>
        <v>220</v>
      </c>
      <c r="E478" s="23"/>
      <c r="F478" s="23"/>
      <c r="G478" s="23"/>
      <c r="H478" s="23"/>
      <c r="I478" s="23"/>
      <c r="J478" s="23"/>
      <c r="K478" s="23"/>
      <c r="L478" s="49" t="s">
        <v>582</v>
      </c>
    </row>
    <row r="479" customFormat="false" ht="15" hidden="true" customHeight="false" outlineLevel="1" collapsed="false">
      <c r="A479" s="20" t="n">
        <v>42</v>
      </c>
      <c r="B479" s="6" t="s">
        <v>359</v>
      </c>
      <c r="C479" s="20" t="s">
        <v>76</v>
      </c>
      <c r="D479" s="23"/>
      <c r="E479" s="9" t="n">
        <f aca="false">План!E16*0.8</f>
        <v>0</v>
      </c>
      <c r="F479" s="9" t="n">
        <f aca="false">План!F16*0.8</f>
        <v>0</v>
      </c>
      <c r="G479" s="9" t="n">
        <f aca="false">План!G16*0.8</f>
        <v>0</v>
      </c>
      <c r="H479" s="9" t="n">
        <f aca="false">План!H16*0.8</f>
        <v>0.8</v>
      </c>
      <c r="I479" s="9" t="n">
        <f aca="false">План!I16*0.8</f>
        <v>0</v>
      </c>
      <c r="J479" s="9" t="n">
        <f aca="false">План!J16*0.8</f>
        <v>0.8</v>
      </c>
      <c r="K479" s="51" t="n">
        <f aca="false">SUM(F479:J479)</f>
        <v>1.6</v>
      </c>
      <c r="L479" s="49" t="s">
        <v>582</v>
      </c>
    </row>
    <row r="480" customFormat="false" ht="15" hidden="true" customHeight="false" outlineLevel="1" collapsed="false">
      <c r="A480" s="20" t="n">
        <v>43</v>
      </c>
      <c r="B480" s="6" t="s">
        <v>361</v>
      </c>
      <c r="C480" s="20" t="s">
        <v>76</v>
      </c>
      <c r="D480" s="23"/>
      <c r="E480" s="9" t="n">
        <f aca="false">План!E17*0.8</f>
        <v>0</v>
      </c>
      <c r="F480" s="9" t="n">
        <f aca="false">План!F17*0.8</f>
        <v>0</v>
      </c>
      <c r="G480" s="9" t="n">
        <f aca="false">План!G17*0.8</f>
        <v>0.8</v>
      </c>
      <c r="H480" s="9" t="n">
        <f aca="false">План!H17*0.8</f>
        <v>1.6</v>
      </c>
      <c r="I480" s="9" t="n">
        <f aca="false">План!I17*0.8</f>
        <v>1.6</v>
      </c>
      <c r="J480" s="9" t="n">
        <f aca="false">План!J17*0.8</f>
        <v>2.4</v>
      </c>
      <c r="K480" s="51" t="n">
        <f aca="false">SUM(F480:J480)</f>
        <v>6.4</v>
      </c>
      <c r="L480" s="49" t="s">
        <v>582</v>
      </c>
    </row>
    <row r="481" customFormat="false" ht="15" hidden="true" customHeight="false" outlineLevel="1" collapsed="false">
      <c r="A481" s="20" t="n">
        <v>44</v>
      </c>
      <c r="B481" s="6" t="s">
        <v>588</v>
      </c>
      <c r="C481" s="20" t="s">
        <v>53</v>
      </c>
      <c r="D481" s="23"/>
      <c r="E481" s="9" t="n">
        <f aca="false">План!E18</f>
        <v>2</v>
      </c>
      <c r="F481" s="9" t="n">
        <f aca="false">План!F18</f>
        <v>2</v>
      </c>
      <c r="G481" s="9" t="n">
        <f aca="false">План!G18</f>
        <v>2</v>
      </c>
      <c r="H481" s="9" t="n">
        <f aca="false">План!H18</f>
        <v>2</v>
      </c>
      <c r="I481" s="9" t="n">
        <f aca="false">План!I18</f>
        <v>2</v>
      </c>
      <c r="J481" s="9" t="n">
        <f aca="false">План!J18</f>
        <v>2</v>
      </c>
      <c r="K481" s="23"/>
      <c r="L481" s="49" t="s">
        <v>582</v>
      </c>
    </row>
    <row r="482" customFormat="false" ht="15" hidden="true" customHeight="false" outlineLevel="1" collapsed="false">
      <c r="A482" s="20" t="n">
        <v>45</v>
      </c>
      <c r="B482" s="6" t="s">
        <v>589</v>
      </c>
      <c r="C482" s="20" t="s">
        <v>53</v>
      </c>
      <c r="D482" s="23"/>
      <c r="E482" s="9" t="n">
        <f aca="false">План!E19</f>
        <v>0</v>
      </c>
      <c r="F482" s="9" t="n">
        <f aca="false">План!F19</f>
        <v>1</v>
      </c>
      <c r="G482" s="9" t="n">
        <f aca="false">План!G19</f>
        <v>1</v>
      </c>
      <c r="H482" s="9" t="n">
        <f aca="false">План!H19</f>
        <v>1</v>
      </c>
      <c r="I482" s="9" t="n">
        <f aca="false">План!I19</f>
        <v>2</v>
      </c>
      <c r="J482" s="9" t="n">
        <f aca="false">План!J19</f>
        <v>2</v>
      </c>
      <c r="K482" s="23"/>
      <c r="L482" s="49" t="s">
        <v>582</v>
      </c>
    </row>
    <row r="483" customFormat="false" ht="15" hidden="true" customHeight="false" outlineLevel="1" collapsed="false">
      <c r="A483" s="20" t="n">
        <v>46</v>
      </c>
      <c r="B483" s="6" t="s">
        <v>590</v>
      </c>
      <c r="C483" s="20" t="s">
        <v>53</v>
      </c>
      <c r="D483" s="23"/>
      <c r="E483" s="9" t="n">
        <f aca="false">План!E20</f>
        <v>0</v>
      </c>
      <c r="F483" s="9" t="n">
        <f aca="false">План!F20</f>
        <v>1</v>
      </c>
      <c r="G483" s="9" t="n">
        <f aca="false">План!G20</f>
        <v>1</v>
      </c>
      <c r="H483" s="9" t="n">
        <f aca="false">План!H20</f>
        <v>1</v>
      </c>
      <c r="I483" s="9" t="n">
        <f aca="false">План!I20</f>
        <v>1</v>
      </c>
      <c r="J483" s="9" t="n">
        <f aca="false">План!J20</f>
        <v>1</v>
      </c>
      <c r="K483" s="23"/>
      <c r="L483" s="49" t="s">
        <v>582</v>
      </c>
    </row>
    <row r="484" customFormat="false" ht="15" hidden="true" customHeight="false" outlineLevel="1" collapsed="false">
      <c r="A484" s="20" t="n">
        <v>47</v>
      </c>
      <c r="B484" s="6" t="s">
        <v>591</v>
      </c>
      <c r="C484" s="20" t="s">
        <v>53</v>
      </c>
      <c r="D484" s="23"/>
      <c r="E484" s="9" t="n">
        <f aca="false">План!E21</f>
        <v>0</v>
      </c>
      <c r="F484" s="9" t="n">
        <f aca="false">План!F21</f>
        <v>0</v>
      </c>
      <c r="G484" s="9" t="n">
        <f aca="false">План!G21</f>
        <v>1</v>
      </c>
      <c r="H484" s="9" t="n">
        <f aca="false">План!H21</f>
        <v>1</v>
      </c>
      <c r="I484" s="9" t="n">
        <f aca="false">План!I21</f>
        <v>1</v>
      </c>
      <c r="J484" s="9" t="n">
        <f aca="false">План!J21</f>
        <v>1</v>
      </c>
      <c r="K484" s="23"/>
      <c r="L484" s="49" t="s">
        <v>582</v>
      </c>
    </row>
    <row r="485" customFormat="false" ht="15" hidden="true" customHeight="false" outlineLevel="1" collapsed="false">
      <c r="A485" s="20" t="n">
        <v>48</v>
      </c>
      <c r="B485" s="6" t="s">
        <v>592</v>
      </c>
      <c r="C485" s="20" t="s">
        <v>53</v>
      </c>
      <c r="D485" s="23"/>
      <c r="E485" s="9" t="n">
        <f aca="false">План!E22</f>
        <v>0</v>
      </c>
      <c r="F485" s="9" t="n">
        <f aca="false">План!F22</f>
        <v>0</v>
      </c>
      <c r="G485" s="9" t="n">
        <f aca="false">План!G22</f>
        <v>0</v>
      </c>
      <c r="H485" s="9" t="n">
        <f aca="false">План!H22</f>
        <v>1</v>
      </c>
      <c r="I485" s="9" t="n">
        <f aca="false">План!I22</f>
        <v>1</v>
      </c>
      <c r="J485" s="9" t="n">
        <f aca="false">План!J22</f>
        <v>1</v>
      </c>
      <c r="K485" s="23"/>
      <c r="L485" s="49" t="s">
        <v>582</v>
      </c>
    </row>
    <row r="486" customFormat="false" ht="15" hidden="true" customHeight="false" outlineLevel="1" collapsed="false">
      <c r="A486" s="20" t="n">
        <v>49</v>
      </c>
      <c r="B486" s="6" t="s">
        <v>593</v>
      </c>
      <c r="C486" s="20" t="s">
        <v>53</v>
      </c>
      <c r="D486" s="23"/>
      <c r="E486" s="9" t="n">
        <f aca="false">План!E23</f>
        <v>0</v>
      </c>
      <c r="F486" s="9" t="n">
        <f aca="false">План!F23</f>
        <v>0</v>
      </c>
      <c r="G486" s="9" t="n">
        <f aca="false">План!G23</f>
        <v>0</v>
      </c>
      <c r="H486" s="9" t="n">
        <f aca="false">План!H23</f>
        <v>0</v>
      </c>
      <c r="I486" s="9" t="n">
        <f aca="false">План!I23</f>
        <v>0</v>
      </c>
      <c r="J486" s="9" t="n">
        <f aca="false">План!J23</f>
        <v>1</v>
      </c>
      <c r="K486" s="23"/>
      <c r="L486" s="49" t="s">
        <v>582</v>
      </c>
    </row>
    <row r="487" customFormat="false" ht="15" hidden="true" customHeight="false" outlineLevel="1" collapsed="false">
      <c r="A487" s="19" t="s">
        <v>594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</row>
    <row r="488" customFormat="false" ht="15" hidden="true" customHeight="false" outlineLevel="1" collapsed="false">
      <c r="A488" s="20" t="n">
        <v>50</v>
      </c>
      <c r="B488" s="6" t="s">
        <v>595</v>
      </c>
      <c r="C488" s="20"/>
      <c r="D488" s="23"/>
      <c r="E488" s="10" t="n">
        <f aca="false">Допущения!$D$3</f>
        <v>2026</v>
      </c>
      <c r="F488" s="52" t="n">
        <f aca="false">E488+1</f>
        <v>2027</v>
      </c>
      <c r="G488" s="52" t="n">
        <f aca="false">F488+1</f>
        <v>2028</v>
      </c>
      <c r="H488" s="52" t="n">
        <f aca="false">G488+1</f>
        <v>2029</v>
      </c>
      <c r="I488" s="52" t="n">
        <f aca="false">H488+1</f>
        <v>2030</v>
      </c>
      <c r="J488" s="52" t="n">
        <f aca="false">I488+1</f>
        <v>2031</v>
      </c>
      <c r="K488" s="23"/>
      <c r="L488" s="49" t="s">
        <v>596</v>
      </c>
    </row>
    <row r="489" customFormat="false" ht="15" hidden="true" customHeight="false" outlineLevel="1" collapsed="false">
      <c r="A489" s="20" t="n">
        <v>51</v>
      </c>
      <c r="B489" s="6" t="s">
        <v>597</v>
      </c>
      <c r="C489" s="20" t="s">
        <v>62</v>
      </c>
      <c r="D489" s="23"/>
      <c r="E489" s="23"/>
      <c r="F489" s="53" t="n">
        <f aca="false">(1+$D$445)^(F$488-$E$488-1)</f>
        <v>1</v>
      </c>
      <c r="G489" s="53" t="n">
        <f aca="false">(1+$D$445)^(G$488-$E$488-1)</f>
        <v>1.05</v>
      </c>
      <c r="H489" s="53" t="n">
        <f aca="false">(1+$D$445)^(H$488-$E$488-1)</f>
        <v>1.1025</v>
      </c>
      <c r="I489" s="53" t="n">
        <f aca="false">(1+$D$445)^(I$488-$E$488-1)</f>
        <v>1.157625</v>
      </c>
      <c r="J489" s="53" t="n">
        <f aca="false">(1+$D$445)^(J$488-$E$488-1)</f>
        <v>1.21550625</v>
      </c>
      <c r="K489" s="23"/>
      <c r="L489" s="49" t="s">
        <v>598</v>
      </c>
    </row>
    <row r="490" customFormat="false" ht="15" hidden="true" customHeight="false" outlineLevel="1" collapsed="false">
      <c r="A490" s="20" t="n">
        <v>52</v>
      </c>
      <c r="B490" s="6" t="s">
        <v>599</v>
      </c>
      <c r="C490" s="20" t="s">
        <v>62</v>
      </c>
      <c r="D490" s="23"/>
      <c r="E490" s="23"/>
      <c r="F490" s="53" t="n">
        <f aca="false">(1+$D$463)^(F$488-$E$488-1)</f>
        <v>1</v>
      </c>
      <c r="G490" s="53" t="n">
        <f aca="false">(1+$D$463)^(G$488-$E$488-1)</f>
        <v>1.05</v>
      </c>
      <c r="H490" s="53" t="n">
        <f aca="false">(1+$D$463)^(H$488-$E$488-1)</f>
        <v>1.1025</v>
      </c>
      <c r="I490" s="53" t="n">
        <f aca="false">(1+$D$463)^(I$488-$E$488-1)</f>
        <v>1.157625</v>
      </c>
      <c r="J490" s="53" t="n">
        <f aca="false">(1+$D$463)^(J$488-$E$488-1)</f>
        <v>1.21550625</v>
      </c>
      <c r="K490" s="23"/>
      <c r="L490" s="49" t="s">
        <v>600</v>
      </c>
    </row>
    <row r="491" customFormat="false" ht="15" hidden="true" customHeight="false" outlineLevel="1" collapsed="false">
      <c r="A491" s="20" t="n">
        <v>53</v>
      </c>
      <c r="B491" s="6" t="s">
        <v>601</v>
      </c>
      <c r="C491" s="20" t="s">
        <v>62</v>
      </c>
      <c r="D491" s="23"/>
      <c r="E491" s="23"/>
      <c r="F491" s="53" t="n">
        <f aca="false">(1+$D$447)^(F$488-$E$488-1)</f>
        <v>1</v>
      </c>
      <c r="G491" s="53" t="n">
        <f aca="false">(1+$D$447)^(G$488-$E$488-1)</f>
        <v>1.07</v>
      </c>
      <c r="H491" s="53" t="n">
        <f aca="false">(1+$D$447)^(H$488-$E$488-1)</f>
        <v>1.1449</v>
      </c>
      <c r="I491" s="53" t="n">
        <f aca="false">(1+$D$447)^(I$488-$E$488-1)</f>
        <v>1.225043</v>
      </c>
      <c r="J491" s="53" t="n">
        <f aca="false">(1+$D$447)^(J$488-$E$488-1)</f>
        <v>1.31079601</v>
      </c>
      <c r="K491" s="23"/>
      <c r="L491" s="49" t="s">
        <v>602</v>
      </c>
    </row>
    <row r="492" customFormat="false" ht="15" hidden="true" customHeight="false" outlineLevel="1" collapsed="false">
      <c r="A492" s="20" t="n">
        <v>54</v>
      </c>
      <c r="B492" s="6" t="s">
        <v>603</v>
      </c>
      <c r="C492" s="20" t="s">
        <v>55</v>
      </c>
      <c r="D492" s="23"/>
      <c r="E492" s="23"/>
      <c r="F492" s="46" t="n">
        <f aca="false">$D$451*(1+$D$452)^(F$488-$E$488)</f>
        <v>3.21732</v>
      </c>
      <c r="G492" s="46" t="n">
        <f aca="false">$D$451*(1+$D$452)^(G$488-$E$488)</f>
        <v>3.4747056</v>
      </c>
      <c r="H492" s="46" t="n">
        <f aca="false">$D$451*(1+$D$452)^(H$488-$E$488)</f>
        <v>3.752682048</v>
      </c>
      <c r="I492" s="46" t="n">
        <f aca="false">$D$451*(1+$D$452)^(I$488-$E$488)</f>
        <v>4.05289661184</v>
      </c>
      <c r="J492" s="46" t="n">
        <f aca="false">$D$451*(1+$D$452)^(J$488-$E$488)</f>
        <v>4.3771283407872</v>
      </c>
      <c r="K492" s="23"/>
      <c r="L492" s="49" t="s">
        <v>604</v>
      </c>
    </row>
    <row r="493" customFormat="false" ht="15" hidden="true" customHeight="false" outlineLevel="1" collapsed="false">
      <c r="A493" s="19" t="s">
        <v>605</v>
      </c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customFormat="false" ht="15" hidden="true" customHeight="false" outlineLevel="1" collapsed="false">
      <c r="A494" s="20" t="n">
        <v>55</v>
      </c>
      <c r="B494" s="6" t="s">
        <v>606</v>
      </c>
      <c r="C494" s="20" t="s">
        <v>76</v>
      </c>
      <c r="D494" s="23"/>
      <c r="E494" s="23"/>
      <c r="F494" s="38" t="n">
        <f aca="false">IF(F$488=$D$438,1,0)</f>
        <v>1</v>
      </c>
      <c r="G494" s="38" t="n">
        <f aca="false">IF(G$488=$D$438,1,0)</f>
        <v>0</v>
      </c>
      <c r="H494" s="38" t="n">
        <f aca="false">IF(H$488=$D$438,1,0)</f>
        <v>0</v>
      </c>
      <c r="I494" s="38" t="n">
        <f aca="false">IF(I$488=$D$438,1,0)</f>
        <v>0</v>
      </c>
      <c r="J494" s="38" t="n">
        <f aca="false">IF(J$488=$D$438,1,0)</f>
        <v>0</v>
      </c>
      <c r="K494" s="23"/>
      <c r="L494" s="49" t="s">
        <v>607</v>
      </c>
    </row>
    <row r="495" customFormat="false" ht="15" hidden="true" customHeight="false" outlineLevel="1" collapsed="false">
      <c r="A495" s="20" t="n">
        <v>56</v>
      </c>
      <c r="B495" s="6" t="s">
        <v>608</v>
      </c>
      <c r="C495" s="20" t="s">
        <v>76</v>
      </c>
      <c r="D495" s="23"/>
      <c r="E495" s="38" t="n">
        <f aca="false">0</f>
        <v>0</v>
      </c>
      <c r="F495" s="38" t="n">
        <f aca="false">F494+F479</f>
        <v>1</v>
      </c>
      <c r="G495" s="38" t="n">
        <f aca="false">G494+G479</f>
        <v>0</v>
      </c>
      <c r="H495" s="38" t="n">
        <f aca="false">H494+H479</f>
        <v>0.8</v>
      </c>
      <c r="I495" s="38" t="n">
        <f aca="false">I494+I479</f>
        <v>0</v>
      </c>
      <c r="J495" s="38" t="n">
        <f aca="false">J494+J479</f>
        <v>0.8</v>
      </c>
      <c r="K495" s="54" t="n">
        <f aca="false">SUM(F495:J495)</f>
        <v>2.6</v>
      </c>
      <c r="L495" s="49" t="s">
        <v>609</v>
      </c>
    </row>
    <row r="496" customFormat="false" ht="15" hidden="true" customHeight="false" outlineLevel="1" collapsed="false">
      <c r="A496" s="20" t="n">
        <v>57</v>
      </c>
      <c r="B496" s="6" t="s">
        <v>610</v>
      </c>
      <c r="C496" s="20" t="s">
        <v>76</v>
      </c>
      <c r="D496" s="23"/>
      <c r="E496" s="38" t="n">
        <f aca="false">0</f>
        <v>0</v>
      </c>
      <c r="F496" s="38" t="n">
        <f aca="false">E496+F495</f>
        <v>1</v>
      </c>
      <c r="G496" s="38" t="n">
        <f aca="false">F496+G495</f>
        <v>1</v>
      </c>
      <c r="H496" s="38" t="n">
        <f aca="false">G496+H495</f>
        <v>1.8</v>
      </c>
      <c r="I496" s="38" t="n">
        <f aca="false">H496+I495</f>
        <v>1.8</v>
      </c>
      <c r="J496" s="38" t="n">
        <f aca="false">I496+J495</f>
        <v>2.6</v>
      </c>
      <c r="K496" s="23"/>
      <c r="L496" s="49" t="s">
        <v>611</v>
      </c>
    </row>
    <row r="497" customFormat="false" ht="15" hidden="true" customHeight="false" outlineLevel="1" collapsed="false">
      <c r="A497" s="20" t="n">
        <v>58</v>
      </c>
      <c r="B497" s="6" t="s">
        <v>612</v>
      </c>
      <c r="C497" s="20" t="s">
        <v>76</v>
      </c>
      <c r="D497" s="23"/>
      <c r="E497" s="38" t="n">
        <f aca="false">0</f>
        <v>0</v>
      </c>
      <c r="F497" s="38" t="n">
        <f aca="false">E497+F480</f>
        <v>0</v>
      </c>
      <c r="G497" s="38" t="n">
        <f aca="false">F497+G480</f>
        <v>0.8</v>
      </c>
      <c r="H497" s="38" t="n">
        <f aca="false">G497+H480</f>
        <v>2.4</v>
      </c>
      <c r="I497" s="38" t="n">
        <f aca="false">H497+I480</f>
        <v>4</v>
      </c>
      <c r="J497" s="38" t="n">
        <f aca="false">I497+J480</f>
        <v>6.4</v>
      </c>
      <c r="K497" s="23"/>
      <c r="L497" s="49" t="s">
        <v>611</v>
      </c>
    </row>
    <row r="498" customFormat="false" ht="15" hidden="true" customHeight="false" outlineLevel="1" collapsed="false">
      <c r="A498" s="20" t="n">
        <v>59</v>
      </c>
      <c r="B498" s="6" t="s">
        <v>613</v>
      </c>
      <c r="C498" s="20" t="s">
        <v>76</v>
      </c>
      <c r="D498" s="23"/>
      <c r="E498" s="38" t="n">
        <f aca="false">0</f>
        <v>0</v>
      </c>
      <c r="F498" s="38" t="n">
        <f aca="false">F496+F497</f>
        <v>1</v>
      </c>
      <c r="G498" s="38" t="n">
        <f aca="false">G496+G497</f>
        <v>1.8</v>
      </c>
      <c r="H498" s="38" t="n">
        <f aca="false">H496+H497</f>
        <v>4.2</v>
      </c>
      <c r="I498" s="38" t="n">
        <f aca="false">I496+I497</f>
        <v>5.8</v>
      </c>
      <c r="J498" s="38" t="n">
        <f aca="false">J496+J497</f>
        <v>9</v>
      </c>
      <c r="K498" s="23"/>
      <c r="L498" s="49" t="s">
        <v>614</v>
      </c>
    </row>
    <row r="499" customFormat="false" ht="15" hidden="true" customHeight="false" outlineLevel="1" collapsed="false">
      <c r="A499" s="20" t="n">
        <v>60</v>
      </c>
      <c r="B499" s="6" t="s">
        <v>615</v>
      </c>
      <c r="C499" s="20" t="s">
        <v>76</v>
      </c>
      <c r="D499" s="23"/>
      <c r="E499" s="23"/>
      <c r="F499" s="38" t="n">
        <f aca="false">F495+F480</f>
        <v>1</v>
      </c>
      <c r="G499" s="38" t="n">
        <f aca="false">G495+G480</f>
        <v>0.8</v>
      </c>
      <c r="H499" s="38" t="n">
        <f aca="false">H495+H480</f>
        <v>2.4</v>
      </c>
      <c r="I499" s="38" t="n">
        <f aca="false">I495+I480</f>
        <v>1.6</v>
      </c>
      <c r="J499" s="38" t="n">
        <f aca="false">J495+J480</f>
        <v>3.2</v>
      </c>
      <c r="K499" s="54" t="n">
        <f aca="false">SUM(F499:J499)</f>
        <v>9</v>
      </c>
      <c r="L499" s="49"/>
    </row>
    <row r="500" customFormat="false" ht="15" hidden="true" customHeight="false" outlineLevel="1" collapsed="false">
      <c r="A500" s="19" t="s">
        <v>616</v>
      </c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</row>
    <row r="501" customFormat="false" ht="15" hidden="true" customHeight="false" outlineLevel="1" collapsed="false">
      <c r="A501" s="20" t="n">
        <v>61</v>
      </c>
      <c r="B501" s="6" t="s">
        <v>617</v>
      </c>
      <c r="C501" s="20" t="s">
        <v>71</v>
      </c>
      <c r="D501" s="23"/>
      <c r="E501" s="23"/>
      <c r="F501" s="40" t="n">
        <f aca="false">IF(F$488&gt;$D$438,($D$440+$D$439*$D$441)*(1+$D$446)^(F$488-$D$438-1)*F489,0)</f>
        <v>0</v>
      </c>
      <c r="G501" s="40" t="n">
        <f aca="false">IF(G$488&gt;$D$438,($D$440+$D$439*$D$441)*(1+$D$446)^(G$488-$D$438-1)*G489,0)</f>
        <v>15.75</v>
      </c>
      <c r="H501" s="40" t="n">
        <f aca="false">IF(H$488&gt;$D$438,($D$440+$D$439*$D$441)*(1+$D$446)^(H$488-$D$438-1)*H489,0)</f>
        <v>19.018125</v>
      </c>
      <c r="I501" s="40" t="n">
        <f aca="false">IF(I$488&gt;$D$438,($D$440+$D$439*$D$441)*(1+$D$446)^(I$488-$D$438-1)*I489,0)</f>
        <v>22.9643859375</v>
      </c>
      <c r="J501" s="40" t="n">
        <f aca="false">IF(J$488&gt;$D$438,($D$440+$D$439*$D$441)*(1+$D$446)^(J$488-$D$438-1)*J489,0)</f>
        <v>27.7294960195313</v>
      </c>
      <c r="K501" s="51" t="n">
        <f aca="false">SUM(F501:J501)</f>
        <v>85.4620069570313</v>
      </c>
      <c r="L501" s="49" t="s">
        <v>618</v>
      </c>
    </row>
    <row r="502" customFormat="false" ht="15" hidden="true" customHeight="false" outlineLevel="1" collapsed="false">
      <c r="A502" s="20" t="n">
        <v>62</v>
      </c>
      <c r="B502" s="6" t="s">
        <v>619</v>
      </c>
      <c r="C502" s="20" t="s">
        <v>71</v>
      </c>
      <c r="D502" s="23"/>
      <c r="E502" s="23"/>
      <c r="F502" s="40" t="n">
        <f aca="false">($D$440+$D$471*$D$441)*F489*SUMPRODUCT($E$479:E$479,(1+$D$446)^(F$488-$E$488:E$488-1))</f>
        <v>0</v>
      </c>
      <c r="G502" s="40" t="n">
        <f aca="false">($D$440+$D$471*$D$441)*G489*SUMPRODUCT($E$479:F$479,(1+$D$446)^(G$488-$E$488:F$488-1))</f>
        <v>0</v>
      </c>
      <c r="H502" s="40" t="n">
        <f aca="false">($D$440+$D$471*$D$441)*H489*SUMPRODUCT($E$479:G$479,(1+$D$446)^(H$488-$E$488:G$488-1))</f>
        <v>0</v>
      </c>
      <c r="I502" s="40" t="n">
        <f aca="false">($D$440+$D$471*$D$441)*I489*SUMPRODUCT($E$479:H$479,(1+$D$446)^(I$488-$E$488:H$488-1))</f>
        <v>7.82975454545455</v>
      </c>
      <c r="J502" s="40" t="n">
        <f aca="false">($D$440+$D$471*$D$441)*J489*SUMPRODUCT($E$479:I$479,(1+$D$446)^(J$488-$E$488:I$488-1))</f>
        <v>9.45442861363637</v>
      </c>
      <c r="K502" s="51" t="n">
        <f aca="false">SUM(F502:J502)</f>
        <v>17.2841831590909</v>
      </c>
      <c r="L502" s="49" t="s">
        <v>620</v>
      </c>
    </row>
    <row r="503" customFormat="false" ht="15" hidden="true" customHeight="false" outlineLevel="1" collapsed="false">
      <c r="A503" s="20" t="n">
        <v>63</v>
      </c>
      <c r="B503" s="6" t="s">
        <v>621</v>
      </c>
      <c r="C503" s="20" t="s">
        <v>71</v>
      </c>
      <c r="D503" s="23"/>
      <c r="E503" s="23"/>
      <c r="F503" s="40" t="n">
        <f aca="false">($D$442+$D$472*$D$441)*F489*SUMPRODUCT($E$480:E$480,(1+$D$446)^(F$488-$E$488:E$488-1))</f>
        <v>0</v>
      </c>
      <c r="G503" s="40" t="n">
        <f aca="false">($D$442+$D$472*$D$441)*G489*SUMPRODUCT($E$480:F$480,(1+$D$446)^(G$488-$E$488:F$488-1))</f>
        <v>0</v>
      </c>
      <c r="H503" s="40" t="n">
        <f aca="false">($D$442+$D$472*$D$441)*H489*SUMPRODUCT($E$480:G$480,(1+$D$446)^(H$488-$E$488:G$488-1))</f>
        <v>1.44703125</v>
      </c>
      <c r="I503" s="40" t="n">
        <f aca="false">($D$442+$D$472*$D$441)*I489*SUMPRODUCT($E$480:H$480,(1+$D$446)^(I$488-$E$488:H$488-1))</f>
        <v>4.786055859375</v>
      </c>
      <c r="J503" s="40" t="n">
        <f aca="false">($D$442+$D$472*$D$441)*J489*SUMPRODUCT($E$480:I$480,(1+$D$446)^(J$488-$E$488:I$488-1))</f>
        <v>8.96986635644531</v>
      </c>
      <c r="K503" s="51" t="n">
        <f aca="false">SUM(F503:J503)</f>
        <v>15.2029534658203</v>
      </c>
      <c r="L503" s="49" t="s">
        <v>622</v>
      </c>
    </row>
    <row r="504" customFormat="false" ht="15" hidden="true" customHeight="false" outlineLevel="1" collapsed="false">
      <c r="A504" s="20" t="n">
        <v>64</v>
      </c>
      <c r="B504" s="6" t="s">
        <v>623</v>
      </c>
      <c r="C504" s="20" t="s">
        <v>71</v>
      </c>
      <c r="D504" s="23"/>
      <c r="E504" s="23"/>
      <c r="F504" s="40" t="n">
        <f aca="false">(F495*$D$443+F480*$D$444)*F489</f>
        <v>8</v>
      </c>
      <c r="G504" s="40" t="n">
        <f aca="false">(G495*$D$443+G480*$D$444)*G489</f>
        <v>1.68</v>
      </c>
      <c r="H504" s="40" t="n">
        <f aca="false">(H495*$D$443+H480*$D$444)*H489</f>
        <v>10.584</v>
      </c>
      <c r="I504" s="40" t="n">
        <f aca="false">(I495*$D$443+I480*$D$444)*I489</f>
        <v>3.7044</v>
      </c>
      <c r="J504" s="40" t="n">
        <f aca="false">(J495*$D$443+J480*$D$444)*J489</f>
        <v>13.61367</v>
      </c>
      <c r="K504" s="51" t="n">
        <f aca="false">SUM(F504:J504)</f>
        <v>37.58207</v>
      </c>
      <c r="L504" s="49" t="s">
        <v>624</v>
      </c>
    </row>
    <row r="505" customFormat="false" ht="15" hidden="true" customHeight="false" outlineLevel="1" collapsed="false">
      <c r="A505" s="20" t="n">
        <v>65</v>
      </c>
      <c r="B505" s="6" t="s">
        <v>625</v>
      </c>
      <c r="C505" s="20" t="s">
        <v>71</v>
      </c>
      <c r="D505" s="23"/>
      <c r="E505" s="23"/>
      <c r="F505" s="40" t="n">
        <f aca="false">F501+F502+F503</f>
        <v>0</v>
      </c>
      <c r="G505" s="40" t="n">
        <f aca="false">G501+G502+G503</f>
        <v>15.75</v>
      </c>
      <c r="H505" s="40" t="n">
        <f aca="false">H501+H502+H503</f>
        <v>20.46515625</v>
      </c>
      <c r="I505" s="40" t="n">
        <f aca="false">I501+I502+I503</f>
        <v>35.5801963423296</v>
      </c>
      <c r="J505" s="40" t="n">
        <f aca="false">J501+J502+J503</f>
        <v>46.1537909896129</v>
      </c>
      <c r="K505" s="51" t="n">
        <f aca="false">SUM(F505:J505)</f>
        <v>117.949143581942</v>
      </c>
      <c r="L505" s="49"/>
    </row>
    <row r="506" customFormat="false" ht="15" hidden="true" customHeight="false" outlineLevel="1" collapsed="false">
      <c r="A506" s="20" t="n">
        <v>66</v>
      </c>
      <c r="B506" s="6" t="s">
        <v>91</v>
      </c>
      <c r="C506" s="20" t="s">
        <v>71</v>
      </c>
      <c r="D506" s="23"/>
      <c r="E506" s="23"/>
      <c r="F506" s="40" t="n">
        <f aca="false">F505+F504</f>
        <v>8</v>
      </c>
      <c r="G506" s="40" t="n">
        <f aca="false">G505+G504</f>
        <v>17.43</v>
      </c>
      <c r="H506" s="40" t="n">
        <f aca="false">H505+H504</f>
        <v>31.04915625</v>
      </c>
      <c r="I506" s="40" t="n">
        <f aca="false">I505+I504</f>
        <v>39.2845963423296</v>
      </c>
      <c r="J506" s="40" t="n">
        <f aca="false">J505+J504</f>
        <v>59.7674609896129</v>
      </c>
      <c r="K506" s="51" t="n">
        <f aca="false">SUM(F506:J506)</f>
        <v>155.531213581943</v>
      </c>
      <c r="L506" s="49" t="s">
        <v>626</v>
      </c>
    </row>
    <row r="507" customFormat="false" ht="15" hidden="true" customHeight="false" outlineLevel="1" collapsed="false">
      <c r="A507" s="20" t="n">
        <v>67</v>
      </c>
      <c r="B507" s="6" t="s">
        <v>627</v>
      </c>
      <c r="C507" s="20" t="s">
        <v>55</v>
      </c>
      <c r="D507" s="23"/>
      <c r="E507" s="23"/>
      <c r="F507" s="40" t="n">
        <f aca="false">IF(F$488&gt;=$D$438,($D$440+$D$439*$D$441)*(1+$D$446)^(F$488-$D$438)*F489,0)+($D$440+$D$471*$D$441)*F489*SUMPRODUCT($E$479:F$479,(1+$D$446)^(F$488-$E$488:F$488))+($D$442+$D$472*$D$441)*F489*SUMPRODUCT($E$480:F$480,(1+$D$446)^(F$488-$E$488:F$488))</f>
        <v>15</v>
      </c>
      <c r="G507" s="40" t="n">
        <f aca="false">IF(G$488&gt;=$D$438,($D$440+$D$439*$D$441)*(1+$D$446)^(G$488-$D$438)*G489,0)+($D$440+$D$471*$D$441)*G489*SUMPRODUCT($E$479:G$479,(1+$D$446)^(G$488-$E$488:G$488))+($D$442+$D$472*$D$441)*G489*SUMPRODUCT($E$480:G$480,(1+$D$446)^(G$488-$E$488:G$488))</f>
        <v>19.490625</v>
      </c>
      <c r="H507" s="40" t="n">
        <f aca="false">IF(H$488&gt;=$D$438,($D$440+$D$439*$D$441)*(1+$D$446)^(H$488-$D$438)*H489,0)+($D$440+$D$471*$D$441)*H489*SUMPRODUCT($E$479:H$479,(1+$D$446)^(H$488-$E$488:H$488))+($D$442+$D$472*$D$441)*H489*SUMPRODUCT($E$480:H$480,(1+$D$446)^(H$488-$E$488:H$488))</f>
        <v>33.8859012784091</v>
      </c>
      <c r="I507" s="40" t="n">
        <f aca="false">IF(I$488&gt;=$D$438,($D$440+$D$439*$D$441)*(1+$D$446)^(I$488-$D$438)*I489,0)+($D$440+$D$471*$D$441)*I489*SUMPRODUCT($E$479:I$479,(1+$D$446)^(I$488-$E$488:I$488))+($D$442+$D$472*$D$441)*I489*SUMPRODUCT($E$480:I$480,(1+$D$446)^(I$488-$E$488:I$488))</f>
        <v>43.955991418679</v>
      </c>
      <c r="J507" s="40" t="n">
        <f aca="false">IF(J$488&gt;=$D$438,($D$440+$D$439*$D$441)*(1+$D$446)^(J$488-$D$438)*J489,0)+($D$440+$D$471*$D$441)*J489*SUMPRODUCT($E$479:J$479,(1+$D$446)^(J$488-$E$488:J$488))+($D$442+$D$472*$D$441)*J489*SUMPRODUCT($E$480:J$480,(1+$D$446)^(J$488-$E$488:J$488))</f>
        <v>66.0841577701571</v>
      </c>
      <c r="K507" s="23"/>
      <c r="L507" s="49" t="s">
        <v>628</v>
      </c>
    </row>
    <row r="508" customFormat="false" ht="15" hidden="true" customHeight="false" outlineLevel="1" collapsed="false">
      <c r="A508" s="19" t="s">
        <v>629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</row>
    <row r="509" customFormat="false" ht="15" hidden="true" customHeight="false" outlineLevel="1" collapsed="false">
      <c r="A509" s="20" t="n">
        <v>68</v>
      </c>
      <c r="B509" s="6" t="s">
        <v>630</v>
      </c>
      <c r="C509" s="20" t="s">
        <v>53</v>
      </c>
      <c r="D509" s="23"/>
      <c r="E509" s="40" t="n">
        <f aca="false">E481+E482+E483+E484+E485+E486</f>
        <v>2</v>
      </c>
      <c r="F509" s="40" t="n">
        <f aca="false">F481+F482+F483+F484+F485+F486</f>
        <v>4</v>
      </c>
      <c r="G509" s="40" t="n">
        <f aca="false">G481+G482+G483+G484+G485+G486</f>
        <v>5</v>
      </c>
      <c r="H509" s="40" t="n">
        <f aca="false">H481+H482+H483+H484+H485+H486</f>
        <v>6</v>
      </c>
      <c r="I509" s="40" t="n">
        <f aca="false">I481+I482+I483+I484+I485+I486</f>
        <v>7</v>
      </c>
      <c r="J509" s="40" t="n">
        <f aca="false">J481+J482+J483+J484+J485+J486</f>
        <v>8</v>
      </c>
      <c r="K509" s="23"/>
      <c r="L509" s="49" t="s">
        <v>631</v>
      </c>
    </row>
    <row r="510" customFormat="false" ht="15" hidden="true" customHeight="false" outlineLevel="1" collapsed="false">
      <c r="A510" s="20" t="n">
        <v>69</v>
      </c>
      <c r="B510" s="6" t="s">
        <v>632</v>
      </c>
      <c r="C510" s="20" t="s">
        <v>53</v>
      </c>
      <c r="D510" s="23"/>
      <c r="E510" s="23"/>
      <c r="F510" s="40" t="n">
        <f aca="false">MAX(0,F509-E509)</f>
        <v>2</v>
      </c>
      <c r="G510" s="40" t="n">
        <f aca="false">MAX(0,G509-F509)</f>
        <v>1</v>
      </c>
      <c r="H510" s="40" t="n">
        <f aca="false">MAX(0,H509-G509)</f>
        <v>1</v>
      </c>
      <c r="I510" s="40" t="n">
        <f aca="false">MAX(0,I509-H509)</f>
        <v>1</v>
      </c>
      <c r="J510" s="40" t="n">
        <f aca="false">MAX(0,J509-I509)</f>
        <v>1</v>
      </c>
      <c r="K510" s="23"/>
      <c r="L510" s="49" t="s">
        <v>633</v>
      </c>
    </row>
    <row r="511" customFormat="false" ht="15" hidden="true" customHeight="false" outlineLevel="1" collapsed="false">
      <c r="A511" s="20" t="n">
        <v>70</v>
      </c>
      <c r="B511" s="6" t="s">
        <v>634</v>
      </c>
      <c r="C511" s="20" t="s">
        <v>71</v>
      </c>
      <c r="D511" s="23"/>
      <c r="E511" s="23"/>
      <c r="F511" s="41" t="n">
        <f aca="false">$D$473*12/1000*F491</f>
        <v>2.4</v>
      </c>
      <c r="G511" s="41" t="n">
        <f aca="false">$D$473*12/1000*G491</f>
        <v>2.568</v>
      </c>
      <c r="H511" s="41" t="n">
        <f aca="false">$D$473*12/1000*H491</f>
        <v>2.74776</v>
      </c>
      <c r="I511" s="41" t="n">
        <f aca="false">$D$473*12/1000*I491</f>
        <v>2.9401032</v>
      </c>
      <c r="J511" s="41" t="n">
        <f aca="false">$D$473*12/1000*J491</f>
        <v>3.145910424</v>
      </c>
      <c r="K511" s="23"/>
      <c r="L511" s="49" t="s">
        <v>635</v>
      </c>
    </row>
    <row r="512" customFormat="false" ht="15" hidden="true" customHeight="false" outlineLevel="1" collapsed="false">
      <c r="A512" s="20" t="n">
        <v>71</v>
      </c>
      <c r="B512" s="6" t="s">
        <v>636</v>
      </c>
      <c r="C512" s="20" t="s">
        <v>71</v>
      </c>
      <c r="D512" s="23"/>
      <c r="E512" s="23"/>
      <c r="F512" s="41" t="n">
        <f aca="false">$D$474*12/1000*F491</f>
        <v>3.36</v>
      </c>
      <c r="G512" s="41" t="n">
        <f aca="false">$D$474*12/1000*G491</f>
        <v>3.5952</v>
      </c>
      <c r="H512" s="41" t="n">
        <f aca="false">$D$474*12/1000*H491</f>
        <v>3.846864</v>
      </c>
      <c r="I512" s="41" t="n">
        <f aca="false">$D$474*12/1000*I491</f>
        <v>4.11614448</v>
      </c>
      <c r="J512" s="41" t="n">
        <f aca="false">$D$474*12/1000*J491</f>
        <v>4.4042745936</v>
      </c>
      <c r="K512" s="23"/>
      <c r="L512" s="49" t="s">
        <v>635</v>
      </c>
    </row>
    <row r="513" customFormat="false" ht="15" hidden="true" customHeight="false" outlineLevel="1" collapsed="false">
      <c r="A513" s="20" t="n">
        <v>72</v>
      </c>
      <c r="B513" s="6" t="s">
        <v>637</v>
      </c>
      <c r="C513" s="20" t="s">
        <v>71</v>
      </c>
      <c r="D513" s="23"/>
      <c r="E513" s="23"/>
      <c r="F513" s="41" t="n">
        <f aca="false">$D$475*12/1000*F491</f>
        <v>2.76</v>
      </c>
      <c r="G513" s="41" t="n">
        <f aca="false">$D$475*12/1000*G491</f>
        <v>2.9532</v>
      </c>
      <c r="H513" s="41" t="n">
        <f aca="false">$D$475*12/1000*H491</f>
        <v>3.159924</v>
      </c>
      <c r="I513" s="41" t="n">
        <f aca="false">$D$475*12/1000*I491</f>
        <v>3.38111868</v>
      </c>
      <c r="J513" s="41" t="n">
        <f aca="false">$D$475*12/1000*J491</f>
        <v>3.6177969876</v>
      </c>
      <c r="K513" s="23"/>
      <c r="L513" s="49" t="s">
        <v>635</v>
      </c>
    </row>
    <row r="514" customFormat="false" ht="15" hidden="true" customHeight="false" outlineLevel="1" collapsed="false">
      <c r="A514" s="20" t="n">
        <v>73</v>
      </c>
      <c r="B514" s="6" t="s">
        <v>638</v>
      </c>
      <c r="C514" s="20" t="s">
        <v>71</v>
      </c>
      <c r="D514" s="23"/>
      <c r="E514" s="23"/>
      <c r="F514" s="41" t="n">
        <f aca="false">$D$476*12/1000*F491</f>
        <v>2.64</v>
      </c>
      <c r="G514" s="41" t="n">
        <f aca="false">$D$476*12/1000*G491</f>
        <v>2.8248</v>
      </c>
      <c r="H514" s="41" t="n">
        <f aca="false">$D$476*12/1000*H491</f>
        <v>3.022536</v>
      </c>
      <c r="I514" s="41" t="n">
        <f aca="false">$D$476*12/1000*I491</f>
        <v>3.23411352</v>
      </c>
      <c r="J514" s="41" t="n">
        <f aca="false">$D$476*12/1000*J491</f>
        <v>3.4605014664</v>
      </c>
      <c r="K514" s="23"/>
      <c r="L514" s="49" t="s">
        <v>635</v>
      </c>
    </row>
    <row r="515" customFormat="false" ht="15" hidden="true" customHeight="false" outlineLevel="1" collapsed="false">
      <c r="A515" s="20" t="n">
        <v>74</v>
      </c>
      <c r="B515" s="6" t="s">
        <v>639</v>
      </c>
      <c r="C515" s="20" t="s">
        <v>71</v>
      </c>
      <c r="D515" s="23"/>
      <c r="E515" s="23"/>
      <c r="F515" s="41" t="n">
        <f aca="false">$D$477*12/1000*F491</f>
        <v>3</v>
      </c>
      <c r="G515" s="41" t="n">
        <f aca="false">$D$477*12/1000*G491</f>
        <v>3.21</v>
      </c>
      <c r="H515" s="41" t="n">
        <f aca="false">$D$477*12/1000*H491</f>
        <v>3.4347</v>
      </c>
      <c r="I515" s="41" t="n">
        <f aca="false">$D$477*12/1000*I491</f>
        <v>3.675129</v>
      </c>
      <c r="J515" s="41" t="n">
        <f aca="false">$D$477*12/1000*J491</f>
        <v>3.93238803</v>
      </c>
      <c r="K515" s="23"/>
      <c r="L515" s="49" t="s">
        <v>635</v>
      </c>
    </row>
    <row r="516" customFormat="false" ht="15" hidden="true" customHeight="false" outlineLevel="1" collapsed="false">
      <c r="A516" s="20" t="n">
        <v>75</v>
      </c>
      <c r="B516" s="6" t="s">
        <v>640</v>
      </c>
      <c r="C516" s="20" t="s">
        <v>71</v>
      </c>
      <c r="D516" s="23"/>
      <c r="E516" s="23"/>
      <c r="F516" s="41" t="n">
        <f aca="false">$D$478*12/1000*F491</f>
        <v>2.64</v>
      </c>
      <c r="G516" s="41" t="n">
        <f aca="false">$D$478*12/1000*G491</f>
        <v>2.8248</v>
      </c>
      <c r="H516" s="41" t="n">
        <f aca="false">$D$478*12/1000*H491</f>
        <v>3.022536</v>
      </c>
      <c r="I516" s="41" t="n">
        <f aca="false">$D$478*12/1000*I491</f>
        <v>3.23411352</v>
      </c>
      <c r="J516" s="41" t="n">
        <f aca="false">$D$478*12/1000*J491</f>
        <v>3.4605014664</v>
      </c>
      <c r="K516" s="23"/>
      <c r="L516" s="49" t="s">
        <v>635</v>
      </c>
    </row>
    <row r="517" customFormat="false" ht="15" hidden="true" customHeight="false" outlineLevel="1" collapsed="false">
      <c r="A517" s="20" t="n">
        <v>76</v>
      </c>
      <c r="B517" s="6" t="s">
        <v>641</v>
      </c>
      <c r="C517" s="20" t="s">
        <v>71</v>
      </c>
      <c r="D517" s="23"/>
      <c r="E517" s="23"/>
      <c r="F517" s="40" t="n">
        <f aca="false">F481*F511</f>
        <v>4.8</v>
      </c>
      <c r="G517" s="40" t="n">
        <f aca="false">G481*G511</f>
        <v>5.136</v>
      </c>
      <c r="H517" s="40" t="n">
        <f aca="false">H481*H511</f>
        <v>5.49552</v>
      </c>
      <c r="I517" s="40" t="n">
        <f aca="false">I481*I511</f>
        <v>5.8802064</v>
      </c>
      <c r="J517" s="40" t="n">
        <f aca="false">J481*J511</f>
        <v>6.291820848</v>
      </c>
      <c r="K517" s="51" t="n">
        <f aca="false">SUM(F517:J517)</f>
        <v>27.603547248</v>
      </c>
      <c r="L517" s="49" t="s">
        <v>642</v>
      </c>
    </row>
    <row r="518" customFormat="false" ht="15" hidden="true" customHeight="false" outlineLevel="1" collapsed="false">
      <c r="A518" s="20" t="n">
        <v>77</v>
      </c>
      <c r="B518" s="6" t="s">
        <v>643</v>
      </c>
      <c r="C518" s="20" t="s">
        <v>71</v>
      </c>
      <c r="D518" s="23"/>
      <c r="E518" s="23"/>
      <c r="F518" s="40" t="n">
        <f aca="false">F482*F512</f>
        <v>3.36</v>
      </c>
      <c r="G518" s="40" t="n">
        <f aca="false">G482*G512</f>
        <v>3.5952</v>
      </c>
      <c r="H518" s="40" t="n">
        <f aca="false">H482*H512</f>
        <v>3.846864</v>
      </c>
      <c r="I518" s="40" t="n">
        <f aca="false">I482*I512</f>
        <v>8.23228896</v>
      </c>
      <c r="J518" s="40" t="n">
        <f aca="false">J482*J512</f>
        <v>8.8085491872</v>
      </c>
      <c r="K518" s="51" t="n">
        <f aca="false">SUM(F518:J518)</f>
        <v>27.8429021472</v>
      </c>
      <c r="L518" s="49" t="s">
        <v>642</v>
      </c>
    </row>
    <row r="519" customFormat="false" ht="15" hidden="true" customHeight="false" outlineLevel="1" collapsed="false">
      <c r="A519" s="20" t="n">
        <v>78</v>
      </c>
      <c r="B519" s="6" t="s">
        <v>644</v>
      </c>
      <c r="C519" s="20" t="s">
        <v>71</v>
      </c>
      <c r="D519" s="23"/>
      <c r="E519" s="23"/>
      <c r="F519" s="40" t="n">
        <f aca="false">F483*F513</f>
        <v>2.76</v>
      </c>
      <c r="G519" s="40" t="n">
        <f aca="false">G483*G513</f>
        <v>2.9532</v>
      </c>
      <c r="H519" s="40" t="n">
        <f aca="false">H483*H513</f>
        <v>3.159924</v>
      </c>
      <c r="I519" s="40" t="n">
        <f aca="false">I483*I513</f>
        <v>3.38111868</v>
      </c>
      <c r="J519" s="40" t="n">
        <f aca="false">J483*J513</f>
        <v>3.6177969876</v>
      </c>
      <c r="K519" s="51" t="n">
        <f aca="false">SUM(F519:J519)</f>
        <v>15.8720396676</v>
      </c>
      <c r="L519" s="49" t="s">
        <v>642</v>
      </c>
    </row>
    <row r="520" customFormat="false" ht="15" hidden="true" customHeight="false" outlineLevel="1" collapsed="false">
      <c r="A520" s="20" t="n">
        <v>79</v>
      </c>
      <c r="B520" s="6" t="s">
        <v>645</v>
      </c>
      <c r="C520" s="20" t="s">
        <v>71</v>
      </c>
      <c r="D520" s="23"/>
      <c r="E520" s="23"/>
      <c r="F520" s="40" t="n">
        <f aca="false">F484*F514</f>
        <v>0</v>
      </c>
      <c r="G520" s="40" t="n">
        <f aca="false">G484*G514</f>
        <v>2.8248</v>
      </c>
      <c r="H520" s="40" t="n">
        <f aca="false">H484*H514</f>
        <v>3.022536</v>
      </c>
      <c r="I520" s="40" t="n">
        <f aca="false">I484*I514</f>
        <v>3.23411352</v>
      </c>
      <c r="J520" s="40" t="n">
        <f aca="false">J484*J514</f>
        <v>3.4605014664</v>
      </c>
      <c r="K520" s="51" t="n">
        <f aca="false">SUM(F520:J520)</f>
        <v>12.5419509864</v>
      </c>
      <c r="L520" s="49" t="s">
        <v>642</v>
      </c>
    </row>
    <row r="521" customFormat="false" ht="15" hidden="true" customHeight="false" outlineLevel="1" collapsed="false">
      <c r="A521" s="20" t="n">
        <v>80</v>
      </c>
      <c r="B521" s="6" t="s">
        <v>646</v>
      </c>
      <c r="C521" s="20" t="s">
        <v>71</v>
      </c>
      <c r="D521" s="23"/>
      <c r="E521" s="23"/>
      <c r="F521" s="40" t="n">
        <f aca="false">F485*F515</f>
        <v>0</v>
      </c>
      <c r="G521" s="40" t="n">
        <f aca="false">G485*G515</f>
        <v>0</v>
      </c>
      <c r="H521" s="40" t="n">
        <f aca="false">H485*H515</f>
        <v>3.4347</v>
      </c>
      <c r="I521" s="40" t="n">
        <f aca="false">I485*I515</f>
        <v>3.675129</v>
      </c>
      <c r="J521" s="40" t="n">
        <f aca="false">J485*J515</f>
        <v>3.93238803</v>
      </c>
      <c r="K521" s="51" t="n">
        <f aca="false">SUM(F521:J521)</f>
        <v>11.04221703</v>
      </c>
      <c r="L521" s="49" t="s">
        <v>642</v>
      </c>
    </row>
    <row r="522" customFormat="false" ht="15" hidden="true" customHeight="false" outlineLevel="1" collapsed="false">
      <c r="A522" s="20" t="n">
        <v>81</v>
      </c>
      <c r="B522" s="6" t="s">
        <v>647</v>
      </c>
      <c r="C522" s="20" t="s">
        <v>71</v>
      </c>
      <c r="D522" s="23"/>
      <c r="E522" s="23"/>
      <c r="F522" s="40" t="n">
        <f aca="false">F486*F516</f>
        <v>0</v>
      </c>
      <c r="G522" s="40" t="n">
        <f aca="false">G486*G516</f>
        <v>0</v>
      </c>
      <c r="H522" s="40" t="n">
        <f aca="false">H486*H516</f>
        <v>0</v>
      </c>
      <c r="I522" s="40" t="n">
        <f aca="false">I486*I516</f>
        <v>0</v>
      </c>
      <c r="J522" s="40" t="n">
        <f aca="false">J486*J516</f>
        <v>3.4605014664</v>
      </c>
      <c r="K522" s="51" t="n">
        <f aca="false">SUM(F522:J522)</f>
        <v>3.4605014664</v>
      </c>
      <c r="L522" s="49" t="s">
        <v>642</v>
      </c>
    </row>
    <row r="523" customFormat="false" ht="15" hidden="true" customHeight="false" outlineLevel="1" collapsed="false">
      <c r="A523" s="20" t="n">
        <v>82</v>
      </c>
      <c r="B523" s="6" t="s">
        <v>648</v>
      </c>
      <c r="C523" s="20" t="s">
        <v>71</v>
      </c>
      <c r="D523" s="23"/>
      <c r="E523" s="23"/>
      <c r="F523" s="40" t="n">
        <f aca="false">F517+F518+F519+F520+F521+F522</f>
        <v>10.92</v>
      </c>
      <c r="G523" s="40" t="n">
        <f aca="false">G517+G518+G519+G520+G521+G522</f>
        <v>14.5092</v>
      </c>
      <c r="H523" s="40" t="n">
        <f aca="false">H517+H518+H519+H520+H521+H522</f>
        <v>18.959544</v>
      </c>
      <c r="I523" s="40" t="n">
        <f aca="false">I517+I518+I519+I520+I521+I522</f>
        <v>24.40285656</v>
      </c>
      <c r="J523" s="40" t="n">
        <f aca="false">J517+J518+J519+J520+J521+J522</f>
        <v>29.5715579856</v>
      </c>
      <c r="K523" s="51" t="n">
        <f aca="false">SUM(F523:J523)</f>
        <v>98.3631585456</v>
      </c>
      <c r="L523" s="49"/>
    </row>
    <row r="524" customFormat="false" ht="15" hidden="true" customHeight="false" outlineLevel="1" collapsed="false">
      <c r="A524" s="20" t="n">
        <v>83</v>
      </c>
      <c r="B524" s="6" t="s">
        <v>649</v>
      </c>
      <c r="C524" s="20" t="s">
        <v>71</v>
      </c>
      <c r="D524" s="23"/>
      <c r="E524" s="23"/>
      <c r="F524" s="40" t="n">
        <f aca="false">F481*(MIN(F511,F492)*$D$448+MAX(0,F511-F492)*$D$449+F511*$D$450)+F482*(MIN(F512,F492)*$D$448+MAX(0,F512-F492)*$D$449+F512*$D$450)+F483*(MIN(F513,F492)*$D$448+MAX(0,F513-F492)*$D$449+F513*$D$450)+F484*(MIN(F514,F492)*$D$448+MAX(0,F514-F492)*$D$449+F514*$D$450)+F485*(MIN(F515,F492)*$D$448+MAX(0,F515-F492)*$D$449+F515*$D$450)+F486*(MIN(F516,F492)*$D$448+MAX(0,F516-F492)*$D$449+F516*$D$450)</f>
        <v>1.64928168</v>
      </c>
      <c r="G524" s="40" t="n">
        <f aca="false">G481*(MIN(G511,G492)*$D$448+MAX(0,G511-G492)*$D$449+G511*$D$450)+G482*(MIN(G512,G492)*$D$448+MAX(0,G512-G492)*$D$449+G512*$D$450)+G483*(MIN(G513,G492)*$D$448+MAX(0,G513-G492)*$D$449+G513*$D$450)+G484*(MIN(G514,G492)*$D$448+MAX(0,G514-G492)*$D$449+G514*$D$450)+G485*(MIN(G515,G492)*$D$448+MAX(0,G515-G492)*$D$449+G515*$D$450)+G486*(MIN(G516,G492)*$D$448+MAX(0,G516-G492)*$D$449+G516*$D$450)</f>
        <v>2.1964818144</v>
      </c>
      <c r="H524" s="40" t="n">
        <f aca="false">H481*(MIN(H511,H492)*$D$448+MAX(0,H511-H492)*$D$449+H511*$D$450)+H482*(MIN(H512,H492)*$D$448+MAX(0,H512-H492)*$D$449+H512*$D$450)+H483*(MIN(H513,H492)*$D$448+MAX(0,H513-H492)*$D$449+H513*$D$450)+H484*(MIN(H514,H492)*$D$448+MAX(0,H514-H492)*$D$449+H514*$D$450)+H485*(MIN(H515,H492)*$D$448+MAX(0,H515-H492)*$D$449+H515*$D$450)+H486*(MIN(H516,H492)*$D$448+MAX(0,H516-H492)*$D$449+H516*$D$450)</f>
        <v>2.874881223552</v>
      </c>
      <c r="I524" s="40" t="n">
        <f aca="false">I481*(MIN(I511,I492)*$D$448+MAX(0,I511-I492)*$D$449+I511*$D$450)+I482*(MIN(I512,I492)*$D$448+MAX(0,I512-I492)*$D$449+I512*$D$450)+I483*(MIN(I513,I492)*$D$448+MAX(0,I513-I492)*$D$449+I513*$D$450)+I484*(MIN(I514,I492)*$D$448+MAX(0,I514-I492)*$D$449+I514*$D$450)+I485*(MIN(I515,I492)*$D$448+MAX(0,I515-I492)*$D$449+I515*$D$450)+I486*(MIN(I516,I492)*$D$448+MAX(0,I516-I492)*$D$449+I516*$D$450)</f>
        <v>3.69987351263232</v>
      </c>
      <c r="J524" s="40" t="n">
        <f aca="false">J481*(MIN(J511,J492)*$D$448+MAX(0,J511-J492)*$D$449+J511*$D$450)+J482*(MIN(J512,J492)*$D$448+MAX(0,J512-J492)*$D$449+J512*$D$450)+J483*(MIN(J513,J492)*$D$448+MAX(0,J513-J492)*$D$449+J513*$D$450)+J484*(MIN(J514,J492)*$D$448+MAX(0,J514-J492)*$D$449+J514*$D$450)+J485*(MIN(J515,J492)*$D$448+MAX(0,J515-J492)*$D$449+J515*$D$450)+J486*(MIN(J516,J492)*$D$448+MAX(0,J516-J492)*$D$449+J516*$D$450)</f>
        <v>4.49085916839491</v>
      </c>
      <c r="K524" s="51" t="n">
        <f aca="false">SUM(F524:J524)</f>
        <v>14.9113773989792</v>
      </c>
      <c r="L524" s="49" t="s">
        <v>650</v>
      </c>
    </row>
    <row r="525" customFormat="false" ht="15" hidden="true" customHeight="false" outlineLevel="1" collapsed="false">
      <c r="A525" s="20" t="n">
        <v>84</v>
      </c>
      <c r="B525" s="6" t="s">
        <v>651</v>
      </c>
      <c r="C525" s="20"/>
      <c r="D525" s="23"/>
      <c r="E525" s="23"/>
      <c r="F525" s="38" t="n">
        <f aca="false">IF(AND(F498&gt;0,E498=0),1,0)</f>
        <v>1</v>
      </c>
      <c r="G525" s="38" t="n">
        <f aca="false">IF(AND(G498&gt;0,F498=0),1,0)</f>
        <v>0</v>
      </c>
      <c r="H525" s="38" t="n">
        <f aca="false">IF(AND(H498&gt;0,G498=0),1,0)</f>
        <v>0</v>
      </c>
      <c r="I525" s="38" t="n">
        <f aca="false">IF(AND(I498&gt;0,H498=0),1,0)</f>
        <v>0</v>
      </c>
      <c r="J525" s="38" t="n">
        <f aca="false">IF(AND(J498&gt;0,I498=0),1,0)</f>
        <v>0</v>
      </c>
      <c r="K525" s="23"/>
      <c r="L525" s="49"/>
    </row>
    <row r="526" customFormat="false" ht="15" hidden="true" customHeight="false" outlineLevel="1" collapsed="false">
      <c r="A526" s="20" t="n">
        <v>85</v>
      </c>
      <c r="B526" s="6" t="s">
        <v>652</v>
      </c>
      <c r="C526" s="20" t="s">
        <v>71</v>
      </c>
      <c r="D526" s="23"/>
      <c r="E526" s="23"/>
      <c r="F526" s="40" t="n">
        <f aca="false">(F525*$D$453+IF(E498&gt;0,1,0)*$D$454)*F490</f>
        <v>2.5</v>
      </c>
      <c r="G526" s="40" t="n">
        <f aca="false">(G525*$D$453+IF(F498&gt;0,1,0)*$D$454)*G490</f>
        <v>1.05</v>
      </c>
      <c r="H526" s="40" t="n">
        <f aca="false">(H525*$D$453+IF(G498&gt;0,1,0)*$D$454)*H490</f>
        <v>1.1025</v>
      </c>
      <c r="I526" s="40" t="n">
        <f aca="false">(I525*$D$453+IF(H498&gt;0,1,0)*$D$454)*I490</f>
        <v>1.157625</v>
      </c>
      <c r="J526" s="40" t="n">
        <f aca="false">(J525*$D$453+IF(I498&gt;0,1,0)*$D$454)*J490</f>
        <v>1.21550625</v>
      </c>
      <c r="K526" s="51" t="n">
        <f aca="false">SUM(F526:J526)</f>
        <v>7.02563125</v>
      </c>
      <c r="L526" s="49" t="s">
        <v>653</v>
      </c>
    </row>
    <row r="527" customFormat="false" ht="15" hidden="true" customHeight="false" outlineLevel="1" collapsed="false">
      <c r="A527" s="20" t="n">
        <v>86</v>
      </c>
      <c r="B527" s="6" t="s">
        <v>302</v>
      </c>
      <c r="C527" s="20" t="s">
        <v>71</v>
      </c>
      <c r="D527" s="23"/>
      <c r="E527" s="23"/>
      <c r="F527" s="40" t="n">
        <f aca="false">$D$455*F490</f>
        <v>0.6</v>
      </c>
      <c r="G527" s="40" t="n">
        <f aca="false">$D$455*G490</f>
        <v>0.63</v>
      </c>
      <c r="H527" s="40" t="n">
        <f aca="false">$D$455*H490</f>
        <v>0.6615</v>
      </c>
      <c r="I527" s="40" t="n">
        <f aca="false">$D$455*I490</f>
        <v>0.694575</v>
      </c>
      <c r="J527" s="40" t="n">
        <f aca="false">$D$455*J490</f>
        <v>0.72930375</v>
      </c>
      <c r="K527" s="51" t="n">
        <f aca="false">SUM(F527:J527)</f>
        <v>3.31537875</v>
      </c>
      <c r="L527" s="49"/>
    </row>
    <row r="528" customFormat="false" ht="15" hidden="true" customHeight="false" outlineLevel="1" collapsed="false">
      <c r="A528" s="20" t="n">
        <v>87</v>
      </c>
      <c r="B528" s="6" t="s">
        <v>654</v>
      </c>
      <c r="C528" s="20" t="s">
        <v>71</v>
      </c>
      <c r="D528" s="23"/>
      <c r="E528" s="23"/>
      <c r="F528" s="40" t="n">
        <f aca="false">$D$456*F509*F490</f>
        <v>0.6</v>
      </c>
      <c r="G528" s="40" t="n">
        <f aca="false">$D$456*G509*G490</f>
        <v>0.7875</v>
      </c>
      <c r="H528" s="40" t="n">
        <f aca="false">$D$456*H509*H490</f>
        <v>0.99225</v>
      </c>
      <c r="I528" s="40" t="n">
        <f aca="false">$D$456*I509*I490</f>
        <v>1.21550625</v>
      </c>
      <c r="J528" s="40" t="n">
        <f aca="false">$D$456*J509*J490</f>
        <v>1.4586075</v>
      </c>
      <c r="K528" s="51" t="n">
        <f aca="false">SUM(F528:J528)</f>
        <v>5.05386375</v>
      </c>
      <c r="L528" s="49" t="s">
        <v>655</v>
      </c>
    </row>
    <row r="529" customFormat="false" ht="15" hidden="true" customHeight="false" outlineLevel="1" collapsed="false">
      <c r="A529" s="20" t="n">
        <v>88</v>
      </c>
      <c r="B529" s="6" t="s">
        <v>656</v>
      </c>
      <c r="C529" s="20" t="s">
        <v>71</v>
      </c>
      <c r="D529" s="23"/>
      <c r="E529" s="23"/>
      <c r="F529" s="40" t="n">
        <f aca="false">($D$457+$D$458*F499)*F490</f>
        <v>1.4</v>
      </c>
      <c r="G529" s="40" t="n">
        <f aca="false">($D$457+$D$458*G499)*G490</f>
        <v>1.386</v>
      </c>
      <c r="H529" s="40" t="n">
        <f aca="false">($D$457+$D$458*H499)*H490</f>
        <v>2.1609</v>
      </c>
      <c r="I529" s="40" t="n">
        <f aca="false">($D$457+$D$458*I499)*I490</f>
        <v>1.898505</v>
      </c>
      <c r="J529" s="40" t="n">
        <f aca="false">($D$457+$D$458*J499)*J490</f>
        <v>2.77135425</v>
      </c>
      <c r="K529" s="51" t="n">
        <f aca="false">SUM(F529:J529)</f>
        <v>9.61675925</v>
      </c>
      <c r="L529" s="49" t="s">
        <v>657</v>
      </c>
    </row>
    <row r="530" customFormat="false" ht="15" hidden="true" customHeight="false" outlineLevel="1" collapsed="false">
      <c r="A530" s="20" t="n">
        <v>89</v>
      </c>
      <c r="B530" s="6" t="s">
        <v>658</v>
      </c>
      <c r="C530" s="20" t="s">
        <v>71</v>
      </c>
      <c r="D530" s="23"/>
      <c r="E530" s="23"/>
      <c r="F530" s="40" t="n">
        <f aca="false">($D$459+$D$460*F509)*F490</f>
        <v>1.6</v>
      </c>
      <c r="G530" s="40" t="n">
        <f aca="false">($D$459+$D$460*G509)*G490</f>
        <v>1.785</v>
      </c>
      <c r="H530" s="40" t="n">
        <f aca="false">($D$459+$D$460*H509)*H490</f>
        <v>1.9845</v>
      </c>
      <c r="I530" s="40" t="n">
        <f aca="false">($D$459+$D$460*I509)*I490</f>
        <v>2.1994875</v>
      </c>
      <c r="J530" s="40" t="n">
        <f aca="false">($D$459+$D$460*J509)*J490</f>
        <v>2.4310125</v>
      </c>
      <c r="K530" s="51" t="n">
        <f aca="false">SUM(F530:J530)</f>
        <v>10</v>
      </c>
      <c r="L530" s="49" t="s">
        <v>659</v>
      </c>
    </row>
    <row r="531" customFormat="false" ht="15" hidden="true" customHeight="false" outlineLevel="1" collapsed="false">
      <c r="A531" s="20" t="n">
        <v>90</v>
      </c>
      <c r="B531" s="6" t="s">
        <v>660</v>
      </c>
      <c r="C531" s="20" t="s">
        <v>71</v>
      </c>
      <c r="D531" s="23"/>
      <c r="E531" s="23"/>
      <c r="F531" s="40" t="n">
        <f aca="false">$D$461*F510*F490</f>
        <v>0.5</v>
      </c>
      <c r="G531" s="40" t="n">
        <f aca="false">$D$461*G510*G490</f>
        <v>0.2625</v>
      </c>
      <c r="H531" s="40" t="n">
        <f aca="false">$D$461*H510*H490</f>
        <v>0.275625</v>
      </c>
      <c r="I531" s="40" t="n">
        <f aca="false">$D$461*I510*I490</f>
        <v>0.28940625</v>
      </c>
      <c r="J531" s="40" t="n">
        <f aca="false">$D$461*J510*J490</f>
        <v>0.3038765625</v>
      </c>
      <c r="K531" s="51" t="n">
        <f aca="false">SUM(F531:J531)</f>
        <v>1.6314078125</v>
      </c>
      <c r="L531" s="49" t="s">
        <v>661</v>
      </c>
    </row>
    <row r="532" customFormat="false" ht="15" hidden="true" customHeight="false" outlineLevel="1" collapsed="false">
      <c r="A532" s="20" t="n">
        <v>91</v>
      </c>
      <c r="B532" s="6" t="s">
        <v>570</v>
      </c>
      <c r="C532" s="20" t="s">
        <v>71</v>
      </c>
      <c r="D532" s="23"/>
      <c r="E532" s="23"/>
      <c r="F532" s="40" t="n">
        <f aca="false">IF(F$488=$F$488,$D$462,0)</f>
        <v>0.3</v>
      </c>
      <c r="G532" s="40" t="n">
        <f aca="false">IF(G$488=$F$488,$D$462,0)</f>
        <v>0</v>
      </c>
      <c r="H532" s="40" t="n">
        <f aca="false">IF(H$488=$F$488,$D$462,0)</f>
        <v>0</v>
      </c>
      <c r="I532" s="40" t="n">
        <f aca="false">IF(I$488=$F$488,$D$462,0)</f>
        <v>0</v>
      </c>
      <c r="J532" s="40" t="n">
        <f aca="false">IF(J$488=$F$488,$D$462,0)</f>
        <v>0</v>
      </c>
      <c r="K532" s="51" t="n">
        <f aca="false">SUM(F532:J532)</f>
        <v>0.3</v>
      </c>
      <c r="L532" s="49" t="s">
        <v>662</v>
      </c>
    </row>
    <row r="533" customFormat="false" ht="15" hidden="true" customHeight="false" outlineLevel="1" collapsed="false">
      <c r="A533" s="20" t="n">
        <v>92</v>
      </c>
      <c r="B533" s="6" t="s">
        <v>663</v>
      </c>
      <c r="C533" s="20" t="s">
        <v>71</v>
      </c>
      <c r="D533" s="23"/>
      <c r="E533" s="23"/>
      <c r="F533" s="40" t="n">
        <f aca="false">F523+F524+F526+F527+F528+F529+F530+F531+F532</f>
        <v>20.06928168</v>
      </c>
      <c r="G533" s="40" t="n">
        <f aca="false">G523+G524+G526+G527+G528+G529+G530+G531+G532</f>
        <v>22.6066818144</v>
      </c>
      <c r="H533" s="40" t="n">
        <f aca="false">H523+H524+H526+H527+H528+H529+H530+H531+H532</f>
        <v>29.011700223552</v>
      </c>
      <c r="I533" s="40" t="n">
        <f aca="false">I523+I524+I526+I527+I528+I529+I530+I531+I532</f>
        <v>35.5578350726323</v>
      </c>
      <c r="J533" s="40" t="n">
        <f aca="false">J523+J524+J526+J527+J528+J529+J530+J531+J532</f>
        <v>42.9720779664949</v>
      </c>
      <c r="K533" s="51" t="n">
        <f aca="false">SUM(F533:J533)</f>
        <v>150.217576757079</v>
      </c>
      <c r="L533" s="49"/>
    </row>
    <row r="534" customFormat="false" ht="15" hidden="true" customHeight="false" outlineLevel="1" collapsed="false">
      <c r="A534" s="20" t="n">
        <v>93</v>
      </c>
      <c r="B534" s="6" t="s">
        <v>329</v>
      </c>
      <c r="C534" s="20" t="s">
        <v>71</v>
      </c>
      <c r="D534" s="23"/>
      <c r="E534" s="23"/>
      <c r="F534" s="40" t="n">
        <f aca="false">F533*$D$464</f>
        <v>2.006928168</v>
      </c>
      <c r="G534" s="40" t="n">
        <f aca="false">G533*$D$464</f>
        <v>2.26066818144</v>
      </c>
      <c r="H534" s="40" t="n">
        <f aca="false">H533*$D$464</f>
        <v>2.9011700223552</v>
      </c>
      <c r="I534" s="40" t="n">
        <f aca="false">I533*$D$464</f>
        <v>3.55578350726323</v>
      </c>
      <c r="J534" s="40" t="n">
        <f aca="false">J533*$D$464</f>
        <v>4.29720779664949</v>
      </c>
      <c r="K534" s="51" t="n">
        <f aca="false">SUM(F534:J534)</f>
        <v>15.0217576757079</v>
      </c>
      <c r="L534" s="49"/>
    </row>
    <row r="535" customFormat="false" ht="15" hidden="true" customHeight="false" outlineLevel="1" collapsed="false">
      <c r="A535" s="20" t="n">
        <v>94</v>
      </c>
      <c r="B535" s="6" t="s">
        <v>664</v>
      </c>
      <c r="C535" s="20" t="s">
        <v>71</v>
      </c>
      <c r="D535" s="23"/>
      <c r="E535" s="23"/>
      <c r="F535" s="40" t="n">
        <f aca="false">F533+F534</f>
        <v>22.076209848</v>
      </c>
      <c r="G535" s="40" t="n">
        <f aca="false">G533+G534</f>
        <v>24.86734999584</v>
      </c>
      <c r="H535" s="40" t="n">
        <f aca="false">H533+H534</f>
        <v>31.9128702459072</v>
      </c>
      <c r="I535" s="40" t="n">
        <f aca="false">I533+I534</f>
        <v>39.1136185798956</v>
      </c>
      <c r="J535" s="40" t="n">
        <f aca="false">J533+J534</f>
        <v>47.2692857631444</v>
      </c>
      <c r="K535" s="51" t="n">
        <f aca="false">SUM(F535:J535)</f>
        <v>165.239334432787</v>
      </c>
      <c r="L535" s="49"/>
    </row>
    <row r="536" customFormat="false" ht="15" hidden="true" customHeight="false" outlineLevel="1" collapsed="false">
      <c r="A536" s="19" t="s">
        <v>665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</row>
    <row r="537" customFormat="false" ht="15" hidden="true" customHeight="false" outlineLevel="1" collapsed="false">
      <c r="A537" s="20" t="n">
        <v>95</v>
      </c>
      <c r="B537" s="6" t="s">
        <v>666</v>
      </c>
      <c r="C537" s="20" t="s">
        <v>71</v>
      </c>
      <c r="D537" s="23"/>
      <c r="E537" s="23"/>
      <c r="F537" s="40" t="n">
        <f aca="false">F506-F535</f>
        <v>-14.076209848</v>
      </c>
      <c r="G537" s="40" t="n">
        <f aca="false">G506-G535</f>
        <v>-7.43734999584</v>
      </c>
      <c r="H537" s="40" t="n">
        <f aca="false">H506-H535</f>
        <v>-0.863713995907204</v>
      </c>
      <c r="I537" s="40" t="n">
        <f aca="false">I506-I535</f>
        <v>0.170977762433985</v>
      </c>
      <c r="J537" s="40" t="n">
        <f aca="false">J506-J535</f>
        <v>12.4981752264685</v>
      </c>
      <c r="K537" s="51" t="n">
        <f aca="false">SUM(F537:J537)</f>
        <v>-9.70812085084469</v>
      </c>
      <c r="L537" s="49" t="s">
        <v>667</v>
      </c>
    </row>
    <row r="538" customFormat="false" ht="15" hidden="true" customHeight="false" outlineLevel="1" collapsed="false">
      <c r="A538" s="20" t="n">
        <v>96</v>
      </c>
      <c r="B538" s="6" t="s">
        <v>668</v>
      </c>
      <c r="C538" s="20" t="s">
        <v>68</v>
      </c>
      <c r="D538" s="23"/>
      <c r="E538" s="23"/>
      <c r="F538" s="44" t="n">
        <f aca="false">IF(F506&gt;0,F537/F506,0)</f>
        <v>-1.759526231</v>
      </c>
      <c r="G538" s="44" t="n">
        <f aca="false">IF(G506&gt;0,G537/G506,0)</f>
        <v>-0.426698221218589</v>
      </c>
      <c r="H538" s="44" t="n">
        <f aca="false">IF(H506&gt;0,H537/H506,0)</f>
        <v>-0.0278176317885355</v>
      </c>
      <c r="I538" s="44" t="n">
        <f aca="false">IF(I506&gt;0,I537/I506,0)</f>
        <v>0.00435228507744026</v>
      </c>
      <c r="J538" s="44" t="n">
        <f aca="false">IF(J506&gt;0,J537/J506,0)</f>
        <v>0.209113370712545</v>
      </c>
      <c r="K538" s="23"/>
      <c r="L538" s="49"/>
    </row>
    <row r="539" customFormat="false" ht="15" hidden="true" customHeight="false" outlineLevel="1" collapsed="false">
      <c r="A539" s="20" t="n">
        <v>97</v>
      </c>
      <c r="B539" s="6" t="s">
        <v>669</v>
      </c>
      <c r="C539" s="20" t="s">
        <v>71</v>
      </c>
      <c r="D539" s="23"/>
      <c r="E539" s="23"/>
      <c r="F539" s="40" t="n">
        <f aca="false">E543</f>
        <v>0</v>
      </c>
      <c r="G539" s="40" t="n">
        <f aca="false">F543</f>
        <v>14.076209848</v>
      </c>
      <c r="H539" s="40" t="n">
        <f aca="false">G543</f>
        <v>21.51355984384</v>
      </c>
      <c r="I539" s="40" t="n">
        <f aca="false">H543</f>
        <v>22.3772738397472</v>
      </c>
      <c r="J539" s="40" t="n">
        <f aca="false">I543</f>
        <v>22.2917849585302</v>
      </c>
      <c r="K539" s="23"/>
      <c r="L539" s="49"/>
    </row>
    <row r="540" customFormat="false" ht="15" hidden="true" customHeight="false" outlineLevel="1" collapsed="false">
      <c r="A540" s="20" t="n">
        <v>98</v>
      </c>
      <c r="B540" s="6" t="s">
        <v>670</v>
      </c>
      <c r="C540" s="20" t="s">
        <v>71</v>
      </c>
      <c r="D540" s="23"/>
      <c r="E540" s="23"/>
      <c r="F540" s="40" t="n">
        <f aca="false">MIN(F539,MAX(0,F537)*$D$466)</f>
        <v>0</v>
      </c>
      <c r="G540" s="40" t="n">
        <f aca="false">MIN(G539,MAX(0,G537)*$D$466)</f>
        <v>0</v>
      </c>
      <c r="H540" s="40" t="n">
        <f aca="false">MIN(H539,MAX(0,H537)*$D$466)</f>
        <v>0</v>
      </c>
      <c r="I540" s="40" t="n">
        <f aca="false">MIN(I539,MAX(0,I537)*$D$466)</f>
        <v>0.0854888812169925</v>
      </c>
      <c r="J540" s="40" t="n">
        <f aca="false">MIN(J539,MAX(0,J537)*$D$466)</f>
        <v>6.24908761323426</v>
      </c>
      <c r="K540" s="23"/>
      <c r="L540" s="49" t="s">
        <v>671</v>
      </c>
    </row>
    <row r="541" customFormat="false" ht="15" hidden="true" customHeight="false" outlineLevel="1" collapsed="false">
      <c r="A541" s="20" t="n">
        <v>99</v>
      </c>
      <c r="B541" s="6" t="s">
        <v>672</v>
      </c>
      <c r="C541" s="20" t="s">
        <v>71</v>
      </c>
      <c r="D541" s="23"/>
      <c r="E541" s="23"/>
      <c r="F541" s="40" t="n">
        <f aca="false">MAX(0,F537)-F540</f>
        <v>0</v>
      </c>
      <c r="G541" s="40" t="n">
        <f aca="false">MAX(0,G537)-G540</f>
        <v>0</v>
      </c>
      <c r="H541" s="40" t="n">
        <f aca="false">MAX(0,H537)-H540</f>
        <v>0</v>
      </c>
      <c r="I541" s="40" t="n">
        <f aca="false">MAX(0,I537)-I540</f>
        <v>0.0854888812169925</v>
      </c>
      <c r="J541" s="40" t="n">
        <f aca="false">MAX(0,J537)-J540</f>
        <v>6.24908761323426</v>
      </c>
      <c r="K541" s="23"/>
      <c r="L541" s="49"/>
    </row>
    <row r="542" customFormat="false" ht="15" hidden="true" customHeight="false" outlineLevel="1" collapsed="false">
      <c r="A542" s="20" t="n">
        <v>100</v>
      </c>
      <c r="B542" s="6" t="s">
        <v>572</v>
      </c>
      <c r="C542" s="20" t="s">
        <v>71</v>
      </c>
      <c r="D542" s="23"/>
      <c r="E542" s="23"/>
      <c r="F542" s="40" t="n">
        <f aca="false">F541*$D$465</f>
        <v>0</v>
      </c>
      <c r="G542" s="40" t="n">
        <f aca="false">G541*$D$465</f>
        <v>0</v>
      </c>
      <c r="H542" s="40" t="n">
        <f aca="false">H541*$D$465</f>
        <v>0</v>
      </c>
      <c r="I542" s="40" t="n">
        <f aca="false">I541*$D$465</f>
        <v>0.00427444406084963</v>
      </c>
      <c r="J542" s="40" t="n">
        <f aca="false">J541*$D$465</f>
        <v>0.312454380661713</v>
      </c>
      <c r="K542" s="51" t="n">
        <f aca="false">SUM(F542:J542)</f>
        <v>0.316728824722563</v>
      </c>
      <c r="L542" s="49"/>
    </row>
    <row r="543" customFormat="false" ht="15" hidden="true" customHeight="false" outlineLevel="1" collapsed="false">
      <c r="A543" s="20" t="n">
        <v>101</v>
      </c>
      <c r="B543" s="6" t="s">
        <v>673</v>
      </c>
      <c r="C543" s="20" t="s">
        <v>71</v>
      </c>
      <c r="D543" s="23"/>
      <c r="E543" s="40" t="n">
        <f aca="false">0</f>
        <v>0</v>
      </c>
      <c r="F543" s="40" t="n">
        <f aca="false">F539-F540+MAX(0,-F537)</f>
        <v>14.076209848</v>
      </c>
      <c r="G543" s="40" t="n">
        <f aca="false">G539-G540+MAX(0,-G537)</f>
        <v>21.51355984384</v>
      </c>
      <c r="H543" s="40" t="n">
        <f aca="false">H539-H540+MAX(0,-H537)</f>
        <v>22.3772738397472</v>
      </c>
      <c r="I543" s="40" t="n">
        <f aca="false">I539-I540+MAX(0,-I537)</f>
        <v>22.2917849585302</v>
      </c>
      <c r="J543" s="40" t="n">
        <f aca="false">J539-J540+MAX(0,-J537)</f>
        <v>16.0426973452959</v>
      </c>
      <c r="K543" s="23"/>
      <c r="L543" s="49"/>
    </row>
    <row r="544" customFormat="false" ht="15" hidden="true" customHeight="false" outlineLevel="1" collapsed="false">
      <c r="A544" s="20" t="n">
        <v>102</v>
      </c>
      <c r="B544" s="6" t="s">
        <v>674</v>
      </c>
      <c r="C544" s="20" t="s">
        <v>71</v>
      </c>
      <c r="D544" s="23"/>
      <c r="E544" s="23"/>
      <c r="F544" s="40" t="n">
        <f aca="false">F537-F542</f>
        <v>-14.076209848</v>
      </c>
      <c r="G544" s="40" t="n">
        <f aca="false">G537-G542</f>
        <v>-7.43734999584</v>
      </c>
      <c r="H544" s="40" t="n">
        <f aca="false">H537-H542</f>
        <v>-0.863713995907204</v>
      </c>
      <c r="I544" s="40" t="n">
        <f aca="false">I537-I542</f>
        <v>0.166703318373135</v>
      </c>
      <c r="J544" s="40" t="n">
        <f aca="false">J537-J542</f>
        <v>12.1857208458068</v>
      </c>
      <c r="K544" s="51" t="n">
        <f aca="false">SUM(F544:J544)</f>
        <v>-10.0248496755673</v>
      </c>
      <c r="L544" s="49"/>
    </row>
    <row r="545" customFormat="false" ht="15" hidden="true" customHeight="false" outlineLevel="1" collapsed="false">
      <c r="A545" s="19" t="s">
        <v>675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</row>
    <row r="546" customFormat="false" ht="15" hidden="true" customHeight="false" outlineLevel="1" collapsed="false">
      <c r="A546" s="20" t="n">
        <v>103</v>
      </c>
      <c r="B546" s="6" t="s">
        <v>676</v>
      </c>
      <c r="C546" s="20" t="s">
        <v>71</v>
      </c>
      <c r="D546" s="23"/>
      <c r="E546" s="40" t="n">
        <f aca="false">0</f>
        <v>0</v>
      </c>
      <c r="F546" s="40" t="n">
        <f aca="false">F506*$D$467/365</f>
        <v>1.97260273972603</v>
      </c>
      <c r="G546" s="40" t="n">
        <f aca="false">G506*$D$467/365</f>
        <v>4.29780821917808</v>
      </c>
      <c r="H546" s="40" t="n">
        <f aca="false">H506*$D$467/365</f>
        <v>7.65595633561644</v>
      </c>
      <c r="I546" s="40" t="n">
        <f aca="false">I506*$D$467/365</f>
        <v>9.68661279673879</v>
      </c>
      <c r="J546" s="40" t="n">
        <f aca="false">J506*$D$467/365</f>
        <v>14.7371821618224</v>
      </c>
      <c r="K546" s="23"/>
      <c r="L546" s="49" t="s">
        <v>677</v>
      </c>
    </row>
    <row r="547" customFormat="false" ht="15" hidden="true" customHeight="false" outlineLevel="1" collapsed="false">
      <c r="A547" s="20" t="n">
        <v>104</v>
      </c>
      <c r="B547" s="6" t="s">
        <v>678</v>
      </c>
      <c r="C547" s="20" t="s">
        <v>71</v>
      </c>
      <c r="D547" s="23"/>
      <c r="E547" s="23"/>
      <c r="F547" s="40" t="n">
        <f aca="false">F546-E546</f>
        <v>1.97260273972603</v>
      </c>
      <c r="G547" s="40" t="n">
        <f aca="false">G546-F546</f>
        <v>2.32520547945206</v>
      </c>
      <c r="H547" s="40" t="n">
        <f aca="false">H546-G546</f>
        <v>3.35814811643836</v>
      </c>
      <c r="I547" s="40" t="n">
        <f aca="false">I546-H546</f>
        <v>2.03065646112236</v>
      </c>
      <c r="J547" s="40" t="n">
        <f aca="false">J546-I546</f>
        <v>5.05056936508357</v>
      </c>
      <c r="K547" s="51" t="n">
        <f aca="false">SUM(F547:J547)</f>
        <v>14.7371821618224</v>
      </c>
      <c r="L547" s="49"/>
    </row>
    <row r="548" customFormat="false" ht="15" hidden="true" customHeight="false" outlineLevel="1" collapsed="false">
      <c r="A548" s="20" t="n">
        <v>105</v>
      </c>
      <c r="B548" s="6" t="s">
        <v>679</v>
      </c>
      <c r="C548" s="20" t="s">
        <v>71</v>
      </c>
      <c r="D548" s="23"/>
      <c r="E548" s="23"/>
      <c r="F548" s="40" t="n">
        <f aca="false">F544-F547</f>
        <v>-16.048812587726</v>
      </c>
      <c r="G548" s="40" t="n">
        <f aca="false">G544-G547</f>
        <v>-9.76255547529205</v>
      </c>
      <c r="H548" s="40" t="n">
        <f aca="false">H544-H547</f>
        <v>-4.22186211234556</v>
      </c>
      <c r="I548" s="40" t="n">
        <f aca="false">I544-I547</f>
        <v>-1.86395314274922</v>
      </c>
      <c r="J548" s="40" t="n">
        <f aca="false">J544-J547</f>
        <v>7.13515148072324</v>
      </c>
      <c r="K548" s="51" t="n">
        <f aca="false">SUM(F548:J548)</f>
        <v>-24.7620318373896</v>
      </c>
      <c r="L548" s="49" t="s">
        <v>680</v>
      </c>
    </row>
    <row r="549" customFormat="false" ht="15" hidden="true" customHeight="false" outlineLevel="1" collapsed="false">
      <c r="A549" s="20" t="n">
        <v>106</v>
      </c>
      <c r="B549" s="6" t="s">
        <v>93</v>
      </c>
      <c r="C549" s="20" t="s">
        <v>71</v>
      </c>
      <c r="D549" s="23"/>
      <c r="E549" s="40" t="n">
        <f aca="false">0</f>
        <v>0</v>
      </c>
      <c r="F549" s="40" t="n">
        <f aca="false">E549+F548</f>
        <v>-16.048812587726</v>
      </c>
      <c r="G549" s="40" t="n">
        <f aca="false">F549+G548</f>
        <v>-25.8113680630181</v>
      </c>
      <c r="H549" s="40" t="n">
        <f aca="false">G549+H548</f>
        <v>-30.0332301753636</v>
      </c>
      <c r="I549" s="40" t="n">
        <f aca="false">H549+I548</f>
        <v>-31.8971833181129</v>
      </c>
      <c r="J549" s="40" t="n">
        <f aca="false">I549+J548</f>
        <v>-24.7620318373896</v>
      </c>
      <c r="K549" s="23"/>
      <c r="L549" s="49" t="s">
        <v>681</v>
      </c>
    </row>
    <row r="550" customFormat="false" ht="15" hidden="true" customHeight="false" outlineLevel="1" collapsed="false">
      <c r="A550" s="20" t="n">
        <v>107</v>
      </c>
      <c r="B550" s="6" t="s">
        <v>682</v>
      </c>
      <c r="C550" s="20"/>
      <c r="D550" s="23"/>
      <c r="E550" s="23"/>
      <c r="F550" s="53" t="n">
        <f aca="false">1/(1+$D$468)^(F$488-$E$488)</f>
        <v>0.769230769230769</v>
      </c>
      <c r="G550" s="53" t="n">
        <f aca="false">1/(1+$D$468)^(G$488-$E$488)</f>
        <v>0.591715976331361</v>
      </c>
      <c r="H550" s="53" t="n">
        <f aca="false">1/(1+$D$468)^(H$488-$E$488)</f>
        <v>0.455166135639508</v>
      </c>
      <c r="I550" s="53" t="n">
        <f aca="false">1/(1+$D$468)^(I$488-$E$488)</f>
        <v>0.350127796645776</v>
      </c>
      <c r="J550" s="53" t="n">
        <f aca="false">1/(1+$D$468)^(J$488-$E$488)</f>
        <v>0.269329074342904</v>
      </c>
      <c r="K550" s="23"/>
      <c r="L550" s="49" t="s">
        <v>683</v>
      </c>
    </row>
    <row r="551" customFormat="false" ht="15" hidden="true" customHeight="false" outlineLevel="1" collapsed="false">
      <c r="A551" s="20" t="n">
        <v>108</v>
      </c>
      <c r="B551" s="6" t="s">
        <v>684</v>
      </c>
      <c r="C551" s="20" t="s">
        <v>71</v>
      </c>
      <c r="D551" s="23"/>
      <c r="E551" s="23"/>
      <c r="F551" s="40" t="n">
        <f aca="false">F548*F550</f>
        <v>-12.3452404520969</v>
      </c>
      <c r="G551" s="40" t="n">
        <f aca="false">G548*G550</f>
        <v>-5.77666004455151</v>
      </c>
      <c r="H551" s="40" t="n">
        <f aca="false">H548*H550</f>
        <v>-1.92164866287918</v>
      </c>
      <c r="I551" s="40" t="n">
        <f aca="false">I548*I550</f>
        <v>-0.652621806921753</v>
      </c>
      <c r="J551" s="40" t="n">
        <f aca="false">J548*J550</f>
        <v>1.92170374359959</v>
      </c>
      <c r="K551" s="51" t="n">
        <f aca="false">SUM(F551:J551)</f>
        <v>-18.7744672228498</v>
      </c>
      <c r="L551" s="49"/>
    </row>
    <row r="552" customFormat="false" ht="15" hidden="true" customHeight="false" outlineLevel="1" collapsed="false">
      <c r="A552" s="20" t="n">
        <v>109</v>
      </c>
      <c r="B552" s="6" t="s">
        <v>685</v>
      </c>
      <c r="C552" s="20" t="s">
        <v>71</v>
      </c>
      <c r="D552" s="23"/>
      <c r="E552" s="23"/>
      <c r="F552" s="40" t="n">
        <f aca="false">IF(F$488=$J$488,MAX(0,F548)*(1+$D$469)/($D$468-$D$469),0)</f>
        <v>0</v>
      </c>
      <c r="G552" s="40" t="n">
        <f aca="false">IF(G$488=$J$488,MAX(0,G548)*(1+$D$469)/($D$468-$D$469),0)</f>
        <v>0</v>
      </c>
      <c r="H552" s="40" t="n">
        <f aca="false">IF(H$488=$J$488,MAX(0,H548)*(1+$D$469)/($D$468-$D$469),0)</f>
        <v>0</v>
      </c>
      <c r="I552" s="40" t="n">
        <f aca="false">IF(I$488=$J$488,MAX(0,I548)*(1+$D$469)/($D$468-$D$469),0)</f>
        <v>0</v>
      </c>
      <c r="J552" s="40" t="n">
        <f aca="false">IF(J$488=$J$488,MAX(0,J548)*(1+$D$469)/($D$468-$D$469),0)</f>
        <v>28.540605922893</v>
      </c>
      <c r="K552" s="23"/>
      <c r="L552" s="49" t="s">
        <v>686</v>
      </c>
    </row>
    <row r="553" customFormat="false" ht="15" hidden="true" customHeight="false" outlineLevel="1" collapsed="false">
      <c r="A553" s="20" t="n">
        <v>110</v>
      </c>
      <c r="B553" s="6" t="s">
        <v>687</v>
      </c>
      <c r="C553" s="20" t="s">
        <v>71</v>
      </c>
      <c r="D553" s="23"/>
      <c r="E553" s="23"/>
      <c r="F553" s="40" t="n">
        <f aca="false">F552*F550</f>
        <v>0</v>
      </c>
      <c r="G553" s="40" t="n">
        <f aca="false">G552*G550</f>
        <v>0</v>
      </c>
      <c r="H553" s="40" t="n">
        <f aca="false">H552*H550</f>
        <v>0</v>
      </c>
      <c r="I553" s="40" t="n">
        <f aca="false">I552*I550</f>
        <v>0</v>
      </c>
      <c r="J553" s="40" t="n">
        <f aca="false">J552*J550</f>
        <v>7.68681497439837</v>
      </c>
      <c r="K553" s="51" t="n">
        <f aca="false">SUM(F553:J553)</f>
        <v>7.68681497439837</v>
      </c>
      <c r="L553" s="49"/>
    </row>
    <row r="554" customFormat="false" ht="15" hidden="true" customHeight="false" outlineLevel="1" collapsed="false">
      <c r="A554" s="20" t="n">
        <v>111</v>
      </c>
      <c r="B554" s="6" t="s">
        <v>688</v>
      </c>
      <c r="C554" s="20" t="s">
        <v>71</v>
      </c>
      <c r="D554" s="23"/>
      <c r="E554" s="23"/>
      <c r="F554" s="40" t="n">
        <f aca="false">F548+F552</f>
        <v>-16.048812587726</v>
      </c>
      <c r="G554" s="40" t="n">
        <f aca="false">G548+G552</f>
        <v>-9.76255547529205</v>
      </c>
      <c r="H554" s="40" t="n">
        <f aca="false">H548+H552</f>
        <v>-4.22186211234556</v>
      </c>
      <c r="I554" s="40" t="n">
        <f aca="false">I548+I552</f>
        <v>-1.86395314274922</v>
      </c>
      <c r="J554" s="40" t="n">
        <f aca="false">J548+J552</f>
        <v>35.6757574036162</v>
      </c>
      <c r="K554" s="23"/>
      <c r="L554" s="49" t="s">
        <v>689</v>
      </c>
    </row>
    <row r="555" customFormat="false" ht="15" hidden="true" customHeight="false" outlineLevel="1" collapsed="false">
      <c r="A555" s="20" t="n">
        <v>112</v>
      </c>
      <c r="B555" s="6" t="s">
        <v>690</v>
      </c>
      <c r="C555" s="20"/>
      <c r="D555" s="23"/>
      <c r="E555" s="23"/>
      <c r="F555" s="52" t="str">
        <f aca="false">IF(AND(F537&gt;0,COUNTIF($F$537:F$537,"&gt;0")=1),F$488,"")</f>
        <v/>
      </c>
      <c r="G555" s="52" t="str">
        <f aca="false">IF(AND(G537&gt;0,COUNTIF($F$537:G$537,"&gt;0")=1),G$488,"")</f>
        <v/>
      </c>
      <c r="H555" s="52" t="str">
        <f aca="false">IF(AND(H537&gt;0,COUNTIF($F$537:H$537,"&gt;0")=1),H$488,"")</f>
        <v/>
      </c>
      <c r="I555" s="52" t="n">
        <f aca="false">IF(AND(I537&gt;0,COUNTIF($F$537:I$537,"&gt;0")=1),I$488,"")</f>
        <v>2030</v>
      </c>
      <c r="J555" s="52" t="str">
        <f aca="false">IF(AND(J537&gt;0,COUNTIF($F$537:J$537,"&gt;0")=1),J$488,"")</f>
        <v/>
      </c>
      <c r="K555" s="23"/>
      <c r="L555" s="49" t="s">
        <v>691</v>
      </c>
    </row>
    <row r="556" customFormat="false" ht="15" hidden="true" customHeight="false" outlineLevel="1" collapsed="false">
      <c r="A556" s="20" t="n">
        <v>113</v>
      </c>
      <c r="B556" s="6" t="s">
        <v>692</v>
      </c>
      <c r="C556" s="20"/>
      <c r="D556" s="23"/>
      <c r="E556" s="23"/>
      <c r="F556" s="52" t="str">
        <f aca="false">IF(AND(F549&gt;0,COUNTIF($F$549:F$549,"&gt;0")=1),F$488,"")</f>
        <v/>
      </c>
      <c r="G556" s="52" t="str">
        <f aca="false">IF(AND(G549&gt;0,COUNTIF($F$549:G$549,"&gt;0")=1),G$488,"")</f>
        <v/>
      </c>
      <c r="H556" s="52" t="str">
        <f aca="false">IF(AND(H549&gt;0,COUNTIF($F$549:H$549,"&gt;0")=1),H$488,"")</f>
        <v/>
      </c>
      <c r="I556" s="52" t="str">
        <f aca="false">IF(AND(I549&gt;0,COUNTIF($F$549:I$549,"&gt;0")=1),I$488,"")</f>
        <v/>
      </c>
      <c r="J556" s="52" t="str">
        <f aca="false">IF(AND(J549&gt;0,COUNTIF($F$549:J$549,"&gt;0")=1),J$488,"")</f>
        <v/>
      </c>
      <c r="K556" s="23"/>
      <c r="L556" s="49" t="s">
        <v>691</v>
      </c>
    </row>
    <row r="557" customFormat="false" ht="15" hidden="true" customHeight="false" outlineLevel="1" collapsed="false">
      <c r="A557" s="19" t="s">
        <v>693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</row>
    <row r="558" customFormat="false" ht="15" hidden="true" customHeight="false" outlineLevel="1" collapsed="false">
      <c r="A558" s="20" t="n">
        <v>114</v>
      </c>
      <c r="B558" s="6" t="s">
        <v>70</v>
      </c>
      <c r="C558" s="20" t="s">
        <v>71</v>
      </c>
      <c r="D558" s="51" t="n">
        <f aca="false">SUM(F506:J506)</f>
        <v>155.531213581943</v>
      </c>
      <c r="E558" s="23"/>
      <c r="F558" s="23"/>
      <c r="G558" s="23"/>
      <c r="H558" s="23"/>
      <c r="I558" s="23"/>
      <c r="J558" s="23"/>
      <c r="K558" s="23"/>
      <c r="L558" s="49"/>
    </row>
    <row r="559" customFormat="false" ht="15" hidden="true" customHeight="false" outlineLevel="1" collapsed="false">
      <c r="A559" s="20" t="n">
        <v>115</v>
      </c>
      <c r="B559" s="6" t="s">
        <v>694</v>
      </c>
      <c r="C559" s="20" t="s">
        <v>71</v>
      </c>
      <c r="D559" s="51" t="n">
        <f aca="false">J506</f>
        <v>59.7674609896129</v>
      </c>
      <c r="E559" s="23"/>
      <c r="F559" s="23"/>
      <c r="G559" s="23"/>
      <c r="H559" s="23"/>
      <c r="I559" s="23"/>
      <c r="J559" s="23"/>
      <c r="K559" s="23"/>
      <c r="L559" s="49"/>
    </row>
    <row r="560" customFormat="false" ht="15" hidden="true" customHeight="false" outlineLevel="1" collapsed="false">
      <c r="A560" s="20" t="n">
        <v>116</v>
      </c>
      <c r="B560" s="6" t="s">
        <v>695</v>
      </c>
      <c r="C560" s="20" t="s">
        <v>71</v>
      </c>
      <c r="D560" s="51" t="n">
        <f aca="false">J507</f>
        <v>66.0841577701571</v>
      </c>
      <c r="E560" s="23"/>
      <c r="F560" s="23"/>
      <c r="G560" s="23"/>
      <c r="H560" s="23"/>
      <c r="I560" s="23"/>
      <c r="J560" s="23"/>
      <c r="K560" s="23"/>
      <c r="L560" s="49"/>
    </row>
    <row r="561" customFormat="false" ht="15" hidden="true" customHeight="false" outlineLevel="1" collapsed="false">
      <c r="A561" s="20" t="n">
        <v>117</v>
      </c>
      <c r="B561" s="6" t="s">
        <v>696</v>
      </c>
      <c r="C561" s="20" t="s">
        <v>71</v>
      </c>
      <c r="D561" s="51" t="n">
        <f aca="false">J537</f>
        <v>12.4981752264685</v>
      </c>
      <c r="E561" s="23"/>
      <c r="F561" s="23"/>
      <c r="G561" s="23"/>
      <c r="H561" s="23"/>
      <c r="I561" s="23"/>
      <c r="J561" s="23"/>
      <c r="K561" s="23"/>
      <c r="L561" s="49"/>
    </row>
    <row r="562" customFormat="false" ht="15" hidden="true" customHeight="false" outlineLevel="1" collapsed="false">
      <c r="A562" s="20" t="n">
        <v>118</v>
      </c>
      <c r="B562" s="6" t="s">
        <v>697</v>
      </c>
      <c r="C562" s="20" t="s">
        <v>76</v>
      </c>
      <c r="D562" s="54" t="n">
        <f aca="false">J498</f>
        <v>9</v>
      </c>
      <c r="E562" s="23"/>
      <c r="F562" s="23"/>
      <c r="G562" s="23"/>
      <c r="H562" s="23"/>
      <c r="I562" s="23"/>
      <c r="J562" s="23"/>
      <c r="K562" s="23"/>
      <c r="L562" s="49"/>
    </row>
    <row r="563" customFormat="false" ht="15" hidden="true" customHeight="false" outlineLevel="1" collapsed="false">
      <c r="A563" s="20" t="n">
        <v>119</v>
      </c>
      <c r="B563" s="6" t="s">
        <v>698</v>
      </c>
      <c r="C563" s="20" t="s">
        <v>53</v>
      </c>
      <c r="D563" s="51" t="n">
        <f aca="false">J509</f>
        <v>8</v>
      </c>
      <c r="E563" s="23"/>
      <c r="F563" s="23"/>
      <c r="G563" s="23"/>
      <c r="H563" s="23"/>
      <c r="I563" s="23"/>
      <c r="J563" s="23"/>
      <c r="K563" s="23"/>
      <c r="L563" s="49"/>
    </row>
    <row r="564" customFormat="false" ht="15" hidden="true" customHeight="false" outlineLevel="1" collapsed="false">
      <c r="A564" s="20" t="n">
        <v>120</v>
      </c>
      <c r="B564" s="6" t="s">
        <v>699</v>
      </c>
      <c r="C564" s="20" t="s">
        <v>71</v>
      </c>
      <c r="D564" s="51" t="n">
        <f aca="false">MIN(0,MIN(F549:J549))</f>
        <v>-31.8971833181129</v>
      </c>
      <c r="E564" s="23"/>
      <c r="F564" s="23"/>
      <c r="G564" s="23"/>
      <c r="H564" s="23"/>
      <c r="I564" s="23"/>
      <c r="J564" s="23"/>
      <c r="K564" s="23"/>
      <c r="L564" s="49"/>
    </row>
    <row r="565" customFormat="false" ht="15" hidden="true" customHeight="false" outlineLevel="1" collapsed="false">
      <c r="A565" s="20" t="n">
        <v>121</v>
      </c>
      <c r="B565" s="6" t="s">
        <v>700</v>
      </c>
      <c r="C565" s="20" t="s">
        <v>71</v>
      </c>
      <c r="D565" s="51" t="n">
        <f aca="false">-$D$564*(1+$D$470)</f>
        <v>38.2766199817354</v>
      </c>
      <c r="E565" s="23"/>
      <c r="F565" s="23"/>
      <c r="G565" s="23"/>
      <c r="H565" s="23"/>
      <c r="I565" s="23"/>
      <c r="J565" s="23"/>
      <c r="K565" s="23"/>
      <c r="L565" s="49"/>
    </row>
    <row r="566" customFormat="false" ht="15" hidden="true" customHeight="false" outlineLevel="1" collapsed="false">
      <c r="A566" s="20" t="n">
        <v>122</v>
      </c>
      <c r="B566" s="6" t="s">
        <v>701</v>
      </c>
      <c r="C566" s="20" t="s">
        <v>71</v>
      </c>
      <c r="D566" s="51" t="n">
        <f aca="false">J549</f>
        <v>-24.7620318373896</v>
      </c>
      <c r="E566" s="23"/>
      <c r="F566" s="23"/>
      <c r="G566" s="23"/>
      <c r="H566" s="23"/>
      <c r="I566" s="23"/>
      <c r="J566" s="23"/>
      <c r="K566" s="23"/>
      <c r="L566" s="49"/>
    </row>
    <row r="567" customFormat="false" ht="15" hidden="true" customHeight="false" outlineLevel="1" collapsed="false">
      <c r="A567" s="20" t="n">
        <v>123</v>
      </c>
      <c r="B567" s="6" t="s">
        <v>702</v>
      </c>
      <c r="C567" s="20" t="s">
        <v>71</v>
      </c>
      <c r="D567" s="51" t="n">
        <f aca="false">SUM(F551:J551)</f>
        <v>-18.7744672228498</v>
      </c>
      <c r="E567" s="23"/>
      <c r="F567" s="23"/>
      <c r="G567" s="23"/>
      <c r="H567" s="23"/>
      <c r="I567" s="23"/>
      <c r="J567" s="23"/>
      <c r="K567" s="23"/>
      <c r="L567" s="49"/>
    </row>
    <row r="568" customFormat="false" ht="15" hidden="true" customHeight="false" outlineLevel="1" collapsed="false">
      <c r="A568" s="20" t="n">
        <v>124</v>
      </c>
      <c r="B568" s="6" t="s">
        <v>82</v>
      </c>
      <c r="C568" s="20" t="s">
        <v>71</v>
      </c>
      <c r="D568" s="51" t="n">
        <f aca="false">SUM(F551:J551)+SUM(F553:J553)</f>
        <v>-11.0876522484514</v>
      </c>
      <c r="E568" s="23"/>
      <c r="F568" s="23"/>
      <c r="G568" s="23"/>
      <c r="H568" s="23"/>
      <c r="I568" s="23"/>
      <c r="J568" s="23"/>
      <c r="K568" s="23"/>
      <c r="L568" s="49"/>
    </row>
    <row r="569" customFormat="false" ht="15" hidden="true" customHeight="false" outlineLevel="1" collapsed="false">
      <c r="A569" s="20" t="n">
        <v>125</v>
      </c>
      <c r="B569" s="6" t="s">
        <v>83</v>
      </c>
      <c r="C569" s="20" t="s">
        <v>68</v>
      </c>
      <c r="D569" s="55" t="n">
        <f aca="false">IFERROR(IRR(F554:J554),"н/д")</f>
        <v>0.0348559226876845</v>
      </c>
      <c r="E569" s="23"/>
      <c r="F569" s="23"/>
      <c r="G569" s="23"/>
      <c r="H569" s="23"/>
      <c r="I569" s="23"/>
      <c r="J569" s="23"/>
      <c r="K569" s="23"/>
      <c r="L569" s="49"/>
    </row>
    <row r="570" customFormat="false" ht="15" hidden="true" customHeight="false" outlineLevel="1" collapsed="false">
      <c r="A570" s="20" t="n">
        <v>126</v>
      </c>
      <c r="B570" s="6" t="s">
        <v>13</v>
      </c>
      <c r="C570" s="20" t="s">
        <v>79</v>
      </c>
      <c r="D570" s="56" t="n">
        <f aca="false">IF(COUNT(F555:J555)=0,"после 2031",MIN(F555:J555))</f>
        <v>2030</v>
      </c>
      <c r="E570" s="23"/>
      <c r="F570" s="23"/>
      <c r="G570" s="23"/>
      <c r="H570" s="23"/>
      <c r="I570" s="23"/>
      <c r="J570" s="23"/>
      <c r="K570" s="23"/>
      <c r="L570" s="49"/>
    </row>
    <row r="571" customFormat="false" ht="15" hidden="true" customHeight="false" outlineLevel="1" collapsed="false">
      <c r="A571" s="20" t="n">
        <v>127</v>
      </c>
      <c r="B571" s="6" t="s">
        <v>703</v>
      </c>
      <c r="C571" s="20" t="s">
        <v>79</v>
      </c>
      <c r="D571" s="56" t="str">
        <f aca="false">IF(COUNT(F556:J556)=0,"после 2031",MIN(F556:J556))</f>
        <v>после 2031</v>
      </c>
      <c r="E571" s="23"/>
      <c r="F571" s="23"/>
      <c r="G571" s="23"/>
      <c r="H571" s="23"/>
      <c r="I571" s="23"/>
      <c r="J571" s="23"/>
      <c r="K571" s="23"/>
      <c r="L571" s="49"/>
    </row>
    <row r="574" customFormat="false" ht="15" hidden="true" customHeight="false" outlineLevel="1" collapsed="false">
      <c r="A574" s="57" t="s">
        <v>727</v>
      </c>
    </row>
    <row r="575" customFormat="false" ht="30" hidden="true" customHeight="true" outlineLevel="1" collapsed="false">
      <c r="A575" s="4" t="s">
        <v>49</v>
      </c>
      <c r="B575" s="4" t="s">
        <v>3</v>
      </c>
      <c r="C575" s="5" t="s">
        <v>50</v>
      </c>
      <c r="D575" s="5" t="s">
        <v>551</v>
      </c>
      <c r="E575" s="5" t="s">
        <v>356</v>
      </c>
      <c r="F575" s="5" t="s">
        <v>86</v>
      </c>
      <c r="G575" s="5" t="s">
        <v>87</v>
      </c>
      <c r="H575" s="5" t="s">
        <v>88</v>
      </c>
      <c r="I575" s="5" t="s">
        <v>89</v>
      </c>
      <c r="J575" s="5" t="s">
        <v>90</v>
      </c>
      <c r="K575" s="5" t="s">
        <v>552</v>
      </c>
      <c r="L575" s="5" t="s">
        <v>393</v>
      </c>
    </row>
    <row r="576" customFormat="false" ht="15" hidden="true" customHeight="false" outlineLevel="1" collapsed="false">
      <c r="A576" s="19" t="s">
        <v>553</v>
      </c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</row>
    <row r="577" customFormat="false" ht="15" hidden="true" customHeight="false" outlineLevel="1" collapsed="false">
      <c r="A577" s="20" t="n">
        <v>1</v>
      </c>
      <c r="B577" s="6" t="s">
        <v>554</v>
      </c>
      <c r="C577" s="20" t="s">
        <v>79</v>
      </c>
      <c r="D577" s="10" t="n">
        <f aca="false">Допущения!$E$49</f>
        <v>2027</v>
      </c>
      <c r="E577" s="23"/>
      <c r="F577" s="23"/>
      <c r="G577" s="23"/>
      <c r="H577" s="23"/>
      <c r="I577" s="23"/>
      <c r="J577" s="23"/>
      <c r="K577" s="23"/>
      <c r="L577" s="49"/>
    </row>
    <row r="578" customFormat="false" ht="15" hidden="true" customHeight="false" outlineLevel="1" collapsed="false">
      <c r="A578" s="20" t="n">
        <v>2</v>
      </c>
      <c r="B578" s="6" t="s">
        <v>555</v>
      </c>
      <c r="C578" s="20" t="s">
        <v>105</v>
      </c>
      <c r="D578" s="45" t="n">
        <f aca="false">Допущения!$E$7</f>
        <v>1.8</v>
      </c>
      <c r="E578" s="23"/>
      <c r="F578" s="23"/>
      <c r="G578" s="23"/>
      <c r="H578" s="23"/>
      <c r="I578" s="23"/>
      <c r="J578" s="23"/>
      <c r="K578" s="23"/>
      <c r="L578" s="49"/>
    </row>
    <row r="579" customFormat="false" ht="15" hidden="true" customHeight="false" outlineLevel="1" collapsed="false">
      <c r="A579" s="20" t="n">
        <v>3</v>
      </c>
      <c r="B579" s="6" t="s">
        <v>556</v>
      </c>
      <c r="C579" s="20" t="s">
        <v>55</v>
      </c>
      <c r="D579" s="9" t="n">
        <f aca="false">Допущения!$E$42</f>
        <v>6</v>
      </c>
      <c r="E579" s="23"/>
      <c r="F579" s="23"/>
      <c r="G579" s="23"/>
      <c r="H579" s="23"/>
      <c r="I579" s="23"/>
      <c r="J579" s="23"/>
      <c r="K579" s="23"/>
      <c r="L579" s="49"/>
    </row>
    <row r="580" customFormat="false" ht="15" hidden="true" customHeight="false" outlineLevel="1" collapsed="false">
      <c r="A580" s="20" t="n">
        <v>4</v>
      </c>
      <c r="B580" s="6" t="s">
        <v>557</v>
      </c>
      <c r="C580" s="20" t="s">
        <v>244</v>
      </c>
      <c r="D580" s="9" t="n">
        <f aca="false">Допущения!$E$43</f>
        <v>5</v>
      </c>
      <c r="E580" s="23"/>
      <c r="F580" s="23"/>
      <c r="G580" s="23"/>
      <c r="H580" s="23"/>
      <c r="I580" s="23"/>
      <c r="J580" s="23"/>
      <c r="K580" s="23"/>
      <c r="L580" s="49"/>
    </row>
    <row r="581" customFormat="false" ht="15" hidden="true" customHeight="false" outlineLevel="1" collapsed="false">
      <c r="A581" s="20" t="n">
        <v>5</v>
      </c>
      <c r="B581" s="6" t="s">
        <v>558</v>
      </c>
      <c r="C581" s="20" t="s">
        <v>55</v>
      </c>
      <c r="D581" s="9" t="n">
        <f aca="false">Допущения!$E$44</f>
        <v>1.5</v>
      </c>
      <c r="E581" s="23"/>
      <c r="F581" s="23"/>
      <c r="G581" s="23"/>
      <c r="H581" s="23"/>
      <c r="I581" s="23"/>
      <c r="J581" s="23"/>
      <c r="K581" s="23"/>
      <c r="L581" s="49"/>
    </row>
    <row r="582" customFormat="false" ht="15" hidden="true" customHeight="false" outlineLevel="1" collapsed="false">
      <c r="A582" s="20" t="n">
        <v>6</v>
      </c>
      <c r="B582" s="6" t="s">
        <v>559</v>
      </c>
      <c r="C582" s="20" t="s">
        <v>71</v>
      </c>
      <c r="D582" s="9" t="n">
        <f aca="false">Допущения!$E$45</f>
        <v>8</v>
      </c>
      <c r="E582" s="23"/>
      <c r="F582" s="23"/>
      <c r="G582" s="23"/>
      <c r="H582" s="23"/>
      <c r="I582" s="23"/>
      <c r="J582" s="23"/>
      <c r="K582" s="23"/>
      <c r="L582" s="49"/>
    </row>
    <row r="583" customFormat="false" ht="15" hidden="true" customHeight="false" outlineLevel="1" collapsed="false">
      <c r="A583" s="20" t="n">
        <v>7</v>
      </c>
      <c r="B583" s="6" t="s">
        <v>560</v>
      </c>
      <c r="C583" s="20" t="s">
        <v>71</v>
      </c>
      <c r="D583" s="9" t="n">
        <f aca="false">Допущения!$E$46</f>
        <v>2</v>
      </c>
      <c r="E583" s="23"/>
      <c r="F583" s="23"/>
      <c r="G583" s="23"/>
      <c r="H583" s="23"/>
      <c r="I583" s="23"/>
      <c r="J583" s="23"/>
      <c r="K583" s="23"/>
      <c r="L583" s="49"/>
    </row>
    <row r="584" customFormat="false" ht="15" hidden="true" customHeight="false" outlineLevel="1" collapsed="false">
      <c r="A584" s="20" t="n">
        <v>8</v>
      </c>
      <c r="B584" s="6" t="s">
        <v>260</v>
      </c>
      <c r="C584" s="20" t="s">
        <v>261</v>
      </c>
      <c r="D584" s="22" t="n">
        <f aca="false">Допущения!$E$47</f>
        <v>0.05</v>
      </c>
      <c r="E584" s="23"/>
      <c r="F584" s="23"/>
      <c r="G584" s="23"/>
      <c r="H584" s="23"/>
      <c r="I584" s="23"/>
      <c r="J584" s="23"/>
      <c r="K584" s="23"/>
      <c r="L584" s="49"/>
    </row>
    <row r="585" customFormat="false" ht="15" hidden="true" customHeight="false" outlineLevel="1" collapsed="false">
      <c r="A585" s="20" t="n">
        <v>9</v>
      </c>
      <c r="B585" s="6" t="s">
        <v>561</v>
      </c>
      <c r="C585" s="20" t="s">
        <v>261</v>
      </c>
      <c r="D585" s="22" t="n">
        <f aca="false">Допущения!$E$48</f>
        <v>0.15</v>
      </c>
      <c r="E585" s="23"/>
      <c r="F585" s="23"/>
      <c r="G585" s="23"/>
      <c r="H585" s="23"/>
      <c r="I585" s="23"/>
      <c r="J585" s="23"/>
      <c r="K585" s="23"/>
      <c r="L585" s="49"/>
    </row>
    <row r="586" customFormat="false" ht="15" hidden="true" customHeight="false" outlineLevel="1" collapsed="false">
      <c r="A586" s="20" t="n">
        <v>10</v>
      </c>
      <c r="B586" s="6" t="s">
        <v>274</v>
      </c>
      <c r="C586" s="20" t="s">
        <v>261</v>
      </c>
      <c r="D586" s="22" t="n">
        <f aca="false">Допущения!$E$51</f>
        <v>0.07</v>
      </c>
      <c r="E586" s="23"/>
      <c r="F586" s="23"/>
      <c r="G586" s="23"/>
      <c r="H586" s="23"/>
      <c r="I586" s="23"/>
      <c r="J586" s="23"/>
      <c r="K586" s="23"/>
      <c r="L586" s="49"/>
    </row>
    <row r="587" customFormat="false" ht="15" hidden="true" customHeight="false" outlineLevel="1" collapsed="false">
      <c r="A587" s="20" t="n">
        <v>11</v>
      </c>
      <c r="B587" s="6" t="s">
        <v>562</v>
      </c>
      <c r="C587" s="20" t="s">
        <v>68</v>
      </c>
      <c r="D587" s="22" t="n">
        <f aca="false">Допущения!$E$52</f>
        <v>0.15</v>
      </c>
      <c r="E587" s="23"/>
      <c r="F587" s="23"/>
      <c r="G587" s="23"/>
      <c r="H587" s="23"/>
      <c r="I587" s="23"/>
      <c r="J587" s="23"/>
      <c r="K587" s="23"/>
      <c r="L587" s="49"/>
    </row>
    <row r="588" customFormat="false" ht="15" hidden="true" customHeight="false" outlineLevel="1" collapsed="false">
      <c r="A588" s="20" t="n">
        <v>12</v>
      </c>
      <c r="B588" s="6" t="s">
        <v>563</v>
      </c>
      <c r="C588" s="20" t="s">
        <v>68</v>
      </c>
      <c r="D588" s="22" t="n">
        <f aca="false">Допущения!$E$53</f>
        <v>0.076</v>
      </c>
      <c r="E588" s="23"/>
      <c r="F588" s="23"/>
      <c r="G588" s="23"/>
      <c r="H588" s="23"/>
      <c r="I588" s="23"/>
      <c r="J588" s="23"/>
      <c r="K588" s="23"/>
      <c r="L588" s="49"/>
    </row>
    <row r="589" customFormat="false" ht="15" hidden="true" customHeight="false" outlineLevel="1" collapsed="false">
      <c r="A589" s="20" t="n">
        <v>13</v>
      </c>
      <c r="B589" s="6" t="s">
        <v>284</v>
      </c>
      <c r="C589" s="20" t="s">
        <v>68</v>
      </c>
      <c r="D589" s="22" t="n">
        <f aca="false">Допущения!$E$54</f>
        <v>0.002</v>
      </c>
      <c r="E589" s="23"/>
      <c r="F589" s="23"/>
      <c r="G589" s="23"/>
      <c r="H589" s="23"/>
      <c r="I589" s="23"/>
      <c r="J589" s="23"/>
      <c r="K589" s="23"/>
      <c r="L589" s="49"/>
    </row>
    <row r="590" customFormat="false" ht="15" hidden="true" customHeight="false" outlineLevel="1" collapsed="false">
      <c r="A590" s="20" t="n">
        <v>14</v>
      </c>
      <c r="B590" s="6" t="s">
        <v>564</v>
      </c>
      <c r="C590" s="20" t="s">
        <v>55</v>
      </c>
      <c r="D590" s="50" t="n">
        <f aca="false">Допущения!$E$55</f>
        <v>2.979</v>
      </c>
      <c r="E590" s="23"/>
      <c r="F590" s="23"/>
      <c r="G590" s="23"/>
      <c r="H590" s="23"/>
      <c r="I590" s="23"/>
      <c r="J590" s="23"/>
      <c r="K590" s="23"/>
      <c r="L590" s="49"/>
    </row>
    <row r="591" customFormat="false" ht="15" hidden="true" customHeight="false" outlineLevel="1" collapsed="false">
      <c r="A591" s="20" t="n">
        <v>15</v>
      </c>
      <c r="B591" s="6" t="s">
        <v>565</v>
      </c>
      <c r="C591" s="20" t="s">
        <v>261</v>
      </c>
      <c r="D591" s="22" t="n">
        <f aca="false">Допущения!$E$56</f>
        <v>0.08</v>
      </c>
      <c r="E591" s="23"/>
      <c r="F591" s="23"/>
      <c r="G591" s="23"/>
      <c r="H591" s="23"/>
      <c r="I591" s="23"/>
      <c r="J591" s="23"/>
      <c r="K591" s="23"/>
      <c r="L591" s="49"/>
    </row>
    <row r="592" customFormat="false" ht="15" hidden="true" customHeight="false" outlineLevel="1" collapsed="false">
      <c r="A592" s="20" t="n">
        <v>16</v>
      </c>
      <c r="B592" s="6" t="s">
        <v>566</v>
      </c>
      <c r="C592" s="20" t="s">
        <v>71</v>
      </c>
      <c r="D592" s="9" t="n">
        <f aca="false">Допущения!$E$58</f>
        <v>2.5</v>
      </c>
      <c r="E592" s="23"/>
      <c r="F592" s="23"/>
      <c r="G592" s="23"/>
      <c r="H592" s="23"/>
      <c r="I592" s="23"/>
      <c r="J592" s="23"/>
      <c r="K592" s="23"/>
      <c r="L592" s="49"/>
    </row>
    <row r="593" customFormat="false" ht="15" hidden="true" customHeight="false" outlineLevel="1" collapsed="false">
      <c r="A593" s="20" t="n">
        <v>17</v>
      </c>
      <c r="B593" s="6" t="s">
        <v>299</v>
      </c>
      <c r="C593" s="20" t="s">
        <v>55</v>
      </c>
      <c r="D593" s="9" t="n">
        <f aca="false">Допущения!$E$59</f>
        <v>1</v>
      </c>
      <c r="E593" s="23"/>
      <c r="F593" s="23"/>
      <c r="G593" s="23"/>
      <c r="H593" s="23"/>
      <c r="I593" s="23"/>
      <c r="J593" s="23"/>
      <c r="K593" s="23"/>
      <c r="L593" s="49"/>
    </row>
    <row r="594" customFormat="false" ht="15" hidden="true" customHeight="false" outlineLevel="1" collapsed="false">
      <c r="A594" s="20" t="n">
        <v>18</v>
      </c>
      <c r="B594" s="6" t="s">
        <v>302</v>
      </c>
      <c r="C594" s="20" t="s">
        <v>55</v>
      </c>
      <c r="D594" s="9" t="n">
        <f aca="false">Допущения!$E$60</f>
        <v>0.6</v>
      </c>
      <c r="E594" s="23"/>
      <c r="F594" s="23"/>
      <c r="G594" s="23"/>
      <c r="H594" s="23"/>
      <c r="I594" s="23"/>
      <c r="J594" s="23"/>
      <c r="K594" s="23"/>
      <c r="L594" s="49"/>
    </row>
    <row r="595" customFormat="false" ht="15" hidden="true" customHeight="false" outlineLevel="1" collapsed="false">
      <c r="A595" s="20" t="n">
        <v>19</v>
      </c>
      <c r="B595" s="6" t="s">
        <v>567</v>
      </c>
      <c r="C595" s="20" t="s">
        <v>55</v>
      </c>
      <c r="D595" s="45" t="n">
        <f aca="false">Допущения!$E$61</f>
        <v>0.15</v>
      </c>
      <c r="E595" s="23"/>
      <c r="F595" s="23"/>
      <c r="G595" s="23"/>
      <c r="H595" s="23"/>
      <c r="I595" s="23"/>
      <c r="J595" s="23"/>
      <c r="K595" s="23"/>
      <c r="L595" s="49"/>
    </row>
    <row r="596" customFormat="false" ht="15" hidden="true" customHeight="false" outlineLevel="1" collapsed="false">
      <c r="A596" s="20" t="n">
        <v>20</v>
      </c>
      <c r="B596" s="6" t="s">
        <v>568</v>
      </c>
      <c r="C596" s="20" t="s">
        <v>55</v>
      </c>
      <c r="D596" s="9" t="n">
        <f aca="false">Допущения!$E$62</f>
        <v>1</v>
      </c>
      <c r="E596" s="23"/>
      <c r="F596" s="23"/>
      <c r="G596" s="23"/>
      <c r="H596" s="23"/>
      <c r="I596" s="23"/>
      <c r="J596" s="23"/>
      <c r="K596" s="23"/>
      <c r="L596" s="49"/>
    </row>
    <row r="597" customFormat="false" ht="15" hidden="true" customHeight="false" outlineLevel="1" collapsed="false">
      <c r="A597" s="20" t="n">
        <v>21</v>
      </c>
      <c r="B597" s="6" t="s">
        <v>569</v>
      </c>
      <c r="C597" s="20" t="s">
        <v>71</v>
      </c>
      <c r="D597" s="9" t="n">
        <f aca="false">Допущения!$E$63</f>
        <v>0.4</v>
      </c>
      <c r="E597" s="23"/>
      <c r="F597" s="23"/>
      <c r="G597" s="23"/>
      <c r="H597" s="23"/>
      <c r="I597" s="23"/>
      <c r="J597" s="23"/>
      <c r="K597" s="23"/>
      <c r="L597" s="49"/>
    </row>
    <row r="598" customFormat="false" ht="15" hidden="true" customHeight="false" outlineLevel="1" collapsed="false">
      <c r="A598" s="20" t="n">
        <v>22</v>
      </c>
      <c r="B598" s="6" t="s">
        <v>314</v>
      </c>
      <c r="C598" s="20" t="s">
        <v>55</v>
      </c>
      <c r="D598" s="9" t="n">
        <f aca="false">Допущения!$E$64</f>
        <v>1.2</v>
      </c>
      <c r="E598" s="23"/>
      <c r="F598" s="23"/>
      <c r="G598" s="23"/>
      <c r="H598" s="23"/>
      <c r="I598" s="23"/>
      <c r="J598" s="23"/>
      <c r="K598" s="23"/>
      <c r="L598" s="49"/>
    </row>
    <row r="599" customFormat="false" ht="15" hidden="true" customHeight="false" outlineLevel="1" collapsed="false">
      <c r="A599" s="20" t="n">
        <v>23</v>
      </c>
      <c r="B599" s="6" t="s">
        <v>317</v>
      </c>
      <c r="C599" s="20" t="s">
        <v>55</v>
      </c>
      <c r="D599" s="45" t="n">
        <f aca="false">Допущения!$E$65</f>
        <v>0.1</v>
      </c>
      <c r="E599" s="23"/>
      <c r="F599" s="23"/>
      <c r="G599" s="23"/>
      <c r="H599" s="23"/>
      <c r="I599" s="23"/>
      <c r="J599" s="23"/>
      <c r="K599" s="23"/>
      <c r="L599" s="49"/>
    </row>
    <row r="600" customFormat="false" ht="15" hidden="true" customHeight="false" outlineLevel="1" collapsed="false">
      <c r="A600" s="20" t="n">
        <v>24</v>
      </c>
      <c r="B600" s="6" t="s">
        <v>320</v>
      </c>
      <c r="C600" s="20" t="s">
        <v>71</v>
      </c>
      <c r="D600" s="45" t="n">
        <f aca="false">Допущения!$E$66</f>
        <v>0.25</v>
      </c>
      <c r="E600" s="23"/>
      <c r="F600" s="23"/>
      <c r="G600" s="23"/>
      <c r="H600" s="23"/>
      <c r="I600" s="23"/>
      <c r="J600" s="23"/>
      <c r="K600" s="23"/>
      <c r="L600" s="49"/>
    </row>
    <row r="601" customFormat="false" ht="15" hidden="true" customHeight="false" outlineLevel="1" collapsed="false">
      <c r="A601" s="20" t="n">
        <v>25</v>
      </c>
      <c r="B601" s="6" t="s">
        <v>570</v>
      </c>
      <c r="C601" s="20" t="s">
        <v>71</v>
      </c>
      <c r="D601" s="9" t="n">
        <f aca="false">Допущения!$E$67</f>
        <v>0.3</v>
      </c>
      <c r="E601" s="23"/>
      <c r="F601" s="23"/>
      <c r="G601" s="23"/>
      <c r="H601" s="23"/>
      <c r="I601" s="23"/>
      <c r="J601" s="23"/>
      <c r="K601" s="23"/>
      <c r="L601" s="49"/>
    </row>
    <row r="602" customFormat="false" ht="15" hidden="true" customHeight="false" outlineLevel="1" collapsed="false">
      <c r="A602" s="20" t="n">
        <v>26</v>
      </c>
      <c r="B602" s="6" t="s">
        <v>326</v>
      </c>
      <c r="C602" s="20" t="s">
        <v>261</v>
      </c>
      <c r="D602" s="22" t="n">
        <f aca="false">Допущения!$E$68</f>
        <v>0.05</v>
      </c>
      <c r="E602" s="23"/>
      <c r="F602" s="23"/>
      <c r="G602" s="23"/>
      <c r="H602" s="23"/>
      <c r="I602" s="23"/>
      <c r="J602" s="23"/>
      <c r="K602" s="23"/>
      <c r="L602" s="49"/>
    </row>
    <row r="603" customFormat="false" ht="15" hidden="true" customHeight="false" outlineLevel="1" collapsed="false">
      <c r="A603" s="20" t="n">
        <v>27</v>
      </c>
      <c r="B603" s="6" t="s">
        <v>571</v>
      </c>
      <c r="C603" s="20" t="s">
        <v>330</v>
      </c>
      <c r="D603" s="22" t="n">
        <f aca="false">Допущения!$E$69</f>
        <v>0.1</v>
      </c>
      <c r="E603" s="23"/>
      <c r="F603" s="23"/>
      <c r="G603" s="23"/>
      <c r="H603" s="23"/>
      <c r="I603" s="23"/>
      <c r="J603" s="23"/>
      <c r="K603" s="23"/>
      <c r="L603" s="49"/>
    </row>
    <row r="604" customFormat="false" ht="15" hidden="true" customHeight="false" outlineLevel="1" collapsed="false">
      <c r="A604" s="20" t="n">
        <v>28</v>
      </c>
      <c r="B604" s="6" t="s">
        <v>572</v>
      </c>
      <c r="C604" s="20" t="s">
        <v>68</v>
      </c>
      <c r="D604" s="22" t="n">
        <f aca="false">Допущения!$E$71</f>
        <v>0.05</v>
      </c>
      <c r="E604" s="23"/>
      <c r="F604" s="23"/>
      <c r="G604" s="23"/>
      <c r="H604" s="23"/>
      <c r="I604" s="23"/>
      <c r="J604" s="23"/>
      <c r="K604" s="23"/>
      <c r="L604" s="49"/>
    </row>
    <row r="605" customFormat="false" ht="15" hidden="true" customHeight="false" outlineLevel="1" collapsed="false">
      <c r="A605" s="20" t="n">
        <v>29</v>
      </c>
      <c r="B605" s="6" t="s">
        <v>573</v>
      </c>
      <c r="C605" s="20" t="s">
        <v>68</v>
      </c>
      <c r="D605" s="22" t="n">
        <f aca="false">Допущения!$E$72</f>
        <v>0.5</v>
      </c>
      <c r="E605" s="23"/>
      <c r="F605" s="23"/>
      <c r="G605" s="23"/>
      <c r="H605" s="23"/>
      <c r="I605" s="23"/>
      <c r="J605" s="23"/>
      <c r="K605" s="23"/>
      <c r="L605" s="49"/>
    </row>
    <row r="606" customFormat="false" ht="15" hidden="true" customHeight="false" outlineLevel="1" collapsed="false">
      <c r="A606" s="20" t="n">
        <v>30</v>
      </c>
      <c r="B606" s="6" t="s">
        <v>574</v>
      </c>
      <c r="C606" s="20" t="s">
        <v>575</v>
      </c>
      <c r="D606" s="7" t="n">
        <f aca="false">Допущения!$E$73</f>
        <v>90</v>
      </c>
      <c r="E606" s="23"/>
      <c r="F606" s="23"/>
      <c r="G606" s="23"/>
      <c r="H606" s="23"/>
      <c r="I606" s="23"/>
      <c r="J606" s="23"/>
      <c r="K606" s="23"/>
      <c r="L606" s="49"/>
    </row>
    <row r="607" customFormat="false" ht="15" hidden="true" customHeight="false" outlineLevel="1" collapsed="false">
      <c r="A607" s="20" t="n">
        <v>31</v>
      </c>
      <c r="B607" s="6" t="s">
        <v>345</v>
      </c>
      <c r="C607" s="20" t="s">
        <v>68</v>
      </c>
      <c r="D607" s="22" t="n">
        <f aca="false">Допущения!$E$74</f>
        <v>0.3</v>
      </c>
      <c r="E607" s="23"/>
      <c r="F607" s="23"/>
      <c r="G607" s="23"/>
      <c r="H607" s="23"/>
      <c r="I607" s="23"/>
      <c r="J607" s="23"/>
      <c r="K607" s="23"/>
      <c r="L607" s="49"/>
    </row>
    <row r="608" customFormat="false" ht="15" hidden="true" customHeight="false" outlineLevel="1" collapsed="false">
      <c r="A608" s="20" t="n">
        <v>32</v>
      </c>
      <c r="B608" s="6" t="s">
        <v>576</v>
      </c>
      <c r="C608" s="20" t="s">
        <v>261</v>
      </c>
      <c r="D608" s="22" t="n">
        <f aca="false">Допущения!$E$75</f>
        <v>0.04</v>
      </c>
      <c r="E608" s="23"/>
      <c r="F608" s="23"/>
      <c r="G608" s="23"/>
      <c r="H608" s="23"/>
      <c r="I608" s="23"/>
      <c r="J608" s="23"/>
      <c r="K608" s="23"/>
      <c r="L608" s="49"/>
    </row>
    <row r="609" customFormat="false" ht="15" hidden="true" customHeight="false" outlineLevel="1" collapsed="false">
      <c r="A609" s="20" t="n">
        <v>33</v>
      </c>
      <c r="B609" s="6" t="s">
        <v>577</v>
      </c>
      <c r="C609" s="20" t="s">
        <v>68</v>
      </c>
      <c r="D609" s="22" t="n">
        <f aca="false">Допущения!$E$76</f>
        <v>0.2</v>
      </c>
      <c r="E609" s="23"/>
      <c r="F609" s="23"/>
      <c r="G609" s="23"/>
      <c r="H609" s="23"/>
      <c r="I609" s="23"/>
      <c r="J609" s="23"/>
      <c r="K609" s="23"/>
      <c r="L609" s="49"/>
    </row>
    <row r="610" customFormat="false" ht="15" hidden="true" customHeight="false" outlineLevel="1" collapsed="false">
      <c r="A610" s="20" t="n">
        <v>34</v>
      </c>
      <c r="B610" s="6" t="s">
        <v>578</v>
      </c>
      <c r="C610" s="20" t="s">
        <v>105</v>
      </c>
      <c r="D610" s="50" t="n">
        <f aca="false">Рынок!$E$30</f>
        <v>0.490909090909091</v>
      </c>
      <c r="E610" s="23"/>
      <c r="F610" s="23"/>
      <c r="G610" s="23"/>
      <c r="H610" s="23"/>
      <c r="I610" s="23"/>
      <c r="J610" s="23"/>
      <c r="K610" s="23"/>
      <c r="L610" s="49" t="s">
        <v>579</v>
      </c>
    </row>
    <row r="611" customFormat="false" ht="15" hidden="true" customHeight="false" outlineLevel="1" collapsed="false">
      <c r="A611" s="20" t="n">
        <v>35</v>
      </c>
      <c r="B611" s="6" t="s">
        <v>580</v>
      </c>
      <c r="C611" s="20" t="s">
        <v>105</v>
      </c>
      <c r="D611" s="50" t="n">
        <f aca="false">Рынок!$E$31</f>
        <v>0.028125</v>
      </c>
      <c r="E611" s="23"/>
      <c r="F611" s="23"/>
      <c r="G611" s="23"/>
      <c r="H611" s="23"/>
      <c r="I611" s="23"/>
      <c r="J611" s="23"/>
      <c r="K611" s="23"/>
      <c r="L611" s="49" t="s">
        <v>579</v>
      </c>
    </row>
    <row r="612" customFormat="false" ht="15" hidden="true" customHeight="false" outlineLevel="1" collapsed="false">
      <c r="A612" s="20" t="n">
        <v>36</v>
      </c>
      <c r="B612" s="6" t="s">
        <v>581</v>
      </c>
      <c r="C612" s="20" t="s">
        <v>142</v>
      </c>
      <c r="D612" s="7" t="n">
        <f aca="false">План!$D$18</f>
        <v>200</v>
      </c>
      <c r="E612" s="23"/>
      <c r="F612" s="23"/>
      <c r="G612" s="23"/>
      <c r="H612" s="23"/>
      <c r="I612" s="23"/>
      <c r="J612" s="23"/>
      <c r="K612" s="23"/>
      <c r="L612" s="49" t="s">
        <v>582</v>
      </c>
    </row>
    <row r="613" customFormat="false" ht="15" hidden="true" customHeight="false" outlineLevel="1" collapsed="false">
      <c r="A613" s="20" t="n">
        <v>37</v>
      </c>
      <c r="B613" s="6" t="s">
        <v>583</v>
      </c>
      <c r="C613" s="20" t="s">
        <v>142</v>
      </c>
      <c r="D613" s="7" t="n">
        <f aca="false">План!$D$19</f>
        <v>280</v>
      </c>
      <c r="E613" s="23"/>
      <c r="F613" s="23"/>
      <c r="G613" s="23"/>
      <c r="H613" s="23"/>
      <c r="I613" s="23"/>
      <c r="J613" s="23"/>
      <c r="K613" s="23"/>
      <c r="L613" s="49" t="s">
        <v>582</v>
      </c>
    </row>
    <row r="614" customFormat="false" ht="15" hidden="true" customHeight="false" outlineLevel="1" collapsed="false">
      <c r="A614" s="20" t="n">
        <v>38</v>
      </c>
      <c r="B614" s="6" t="s">
        <v>584</v>
      </c>
      <c r="C614" s="20" t="s">
        <v>142</v>
      </c>
      <c r="D614" s="7" t="n">
        <f aca="false">План!$D$20</f>
        <v>230</v>
      </c>
      <c r="E614" s="23"/>
      <c r="F614" s="23"/>
      <c r="G614" s="23"/>
      <c r="H614" s="23"/>
      <c r="I614" s="23"/>
      <c r="J614" s="23"/>
      <c r="K614" s="23"/>
      <c r="L614" s="49" t="s">
        <v>582</v>
      </c>
    </row>
    <row r="615" customFormat="false" ht="15" hidden="true" customHeight="false" outlineLevel="1" collapsed="false">
      <c r="A615" s="20" t="n">
        <v>39</v>
      </c>
      <c r="B615" s="6" t="s">
        <v>585</v>
      </c>
      <c r="C615" s="20" t="s">
        <v>142</v>
      </c>
      <c r="D615" s="7" t="n">
        <f aca="false">План!$D$21</f>
        <v>220</v>
      </c>
      <c r="E615" s="23"/>
      <c r="F615" s="23"/>
      <c r="G615" s="23"/>
      <c r="H615" s="23"/>
      <c r="I615" s="23"/>
      <c r="J615" s="23"/>
      <c r="K615" s="23"/>
      <c r="L615" s="49" t="s">
        <v>582</v>
      </c>
    </row>
    <row r="616" customFormat="false" ht="15" hidden="true" customHeight="false" outlineLevel="1" collapsed="false">
      <c r="A616" s="20" t="n">
        <v>40</v>
      </c>
      <c r="B616" s="6" t="s">
        <v>586</v>
      </c>
      <c r="C616" s="20" t="s">
        <v>142</v>
      </c>
      <c r="D616" s="7" t="n">
        <f aca="false">План!$D$22</f>
        <v>250</v>
      </c>
      <c r="E616" s="23"/>
      <c r="F616" s="23"/>
      <c r="G616" s="23"/>
      <c r="H616" s="23"/>
      <c r="I616" s="23"/>
      <c r="J616" s="23"/>
      <c r="K616" s="23"/>
      <c r="L616" s="49" t="s">
        <v>582</v>
      </c>
    </row>
    <row r="617" customFormat="false" ht="15" hidden="true" customHeight="false" outlineLevel="1" collapsed="false">
      <c r="A617" s="20" t="n">
        <v>41</v>
      </c>
      <c r="B617" s="6" t="s">
        <v>587</v>
      </c>
      <c r="C617" s="20" t="s">
        <v>142</v>
      </c>
      <c r="D617" s="7" t="n">
        <f aca="false">План!$D$23</f>
        <v>220</v>
      </c>
      <c r="E617" s="23"/>
      <c r="F617" s="23"/>
      <c r="G617" s="23"/>
      <c r="H617" s="23"/>
      <c r="I617" s="23"/>
      <c r="J617" s="23"/>
      <c r="K617" s="23"/>
      <c r="L617" s="49" t="s">
        <v>582</v>
      </c>
    </row>
    <row r="618" customFormat="false" ht="15" hidden="true" customHeight="false" outlineLevel="1" collapsed="false">
      <c r="A618" s="20" t="n">
        <v>42</v>
      </c>
      <c r="B618" s="6" t="s">
        <v>359</v>
      </c>
      <c r="C618" s="20" t="s">
        <v>76</v>
      </c>
      <c r="D618" s="23"/>
      <c r="E618" s="9" t="n">
        <f aca="false">План!E16*1.2</f>
        <v>0</v>
      </c>
      <c r="F618" s="9" t="n">
        <f aca="false">План!F16*1.2</f>
        <v>0</v>
      </c>
      <c r="G618" s="9" t="n">
        <f aca="false">План!G16*1.2</f>
        <v>0</v>
      </c>
      <c r="H618" s="9" t="n">
        <f aca="false">План!H16*1.2</f>
        <v>1.2</v>
      </c>
      <c r="I618" s="9" t="n">
        <f aca="false">План!I16*1.2</f>
        <v>0</v>
      </c>
      <c r="J618" s="9" t="n">
        <f aca="false">План!J16*1.2</f>
        <v>1.2</v>
      </c>
      <c r="K618" s="51" t="n">
        <f aca="false">SUM(F618:J618)</f>
        <v>2.4</v>
      </c>
      <c r="L618" s="49" t="s">
        <v>582</v>
      </c>
    </row>
    <row r="619" customFormat="false" ht="15" hidden="true" customHeight="false" outlineLevel="1" collapsed="false">
      <c r="A619" s="20" t="n">
        <v>43</v>
      </c>
      <c r="B619" s="6" t="s">
        <v>361</v>
      </c>
      <c r="C619" s="20" t="s">
        <v>76</v>
      </c>
      <c r="D619" s="23"/>
      <c r="E619" s="9" t="n">
        <f aca="false">План!E17*1.2</f>
        <v>0</v>
      </c>
      <c r="F619" s="9" t="n">
        <f aca="false">План!F17*1.2</f>
        <v>0</v>
      </c>
      <c r="G619" s="9" t="n">
        <f aca="false">План!G17*1.2</f>
        <v>1.2</v>
      </c>
      <c r="H619" s="9" t="n">
        <f aca="false">План!H17*1.2</f>
        <v>2.4</v>
      </c>
      <c r="I619" s="9" t="n">
        <f aca="false">План!I17*1.2</f>
        <v>2.4</v>
      </c>
      <c r="J619" s="9" t="n">
        <f aca="false">План!J17*1.2</f>
        <v>3.6</v>
      </c>
      <c r="K619" s="51" t="n">
        <f aca="false">SUM(F619:J619)</f>
        <v>9.6</v>
      </c>
      <c r="L619" s="49" t="s">
        <v>582</v>
      </c>
    </row>
    <row r="620" customFormat="false" ht="15" hidden="true" customHeight="false" outlineLevel="1" collapsed="false">
      <c r="A620" s="20" t="n">
        <v>44</v>
      </c>
      <c r="B620" s="6" t="s">
        <v>588</v>
      </c>
      <c r="C620" s="20" t="s">
        <v>53</v>
      </c>
      <c r="D620" s="23"/>
      <c r="E620" s="9" t="n">
        <f aca="false">План!E18</f>
        <v>2</v>
      </c>
      <c r="F620" s="9" t="n">
        <f aca="false">План!F18</f>
        <v>2</v>
      </c>
      <c r="G620" s="9" t="n">
        <f aca="false">План!G18</f>
        <v>2</v>
      </c>
      <c r="H620" s="9" t="n">
        <f aca="false">План!H18</f>
        <v>2</v>
      </c>
      <c r="I620" s="9" t="n">
        <f aca="false">План!I18</f>
        <v>2</v>
      </c>
      <c r="J620" s="9" t="n">
        <f aca="false">План!J18</f>
        <v>2</v>
      </c>
      <c r="K620" s="23"/>
      <c r="L620" s="49" t="s">
        <v>582</v>
      </c>
    </row>
    <row r="621" customFormat="false" ht="15" hidden="true" customHeight="false" outlineLevel="1" collapsed="false">
      <c r="A621" s="20" t="n">
        <v>45</v>
      </c>
      <c r="B621" s="6" t="s">
        <v>589</v>
      </c>
      <c r="C621" s="20" t="s">
        <v>53</v>
      </c>
      <c r="D621" s="23"/>
      <c r="E621" s="9" t="n">
        <f aca="false">План!E19</f>
        <v>0</v>
      </c>
      <c r="F621" s="9" t="n">
        <f aca="false">План!F19</f>
        <v>1</v>
      </c>
      <c r="G621" s="9" t="n">
        <f aca="false">План!G19</f>
        <v>1</v>
      </c>
      <c r="H621" s="9" t="n">
        <f aca="false">План!H19</f>
        <v>1</v>
      </c>
      <c r="I621" s="9" t="n">
        <f aca="false">План!I19</f>
        <v>2</v>
      </c>
      <c r="J621" s="9" t="n">
        <f aca="false">План!J19</f>
        <v>2</v>
      </c>
      <c r="K621" s="23"/>
      <c r="L621" s="49" t="s">
        <v>582</v>
      </c>
    </row>
    <row r="622" customFormat="false" ht="15" hidden="true" customHeight="false" outlineLevel="1" collapsed="false">
      <c r="A622" s="20" t="n">
        <v>46</v>
      </c>
      <c r="B622" s="6" t="s">
        <v>590</v>
      </c>
      <c r="C622" s="20" t="s">
        <v>53</v>
      </c>
      <c r="D622" s="23"/>
      <c r="E622" s="9" t="n">
        <f aca="false">План!E20</f>
        <v>0</v>
      </c>
      <c r="F622" s="9" t="n">
        <f aca="false">План!F20</f>
        <v>1</v>
      </c>
      <c r="G622" s="9" t="n">
        <f aca="false">План!G20</f>
        <v>1</v>
      </c>
      <c r="H622" s="9" t="n">
        <f aca="false">План!H20</f>
        <v>1</v>
      </c>
      <c r="I622" s="9" t="n">
        <f aca="false">План!I20</f>
        <v>1</v>
      </c>
      <c r="J622" s="9" t="n">
        <f aca="false">План!J20</f>
        <v>1</v>
      </c>
      <c r="K622" s="23"/>
      <c r="L622" s="49" t="s">
        <v>582</v>
      </c>
    </row>
    <row r="623" customFormat="false" ht="15" hidden="true" customHeight="false" outlineLevel="1" collapsed="false">
      <c r="A623" s="20" t="n">
        <v>47</v>
      </c>
      <c r="B623" s="6" t="s">
        <v>591</v>
      </c>
      <c r="C623" s="20" t="s">
        <v>53</v>
      </c>
      <c r="D623" s="23"/>
      <c r="E623" s="9" t="n">
        <f aca="false">План!E21</f>
        <v>0</v>
      </c>
      <c r="F623" s="9" t="n">
        <f aca="false">План!F21</f>
        <v>0</v>
      </c>
      <c r="G623" s="9" t="n">
        <f aca="false">План!G21</f>
        <v>1</v>
      </c>
      <c r="H623" s="9" t="n">
        <f aca="false">План!H21</f>
        <v>1</v>
      </c>
      <c r="I623" s="9" t="n">
        <f aca="false">План!I21</f>
        <v>1</v>
      </c>
      <c r="J623" s="9" t="n">
        <f aca="false">План!J21</f>
        <v>1</v>
      </c>
      <c r="K623" s="23"/>
      <c r="L623" s="49" t="s">
        <v>582</v>
      </c>
    </row>
    <row r="624" customFormat="false" ht="15" hidden="true" customHeight="false" outlineLevel="1" collapsed="false">
      <c r="A624" s="20" t="n">
        <v>48</v>
      </c>
      <c r="B624" s="6" t="s">
        <v>592</v>
      </c>
      <c r="C624" s="20" t="s">
        <v>53</v>
      </c>
      <c r="D624" s="23"/>
      <c r="E624" s="9" t="n">
        <f aca="false">План!E22</f>
        <v>0</v>
      </c>
      <c r="F624" s="9" t="n">
        <f aca="false">План!F22</f>
        <v>0</v>
      </c>
      <c r="G624" s="9" t="n">
        <f aca="false">План!G22</f>
        <v>0</v>
      </c>
      <c r="H624" s="9" t="n">
        <f aca="false">План!H22</f>
        <v>1</v>
      </c>
      <c r="I624" s="9" t="n">
        <f aca="false">План!I22</f>
        <v>1</v>
      </c>
      <c r="J624" s="9" t="n">
        <f aca="false">План!J22</f>
        <v>1</v>
      </c>
      <c r="K624" s="23"/>
      <c r="L624" s="49" t="s">
        <v>582</v>
      </c>
    </row>
    <row r="625" customFormat="false" ht="15" hidden="true" customHeight="false" outlineLevel="1" collapsed="false">
      <c r="A625" s="20" t="n">
        <v>49</v>
      </c>
      <c r="B625" s="6" t="s">
        <v>593</v>
      </c>
      <c r="C625" s="20" t="s">
        <v>53</v>
      </c>
      <c r="D625" s="23"/>
      <c r="E625" s="9" t="n">
        <f aca="false">План!E23</f>
        <v>0</v>
      </c>
      <c r="F625" s="9" t="n">
        <f aca="false">План!F23</f>
        <v>0</v>
      </c>
      <c r="G625" s="9" t="n">
        <f aca="false">План!G23</f>
        <v>0</v>
      </c>
      <c r="H625" s="9" t="n">
        <f aca="false">План!H23</f>
        <v>0</v>
      </c>
      <c r="I625" s="9" t="n">
        <f aca="false">План!I23</f>
        <v>0</v>
      </c>
      <c r="J625" s="9" t="n">
        <f aca="false">План!J23</f>
        <v>1</v>
      </c>
      <c r="K625" s="23"/>
      <c r="L625" s="49" t="s">
        <v>582</v>
      </c>
    </row>
    <row r="626" customFormat="false" ht="15" hidden="true" customHeight="false" outlineLevel="1" collapsed="false">
      <c r="A626" s="19" t="s">
        <v>594</v>
      </c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</row>
    <row r="627" customFormat="false" ht="15" hidden="true" customHeight="false" outlineLevel="1" collapsed="false">
      <c r="A627" s="20" t="n">
        <v>50</v>
      </c>
      <c r="B627" s="6" t="s">
        <v>595</v>
      </c>
      <c r="C627" s="20"/>
      <c r="D627" s="23"/>
      <c r="E627" s="10" t="n">
        <f aca="false">Допущения!$D$3</f>
        <v>2026</v>
      </c>
      <c r="F627" s="52" t="n">
        <f aca="false">E627+1</f>
        <v>2027</v>
      </c>
      <c r="G627" s="52" t="n">
        <f aca="false">F627+1</f>
        <v>2028</v>
      </c>
      <c r="H627" s="52" t="n">
        <f aca="false">G627+1</f>
        <v>2029</v>
      </c>
      <c r="I627" s="52" t="n">
        <f aca="false">H627+1</f>
        <v>2030</v>
      </c>
      <c r="J627" s="52" t="n">
        <f aca="false">I627+1</f>
        <v>2031</v>
      </c>
      <c r="K627" s="23"/>
      <c r="L627" s="49" t="s">
        <v>596</v>
      </c>
    </row>
    <row r="628" customFormat="false" ht="15" hidden="true" customHeight="false" outlineLevel="1" collapsed="false">
      <c r="A628" s="20" t="n">
        <v>51</v>
      </c>
      <c r="B628" s="6" t="s">
        <v>597</v>
      </c>
      <c r="C628" s="20" t="s">
        <v>62</v>
      </c>
      <c r="D628" s="23"/>
      <c r="E628" s="23"/>
      <c r="F628" s="53" t="n">
        <f aca="false">(1+$D$584)^(F$627-$E$627-1)</f>
        <v>1</v>
      </c>
      <c r="G628" s="53" t="n">
        <f aca="false">(1+$D$584)^(G$627-$E$627-1)</f>
        <v>1.05</v>
      </c>
      <c r="H628" s="53" t="n">
        <f aca="false">(1+$D$584)^(H$627-$E$627-1)</f>
        <v>1.1025</v>
      </c>
      <c r="I628" s="53" t="n">
        <f aca="false">(1+$D$584)^(I$627-$E$627-1)</f>
        <v>1.157625</v>
      </c>
      <c r="J628" s="53" t="n">
        <f aca="false">(1+$D$584)^(J$627-$E$627-1)</f>
        <v>1.21550625</v>
      </c>
      <c r="K628" s="23"/>
      <c r="L628" s="49" t="s">
        <v>598</v>
      </c>
    </row>
    <row r="629" customFormat="false" ht="15" hidden="true" customHeight="false" outlineLevel="1" collapsed="false">
      <c r="A629" s="20" t="n">
        <v>52</v>
      </c>
      <c r="B629" s="6" t="s">
        <v>599</v>
      </c>
      <c r="C629" s="20" t="s">
        <v>62</v>
      </c>
      <c r="D629" s="23"/>
      <c r="E629" s="23"/>
      <c r="F629" s="53" t="n">
        <f aca="false">(1+$D$602)^(F$627-$E$627-1)</f>
        <v>1</v>
      </c>
      <c r="G629" s="53" t="n">
        <f aca="false">(1+$D$602)^(G$627-$E$627-1)</f>
        <v>1.05</v>
      </c>
      <c r="H629" s="53" t="n">
        <f aca="false">(1+$D$602)^(H$627-$E$627-1)</f>
        <v>1.1025</v>
      </c>
      <c r="I629" s="53" t="n">
        <f aca="false">(1+$D$602)^(I$627-$E$627-1)</f>
        <v>1.157625</v>
      </c>
      <c r="J629" s="53" t="n">
        <f aca="false">(1+$D$602)^(J$627-$E$627-1)</f>
        <v>1.21550625</v>
      </c>
      <c r="K629" s="23"/>
      <c r="L629" s="49" t="s">
        <v>600</v>
      </c>
    </row>
    <row r="630" customFormat="false" ht="15" hidden="true" customHeight="false" outlineLevel="1" collapsed="false">
      <c r="A630" s="20" t="n">
        <v>53</v>
      </c>
      <c r="B630" s="6" t="s">
        <v>601</v>
      </c>
      <c r="C630" s="20" t="s">
        <v>62</v>
      </c>
      <c r="D630" s="23"/>
      <c r="E630" s="23"/>
      <c r="F630" s="53" t="n">
        <f aca="false">(1+$D$586)^(F$627-$E$627-1)</f>
        <v>1</v>
      </c>
      <c r="G630" s="53" t="n">
        <f aca="false">(1+$D$586)^(G$627-$E$627-1)</f>
        <v>1.07</v>
      </c>
      <c r="H630" s="53" t="n">
        <f aca="false">(1+$D$586)^(H$627-$E$627-1)</f>
        <v>1.1449</v>
      </c>
      <c r="I630" s="53" t="n">
        <f aca="false">(1+$D$586)^(I$627-$E$627-1)</f>
        <v>1.225043</v>
      </c>
      <c r="J630" s="53" t="n">
        <f aca="false">(1+$D$586)^(J$627-$E$627-1)</f>
        <v>1.31079601</v>
      </c>
      <c r="K630" s="23"/>
      <c r="L630" s="49" t="s">
        <v>602</v>
      </c>
    </row>
    <row r="631" customFormat="false" ht="15" hidden="true" customHeight="false" outlineLevel="1" collapsed="false">
      <c r="A631" s="20" t="n">
        <v>54</v>
      </c>
      <c r="B631" s="6" t="s">
        <v>603</v>
      </c>
      <c r="C631" s="20" t="s">
        <v>55</v>
      </c>
      <c r="D631" s="23"/>
      <c r="E631" s="23"/>
      <c r="F631" s="46" t="n">
        <f aca="false">$D$590*(1+$D$591)^(F$627-$E$627)</f>
        <v>3.21732</v>
      </c>
      <c r="G631" s="46" t="n">
        <f aca="false">$D$590*(1+$D$591)^(G$627-$E$627)</f>
        <v>3.4747056</v>
      </c>
      <c r="H631" s="46" t="n">
        <f aca="false">$D$590*(1+$D$591)^(H$627-$E$627)</f>
        <v>3.752682048</v>
      </c>
      <c r="I631" s="46" t="n">
        <f aca="false">$D$590*(1+$D$591)^(I$627-$E$627)</f>
        <v>4.05289661184</v>
      </c>
      <c r="J631" s="46" t="n">
        <f aca="false">$D$590*(1+$D$591)^(J$627-$E$627)</f>
        <v>4.3771283407872</v>
      </c>
      <c r="K631" s="23"/>
      <c r="L631" s="49" t="s">
        <v>604</v>
      </c>
    </row>
    <row r="632" customFormat="false" ht="15" hidden="true" customHeight="false" outlineLevel="1" collapsed="false">
      <c r="A632" s="19" t="s">
        <v>605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</row>
    <row r="633" customFormat="false" ht="15" hidden="true" customHeight="false" outlineLevel="1" collapsed="false">
      <c r="A633" s="20" t="n">
        <v>55</v>
      </c>
      <c r="B633" s="6" t="s">
        <v>606</v>
      </c>
      <c r="C633" s="20" t="s">
        <v>76</v>
      </c>
      <c r="D633" s="23"/>
      <c r="E633" s="23"/>
      <c r="F633" s="38" t="n">
        <f aca="false">IF(F$627=$D$577,1,0)</f>
        <v>1</v>
      </c>
      <c r="G633" s="38" t="n">
        <f aca="false">IF(G$627=$D$577,1,0)</f>
        <v>0</v>
      </c>
      <c r="H633" s="38" t="n">
        <f aca="false">IF(H$627=$D$577,1,0)</f>
        <v>0</v>
      </c>
      <c r="I633" s="38" t="n">
        <f aca="false">IF(I$627=$D$577,1,0)</f>
        <v>0</v>
      </c>
      <c r="J633" s="38" t="n">
        <f aca="false">IF(J$627=$D$577,1,0)</f>
        <v>0</v>
      </c>
      <c r="K633" s="23"/>
      <c r="L633" s="49" t="s">
        <v>607</v>
      </c>
    </row>
    <row r="634" customFormat="false" ht="15" hidden="true" customHeight="false" outlineLevel="1" collapsed="false">
      <c r="A634" s="20" t="n">
        <v>56</v>
      </c>
      <c r="B634" s="6" t="s">
        <v>608</v>
      </c>
      <c r="C634" s="20" t="s">
        <v>76</v>
      </c>
      <c r="D634" s="23"/>
      <c r="E634" s="38" t="n">
        <f aca="false">0</f>
        <v>0</v>
      </c>
      <c r="F634" s="38" t="n">
        <f aca="false">F633+F618</f>
        <v>1</v>
      </c>
      <c r="G634" s="38" t="n">
        <f aca="false">G633+G618</f>
        <v>0</v>
      </c>
      <c r="H634" s="38" t="n">
        <f aca="false">H633+H618</f>
        <v>1.2</v>
      </c>
      <c r="I634" s="38" t="n">
        <f aca="false">I633+I618</f>
        <v>0</v>
      </c>
      <c r="J634" s="38" t="n">
        <f aca="false">J633+J618</f>
        <v>1.2</v>
      </c>
      <c r="K634" s="54" t="n">
        <f aca="false">SUM(F634:J634)</f>
        <v>3.4</v>
      </c>
      <c r="L634" s="49" t="s">
        <v>609</v>
      </c>
    </row>
    <row r="635" customFormat="false" ht="15" hidden="true" customHeight="false" outlineLevel="1" collapsed="false">
      <c r="A635" s="20" t="n">
        <v>57</v>
      </c>
      <c r="B635" s="6" t="s">
        <v>610</v>
      </c>
      <c r="C635" s="20" t="s">
        <v>76</v>
      </c>
      <c r="D635" s="23"/>
      <c r="E635" s="38" t="n">
        <f aca="false">0</f>
        <v>0</v>
      </c>
      <c r="F635" s="38" t="n">
        <f aca="false">E635+F634</f>
        <v>1</v>
      </c>
      <c r="G635" s="38" t="n">
        <f aca="false">F635+G634</f>
        <v>1</v>
      </c>
      <c r="H635" s="38" t="n">
        <f aca="false">G635+H634</f>
        <v>2.2</v>
      </c>
      <c r="I635" s="38" t="n">
        <f aca="false">H635+I634</f>
        <v>2.2</v>
      </c>
      <c r="J635" s="38" t="n">
        <f aca="false">I635+J634</f>
        <v>3.4</v>
      </c>
      <c r="K635" s="23"/>
      <c r="L635" s="49" t="s">
        <v>611</v>
      </c>
    </row>
    <row r="636" customFormat="false" ht="15" hidden="true" customHeight="false" outlineLevel="1" collapsed="false">
      <c r="A636" s="20" t="n">
        <v>58</v>
      </c>
      <c r="B636" s="6" t="s">
        <v>612</v>
      </c>
      <c r="C636" s="20" t="s">
        <v>76</v>
      </c>
      <c r="D636" s="23"/>
      <c r="E636" s="38" t="n">
        <f aca="false">0</f>
        <v>0</v>
      </c>
      <c r="F636" s="38" t="n">
        <f aca="false">E636+F619</f>
        <v>0</v>
      </c>
      <c r="G636" s="38" t="n">
        <f aca="false">F636+G619</f>
        <v>1.2</v>
      </c>
      <c r="H636" s="38" t="n">
        <f aca="false">G636+H619</f>
        <v>3.6</v>
      </c>
      <c r="I636" s="38" t="n">
        <f aca="false">H636+I619</f>
        <v>6</v>
      </c>
      <c r="J636" s="38" t="n">
        <f aca="false">I636+J619</f>
        <v>9.6</v>
      </c>
      <c r="K636" s="23"/>
      <c r="L636" s="49" t="s">
        <v>611</v>
      </c>
    </row>
    <row r="637" customFormat="false" ht="15" hidden="true" customHeight="false" outlineLevel="1" collapsed="false">
      <c r="A637" s="20" t="n">
        <v>59</v>
      </c>
      <c r="B637" s="6" t="s">
        <v>613</v>
      </c>
      <c r="C637" s="20" t="s">
        <v>76</v>
      </c>
      <c r="D637" s="23"/>
      <c r="E637" s="38" t="n">
        <f aca="false">0</f>
        <v>0</v>
      </c>
      <c r="F637" s="38" t="n">
        <f aca="false">F635+F636</f>
        <v>1</v>
      </c>
      <c r="G637" s="38" t="n">
        <f aca="false">G635+G636</f>
        <v>2.2</v>
      </c>
      <c r="H637" s="38" t="n">
        <f aca="false">H635+H636</f>
        <v>5.8</v>
      </c>
      <c r="I637" s="38" t="n">
        <f aca="false">I635+I636</f>
        <v>8.2</v>
      </c>
      <c r="J637" s="38" t="n">
        <f aca="false">J635+J636</f>
        <v>13</v>
      </c>
      <c r="K637" s="23"/>
      <c r="L637" s="49" t="s">
        <v>614</v>
      </c>
    </row>
    <row r="638" customFormat="false" ht="15" hidden="true" customHeight="false" outlineLevel="1" collapsed="false">
      <c r="A638" s="20" t="n">
        <v>60</v>
      </c>
      <c r="B638" s="6" t="s">
        <v>615</v>
      </c>
      <c r="C638" s="20" t="s">
        <v>76</v>
      </c>
      <c r="D638" s="23"/>
      <c r="E638" s="23"/>
      <c r="F638" s="38" t="n">
        <f aca="false">F634+F619</f>
        <v>1</v>
      </c>
      <c r="G638" s="38" t="n">
        <f aca="false">G634+G619</f>
        <v>1.2</v>
      </c>
      <c r="H638" s="38" t="n">
        <f aca="false">H634+H619</f>
        <v>3.6</v>
      </c>
      <c r="I638" s="38" t="n">
        <f aca="false">I634+I619</f>
        <v>2.4</v>
      </c>
      <c r="J638" s="38" t="n">
        <f aca="false">J634+J619</f>
        <v>4.8</v>
      </c>
      <c r="K638" s="54" t="n">
        <f aca="false">SUM(F638:J638)</f>
        <v>13</v>
      </c>
      <c r="L638" s="49"/>
    </row>
    <row r="639" customFormat="false" ht="15" hidden="true" customHeight="false" outlineLevel="1" collapsed="false">
      <c r="A639" s="19" t="s">
        <v>616</v>
      </c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</row>
    <row r="640" customFormat="false" ht="15" hidden="true" customHeight="false" outlineLevel="1" collapsed="false">
      <c r="A640" s="20" t="n">
        <v>61</v>
      </c>
      <c r="B640" s="6" t="s">
        <v>617</v>
      </c>
      <c r="C640" s="20" t="s">
        <v>71</v>
      </c>
      <c r="D640" s="23"/>
      <c r="E640" s="23"/>
      <c r="F640" s="40" t="n">
        <f aca="false">IF(F$627&gt;$D$577,($D$579+$D$578*$D$580)*(1+$D$585)^(F$627-$D$577-1)*F628,0)</f>
        <v>0</v>
      </c>
      <c r="G640" s="40" t="n">
        <f aca="false">IF(G$627&gt;$D$577,($D$579+$D$578*$D$580)*(1+$D$585)^(G$627-$D$577-1)*G628,0)</f>
        <v>15.75</v>
      </c>
      <c r="H640" s="40" t="n">
        <f aca="false">IF(H$627&gt;$D$577,($D$579+$D$578*$D$580)*(1+$D$585)^(H$627-$D$577-1)*H628,0)</f>
        <v>19.018125</v>
      </c>
      <c r="I640" s="40" t="n">
        <f aca="false">IF(I$627&gt;$D$577,($D$579+$D$578*$D$580)*(1+$D$585)^(I$627-$D$577-1)*I628,0)</f>
        <v>22.9643859375</v>
      </c>
      <c r="J640" s="40" t="n">
        <f aca="false">IF(J$627&gt;$D$577,($D$579+$D$578*$D$580)*(1+$D$585)^(J$627-$D$577-1)*J628,0)</f>
        <v>27.7294960195313</v>
      </c>
      <c r="K640" s="51" t="n">
        <f aca="false">SUM(F640:J640)</f>
        <v>85.4620069570313</v>
      </c>
      <c r="L640" s="49" t="s">
        <v>618</v>
      </c>
    </row>
    <row r="641" customFormat="false" ht="15" hidden="true" customHeight="false" outlineLevel="1" collapsed="false">
      <c r="A641" s="20" t="n">
        <v>62</v>
      </c>
      <c r="B641" s="6" t="s">
        <v>619</v>
      </c>
      <c r="C641" s="20" t="s">
        <v>71</v>
      </c>
      <c r="D641" s="23"/>
      <c r="E641" s="23"/>
      <c r="F641" s="40" t="n">
        <f aca="false">($D$579+$D$610*$D$580)*F628*SUMPRODUCT($E$618:E$618,(1+$D$585)^(F$627-$E$627:E$627-1))</f>
        <v>0</v>
      </c>
      <c r="G641" s="40" t="n">
        <f aca="false">($D$579+$D$610*$D$580)*G628*SUMPRODUCT($E$618:F$618,(1+$D$585)^(G$627-$E$627:F$627-1))</f>
        <v>0</v>
      </c>
      <c r="H641" s="40" t="n">
        <f aca="false">($D$579+$D$610*$D$580)*H628*SUMPRODUCT($E$618:G$618,(1+$D$585)^(H$627-$E$627:G$627-1))</f>
        <v>0</v>
      </c>
      <c r="I641" s="40" t="n">
        <f aca="false">($D$579+$D$610*$D$580)*I628*SUMPRODUCT($E$618:H$618,(1+$D$585)^(I$627-$E$627:H$627-1))</f>
        <v>11.7446318181818</v>
      </c>
      <c r="J641" s="40" t="n">
        <f aca="false">($D$579+$D$610*$D$580)*J628*SUMPRODUCT($E$618:I$618,(1+$D$585)^(J$627-$E$627:I$627-1))</f>
        <v>14.1816429204545</v>
      </c>
      <c r="K641" s="51" t="n">
        <f aca="false">SUM(F641:J641)</f>
        <v>25.9262747386364</v>
      </c>
      <c r="L641" s="49" t="s">
        <v>620</v>
      </c>
    </row>
    <row r="642" customFormat="false" ht="15" hidden="true" customHeight="false" outlineLevel="1" collapsed="false">
      <c r="A642" s="20" t="n">
        <v>63</v>
      </c>
      <c r="B642" s="6" t="s">
        <v>621</v>
      </c>
      <c r="C642" s="20" t="s">
        <v>71</v>
      </c>
      <c r="D642" s="23"/>
      <c r="E642" s="23"/>
      <c r="F642" s="40" t="n">
        <f aca="false">($D$581+$D$611*$D$580)*F628*SUMPRODUCT($E$619:E$619,(1+$D$585)^(F$627-$E$627:E$627-1))</f>
        <v>0</v>
      </c>
      <c r="G642" s="40" t="n">
        <f aca="false">($D$581+$D$611*$D$580)*G628*SUMPRODUCT($E$619:F$619,(1+$D$585)^(G$627-$E$627:F$627-1))</f>
        <v>0</v>
      </c>
      <c r="H642" s="40" t="n">
        <f aca="false">($D$581+$D$611*$D$580)*H628*SUMPRODUCT($E$619:G$619,(1+$D$585)^(H$627-$E$627:G$627-1))</f>
        <v>2.170546875</v>
      </c>
      <c r="I642" s="40" t="n">
        <f aca="false">($D$581+$D$611*$D$580)*I628*SUMPRODUCT($E$619:H$619,(1+$D$585)^(I$627-$E$627:H$627-1))</f>
        <v>7.1790837890625</v>
      </c>
      <c r="J642" s="40" t="n">
        <f aca="false">($D$581+$D$611*$D$580)*J628*SUMPRODUCT($E$619:I$619,(1+$D$585)^(J$627-$E$627:I$627-1))</f>
        <v>13.454799534668</v>
      </c>
      <c r="K642" s="51" t="n">
        <f aca="false">SUM(F642:J642)</f>
        <v>22.8044301987305</v>
      </c>
      <c r="L642" s="49" t="s">
        <v>622</v>
      </c>
    </row>
    <row r="643" customFormat="false" ht="15" hidden="true" customHeight="false" outlineLevel="1" collapsed="false">
      <c r="A643" s="20" t="n">
        <v>64</v>
      </c>
      <c r="B643" s="6" t="s">
        <v>623</v>
      </c>
      <c r="C643" s="20" t="s">
        <v>71</v>
      </c>
      <c r="D643" s="23"/>
      <c r="E643" s="23"/>
      <c r="F643" s="40" t="n">
        <f aca="false">(F634*$D$582+F619*$D$583)*F628</f>
        <v>8</v>
      </c>
      <c r="G643" s="40" t="n">
        <f aca="false">(G634*$D$582+G619*$D$583)*G628</f>
        <v>2.52</v>
      </c>
      <c r="H643" s="40" t="n">
        <f aca="false">(H634*$D$582+H619*$D$583)*H628</f>
        <v>15.876</v>
      </c>
      <c r="I643" s="40" t="n">
        <f aca="false">(I634*$D$582+I619*$D$583)*I628</f>
        <v>5.5566</v>
      </c>
      <c r="J643" s="40" t="n">
        <f aca="false">(J634*$D$582+J619*$D$583)*J628</f>
        <v>20.420505</v>
      </c>
      <c r="K643" s="51" t="n">
        <f aca="false">SUM(F643:J643)</f>
        <v>52.373105</v>
      </c>
      <c r="L643" s="49" t="s">
        <v>624</v>
      </c>
    </row>
    <row r="644" customFormat="false" ht="15" hidden="true" customHeight="false" outlineLevel="1" collapsed="false">
      <c r="A644" s="20" t="n">
        <v>65</v>
      </c>
      <c r="B644" s="6" t="s">
        <v>625</v>
      </c>
      <c r="C644" s="20" t="s">
        <v>71</v>
      </c>
      <c r="D644" s="23"/>
      <c r="E644" s="23"/>
      <c r="F644" s="40" t="n">
        <f aca="false">F640+F641+F642</f>
        <v>0</v>
      </c>
      <c r="G644" s="40" t="n">
        <f aca="false">G640+G641+G642</f>
        <v>15.75</v>
      </c>
      <c r="H644" s="40" t="n">
        <f aca="false">H640+H641+H642</f>
        <v>21.188671875</v>
      </c>
      <c r="I644" s="40" t="n">
        <f aca="false">I640+I641+I642</f>
        <v>41.8881015447443</v>
      </c>
      <c r="J644" s="40" t="n">
        <f aca="false">J640+J641+J642</f>
        <v>55.3659384746538</v>
      </c>
      <c r="K644" s="51" t="n">
        <f aca="false">SUM(F644:J644)</f>
        <v>134.192711894398</v>
      </c>
      <c r="L644" s="49"/>
    </row>
    <row r="645" customFormat="false" ht="15" hidden="true" customHeight="false" outlineLevel="1" collapsed="false">
      <c r="A645" s="20" t="n">
        <v>66</v>
      </c>
      <c r="B645" s="6" t="s">
        <v>91</v>
      </c>
      <c r="C645" s="20" t="s">
        <v>71</v>
      </c>
      <c r="D645" s="23"/>
      <c r="E645" s="23"/>
      <c r="F645" s="40" t="n">
        <f aca="false">F644+F643</f>
        <v>8</v>
      </c>
      <c r="G645" s="40" t="n">
        <f aca="false">G644+G643</f>
        <v>18.27</v>
      </c>
      <c r="H645" s="40" t="n">
        <f aca="false">H644+H643</f>
        <v>37.064671875</v>
      </c>
      <c r="I645" s="40" t="n">
        <f aca="false">I644+I643</f>
        <v>47.4447015447443</v>
      </c>
      <c r="J645" s="40" t="n">
        <f aca="false">J644+J643</f>
        <v>75.7864434746538</v>
      </c>
      <c r="K645" s="51" t="n">
        <f aca="false">SUM(F645:J645)</f>
        <v>186.565816894398</v>
      </c>
      <c r="L645" s="49" t="s">
        <v>626</v>
      </c>
    </row>
    <row r="646" customFormat="false" ht="15" hidden="true" customHeight="false" outlineLevel="1" collapsed="false">
      <c r="A646" s="20" t="n">
        <v>67</v>
      </c>
      <c r="B646" s="6" t="s">
        <v>627</v>
      </c>
      <c r="C646" s="20" t="s">
        <v>55</v>
      </c>
      <c r="D646" s="23"/>
      <c r="E646" s="23"/>
      <c r="F646" s="40" t="n">
        <f aca="false">IF(F$627&gt;=$D$577,($D$579+$D$578*$D$580)*(1+$D$585)^(F$627-$D$577)*F628,0)+($D$579+$D$610*$D$580)*F628*SUMPRODUCT($E$618:F$618,(1+$D$585)^(F$627-$E$627:F$627))+($D$581+$D$611*$D$580)*F628*SUMPRODUCT($E$619:F$619,(1+$D$585)^(F$627-$E$627:F$627))</f>
        <v>15</v>
      </c>
      <c r="G646" s="40" t="n">
        <f aca="false">IF(G$627&gt;=$D$577,($D$579+$D$578*$D$580)*(1+$D$585)^(G$627-$D$577)*G628,0)+($D$579+$D$610*$D$580)*G628*SUMPRODUCT($E$618:G$618,(1+$D$585)^(G$627-$E$627:G$627))+($D$581+$D$611*$D$580)*G628*SUMPRODUCT($E$619:G$619,(1+$D$585)^(G$627-$E$627:G$627))</f>
        <v>20.1796875</v>
      </c>
      <c r="H646" s="40" t="n">
        <f aca="false">IF(H$627&gt;=$D$577,($D$579+$D$578*$D$580)*(1+$D$585)^(H$627-$D$577)*H628,0)+($D$579+$D$610*$D$580)*H628*SUMPRODUCT($E$618:H$618,(1+$D$585)^(H$627-$E$627:H$627))+($D$581+$D$611*$D$580)*H628*SUMPRODUCT($E$619:H$619,(1+$D$585)^(H$627-$E$627:H$627))</f>
        <v>39.8934300426136</v>
      </c>
      <c r="I646" s="40" t="n">
        <f aca="false">IF(I$627&gt;=$D$577,($D$579+$D$578*$D$580)*(1+$D$585)^(I$627-$D$577)*I628,0)+($D$579+$D$610*$D$580)*I628*SUMPRODUCT($E$618:I$618,(1+$D$585)^(I$627-$E$627:I$627))+($D$581+$D$611*$D$580)*I628*SUMPRODUCT($E$619:I$619,(1+$D$585)^(I$627-$E$627:I$627))</f>
        <v>52.729465213956</v>
      </c>
      <c r="J646" s="40" t="n">
        <f aca="false">IF(J$627&gt;=$D$577,($D$579+$D$578*$D$580)*(1+$D$585)^(J$627-$D$577)*J628,0)+($D$579+$D$610*$D$580)*J628*SUMPRODUCT($E$618:J$618,(1+$D$585)^(J$627-$E$627:J$627))+($D$581+$D$611*$D$580)*J628*SUMPRODUCT($E$619:J$619,(1+$D$585)^(J$627-$E$627:J$627))</f>
        <v>83.1817764440052</v>
      </c>
      <c r="K646" s="23"/>
      <c r="L646" s="49" t="s">
        <v>628</v>
      </c>
    </row>
    <row r="647" customFormat="false" ht="15" hidden="true" customHeight="false" outlineLevel="1" collapsed="false">
      <c r="A647" s="19" t="s">
        <v>629</v>
      </c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</row>
    <row r="648" customFormat="false" ht="15" hidden="true" customHeight="false" outlineLevel="1" collapsed="false">
      <c r="A648" s="20" t="n">
        <v>68</v>
      </c>
      <c r="B648" s="6" t="s">
        <v>630</v>
      </c>
      <c r="C648" s="20" t="s">
        <v>53</v>
      </c>
      <c r="D648" s="23"/>
      <c r="E648" s="40" t="n">
        <f aca="false">E620+E621+E622+E623+E624+E625</f>
        <v>2</v>
      </c>
      <c r="F648" s="40" t="n">
        <f aca="false">F620+F621+F622+F623+F624+F625</f>
        <v>4</v>
      </c>
      <c r="G648" s="40" t="n">
        <f aca="false">G620+G621+G622+G623+G624+G625</f>
        <v>5</v>
      </c>
      <c r="H648" s="40" t="n">
        <f aca="false">H620+H621+H622+H623+H624+H625</f>
        <v>6</v>
      </c>
      <c r="I648" s="40" t="n">
        <f aca="false">I620+I621+I622+I623+I624+I625</f>
        <v>7</v>
      </c>
      <c r="J648" s="40" t="n">
        <f aca="false">J620+J621+J622+J623+J624+J625</f>
        <v>8</v>
      </c>
      <c r="K648" s="23"/>
      <c r="L648" s="49" t="s">
        <v>631</v>
      </c>
    </row>
    <row r="649" customFormat="false" ht="15" hidden="true" customHeight="false" outlineLevel="1" collapsed="false">
      <c r="A649" s="20" t="n">
        <v>69</v>
      </c>
      <c r="B649" s="6" t="s">
        <v>632</v>
      </c>
      <c r="C649" s="20" t="s">
        <v>53</v>
      </c>
      <c r="D649" s="23"/>
      <c r="E649" s="23"/>
      <c r="F649" s="40" t="n">
        <f aca="false">MAX(0,F648-E648)</f>
        <v>2</v>
      </c>
      <c r="G649" s="40" t="n">
        <f aca="false">MAX(0,G648-F648)</f>
        <v>1</v>
      </c>
      <c r="H649" s="40" t="n">
        <f aca="false">MAX(0,H648-G648)</f>
        <v>1</v>
      </c>
      <c r="I649" s="40" t="n">
        <f aca="false">MAX(0,I648-H648)</f>
        <v>1</v>
      </c>
      <c r="J649" s="40" t="n">
        <f aca="false">MAX(0,J648-I648)</f>
        <v>1</v>
      </c>
      <c r="K649" s="23"/>
      <c r="L649" s="49" t="s">
        <v>633</v>
      </c>
    </row>
    <row r="650" customFormat="false" ht="15" hidden="true" customHeight="false" outlineLevel="1" collapsed="false">
      <c r="A650" s="20" t="n">
        <v>70</v>
      </c>
      <c r="B650" s="6" t="s">
        <v>634</v>
      </c>
      <c r="C650" s="20" t="s">
        <v>71</v>
      </c>
      <c r="D650" s="23"/>
      <c r="E650" s="23"/>
      <c r="F650" s="41" t="n">
        <f aca="false">$D$612*12/1000*F630</f>
        <v>2.4</v>
      </c>
      <c r="G650" s="41" t="n">
        <f aca="false">$D$612*12/1000*G630</f>
        <v>2.568</v>
      </c>
      <c r="H650" s="41" t="n">
        <f aca="false">$D$612*12/1000*H630</f>
        <v>2.74776</v>
      </c>
      <c r="I650" s="41" t="n">
        <f aca="false">$D$612*12/1000*I630</f>
        <v>2.9401032</v>
      </c>
      <c r="J650" s="41" t="n">
        <f aca="false">$D$612*12/1000*J630</f>
        <v>3.145910424</v>
      </c>
      <c r="K650" s="23"/>
      <c r="L650" s="49" t="s">
        <v>635</v>
      </c>
    </row>
    <row r="651" customFormat="false" ht="15" hidden="true" customHeight="false" outlineLevel="1" collapsed="false">
      <c r="A651" s="20" t="n">
        <v>71</v>
      </c>
      <c r="B651" s="6" t="s">
        <v>636</v>
      </c>
      <c r="C651" s="20" t="s">
        <v>71</v>
      </c>
      <c r="D651" s="23"/>
      <c r="E651" s="23"/>
      <c r="F651" s="41" t="n">
        <f aca="false">$D$613*12/1000*F630</f>
        <v>3.36</v>
      </c>
      <c r="G651" s="41" t="n">
        <f aca="false">$D$613*12/1000*G630</f>
        <v>3.5952</v>
      </c>
      <c r="H651" s="41" t="n">
        <f aca="false">$D$613*12/1000*H630</f>
        <v>3.846864</v>
      </c>
      <c r="I651" s="41" t="n">
        <f aca="false">$D$613*12/1000*I630</f>
        <v>4.11614448</v>
      </c>
      <c r="J651" s="41" t="n">
        <f aca="false">$D$613*12/1000*J630</f>
        <v>4.4042745936</v>
      </c>
      <c r="K651" s="23"/>
      <c r="L651" s="49" t="s">
        <v>635</v>
      </c>
    </row>
    <row r="652" customFormat="false" ht="15" hidden="true" customHeight="false" outlineLevel="1" collapsed="false">
      <c r="A652" s="20" t="n">
        <v>72</v>
      </c>
      <c r="B652" s="6" t="s">
        <v>637</v>
      </c>
      <c r="C652" s="20" t="s">
        <v>71</v>
      </c>
      <c r="D652" s="23"/>
      <c r="E652" s="23"/>
      <c r="F652" s="41" t="n">
        <f aca="false">$D$614*12/1000*F630</f>
        <v>2.76</v>
      </c>
      <c r="G652" s="41" t="n">
        <f aca="false">$D$614*12/1000*G630</f>
        <v>2.9532</v>
      </c>
      <c r="H652" s="41" t="n">
        <f aca="false">$D$614*12/1000*H630</f>
        <v>3.159924</v>
      </c>
      <c r="I652" s="41" t="n">
        <f aca="false">$D$614*12/1000*I630</f>
        <v>3.38111868</v>
      </c>
      <c r="J652" s="41" t="n">
        <f aca="false">$D$614*12/1000*J630</f>
        <v>3.6177969876</v>
      </c>
      <c r="K652" s="23"/>
      <c r="L652" s="49" t="s">
        <v>635</v>
      </c>
    </row>
    <row r="653" customFormat="false" ht="15" hidden="true" customHeight="false" outlineLevel="1" collapsed="false">
      <c r="A653" s="20" t="n">
        <v>73</v>
      </c>
      <c r="B653" s="6" t="s">
        <v>638</v>
      </c>
      <c r="C653" s="20" t="s">
        <v>71</v>
      </c>
      <c r="D653" s="23"/>
      <c r="E653" s="23"/>
      <c r="F653" s="41" t="n">
        <f aca="false">$D$615*12/1000*F630</f>
        <v>2.64</v>
      </c>
      <c r="G653" s="41" t="n">
        <f aca="false">$D$615*12/1000*G630</f>
        <v>2.8248</v>
      </c>
      <c r="H653" s="41" t="n">
        <f aca="false">$D$615*12/1000*H630</f>
        <v>3.022536</v>
      </c>
      <c r="I653" s="41" t="n">
        <f aca="false">$D$615*12/1000*I630</f>
        <v>3.23411352</v>
      </c>
      <c r="J653" s="41" t="n">
        <f aca="false">$D$615*12/1000*J630</f>
        <v>3.4605014664</v>
      </c>
      <c r="K653" s="23"/>
      <c r="L653" s="49" t="s">
        <v>635</v>
      </c>
    </row>
    <row r="654" customFormat="false" ht="15" hidden="true" customHeight="false" outlineLevel="1" collapsed="false">
      <c r="A654" s="20" t="n">
        <v>74</v>
      </c>
      <c r="B654" s="6" t="s">
        <v>639</v>
      </c>
      <c r="C654" s="20" t="s">
        <v>71</v>
      </c>
      <c r="D654" s="23"/>
      <c r="E654" s="23"/>
      <c r="F654" s="41" t="n">
        <f aca="false">$D$616*12/1000*F630</f>
        <v>3</v>
      </c>
      <c r="G654" s="41" t="n">
        <f aca="false">$D$616*12/1000*G630</f>
        <v>3.21</v>
      </c>
      <c r="H654" s="41" t="n">
        <f aca="false">$D$616*12/1000*H630</f>
        <v>3.4347</v>
      </c>
      <c r="I654" s="41" t="n">
        <f aca="false">$D$616*12/1000*I630</f>
        <v>3.675129</v>
      </c>
      <c r="J654" s="41" t="n">
        <f aca="false">$D$616*12/1000*J630</f>
        <v>3.93238803</v>
      </c>
      <c r="K654" s="23"/>
      <c r="L654" s="49" t="s">
        <v>635</v>
      </c>
    </row>
    <row r="655" customFormat="false" ht="15" hidden="true" customHeight="false" outlineLevel="1" collapsed="false">
      <c r="A655" s="20" t="n">
        <v>75</v>
      </c>
      <c r="B655" s="6" t="s">
        <v>640</v>
      </c>
      <c r="C655" s="20" t="s">
        <v>71</v>
      </c>
      <c r="D655" s="23"/>
      <c r="E655" s="23"/>
      <c r="F655" s="41" t="n">
        <f aca="false">$D$617*12/1000*F630</f>
        <v>2.64</v>
      </c>
      <c r="G655" s="41" t="n">
        <f aca="false">$D$617*12/1000*G630</f>
        <v>2.8248</v>
      </c>
      <c r="H655" s="41" t="n">
        <f aca="false">$D$617*12/1000*H630</f>
        <v>3.022536</v>
      </c>
      <c r="I655" s="41" t="n">
        <f aca="false">$D$617*12/1000*I630</f>
        <v>3.23411352</v>
      </c>
      <c r="J655" s="41" t="n">
        <f aca="false">$D$617*12/1000*J630</f>
        <v>3.4605014664</v>
      </c>
      <c r="K655" s="23"/>
      <c r="L655" s="49" t="s">
        <v>635</v>
      </c>
    </row>
    <row r="656" customFormat="false" ht="15" hidden="true" customHeight="false" outlineLevel="1" collapsed="false">
      <c r="A656" s="20" t="n">
        <v>76</v>
      </c>
      <c r="B656" s="6" t="s">
        <v>641</v>
      </c>
      <c r="C656" s="20" t="s">
        <v>71</v>
      </c>
      <c r="D656" s="23"/>
      <c r="E656" s="23"/>
      <c r="F656" s="40" t="n">
        <f aca="false">F620*F650</f>
        <v>4.8</v>
      </c>
      <c r="G656" s="40" t="n">
        <f aca="false">G620*G650</f>
        <v>5.136</v>
      </c>
      <c r="H656" s="40" t="n">
        <f aca="false">H620*H650</f>
        <v>5.49552</v>
      </c>
      <c r="I656" s="40" t="n">
        <f aca="false">I620*I650</f>
        <v>5.8802064</v>
      </c>
      <c r="J656" s="40" t="n">
        <f aca="false">J620*J650</f>
        <v>6.291820848</v>
      </c>
      <c r="K656" s="51" t="n">
        <f aca="false">SUM(F656:J656)</f>
        <v>27.603547248</v>
      </c>
      <c r="L656" s="49" t="s">
        <v>642</v>
      </c>
    </row>
    <row r="657" customFormat="false" ht="15" hidden="true" customHeight="false" outlineLevel="1" collapsed="false">
      <c r="A657" s="20" t="n">
        <v>77</v>
      </c>
      <c r="B657" s="6" t="s">
        <v>643</v>
      </c>
      <c r="C657" s="20" t="s">
        <v>71</v>
      </c>
      <c r="D657" s="23"/>
      <c r="E657" s="23"/>
      <c r="F657" s="40" t="n">
        <f aca="false">F621*F651</f>
        <v>3.36</v>
      </c>
      <c r="G657" s="40" t="n">
        <f aca="false">G621*G651</f>
        <v>3.5952</v>
      </c>
      <c r="H657" s="40" t="n">
        <f aca="false">H621*H651</f>
        <v>3.846864</v>
      </c>
      <c r="I657" s="40" t="n">
        <f aca="false">I621*I651</f>
        <v>8.23228896</v>
      </c>
      <c r="J657" s="40" t="n">
        <f aca="false">J621*J651</f>
        <v>8.8085491872</v>
      </c>
      <c r="K657" s="51" t="n">
        <f aca="false">SUM(F657:J657)</f>
        <v>27.8429021472</v>
      </c>
      <c r="L657" s="49" t="s">
        <v>642</v>
      </c>
    </row>
    <row r="658" customFormat="false" ht="15" hidden="true" customHeight="false" outlineLevel="1" collapsed="false">
      <c r="A658" s="20" t="n">
        <v>78</v>
      </c>
      <c r="B658" s="6" t="s">
        <v>644</v>
      </c>
      <c r="C658" s="20" t="s">
        <v>71</v>
      </c>
      <c r="D658" s="23"/>
      <c r="E658" s="23"/>
      <c r="F658" s="40" t="n">
        <f aca="false">F622*F652</f>
        <v>2.76</v>
      </c>
      <c r="G658" s="40" t="n">
        <f aca="false">G622*G652</f>
        <v>2.9532</v>
      </c>
      <c r="H658" s="40" t="n">
        <f aca="false">H622*H652</f>
        <v>3.159924</v>
      </c>
      <c r="I658" s="40" t="n">
        <f aca="false">I622*I652</f>
        <v>3.38111868</v>
      </c>
      <c r="J658" s="40" t="n">
        <f aca="false">J622*J652</f>
        <v>3.6177969876</v>
      </c>
      <c r="K658" s="51" t="n">
        <f aca="false">SUM(F658:J658)</f>
        <v>15.8720396676</v>
      </c>
      <c r="L658" s="49" t="s">
        <v>642</v>
      </c>
    </row>
    <row r="659" customFormat="false" ht="15" hidden="true" customHeight="false" outlineLevel="1" collapsed="false">
      <c r="A659" s="20" t="n">
        <v>79</v>
      </c>
      <c r="B659" s="6" t="s">
        <v>645</v>
      </c>
      <c r="C659" s="20" t="s">
        <v>71</v>
      </c>
      <c r="D659" s="23"/>
      <c r="E659" s="23"/>
      <c r="F659" s="40" t="n">
        <f aca="false">F623*F653</f>
        <v>0</v>
      </c>
      <c r="G659" s="40" t="n">
        <f aca="false">G623*G653</f>
        <v>2.8248</v>
      </c>
      <c r="H659" s="40" t="n">
        <f aca="false">H623*H653</f>
        <v>3.022536</v>
      </c>
      <c r="I659" s="40" t="n">
        <f aca="false">I623*I653</f>
        <v>3.23411352</v>
      </c>
      <c r="J659" s="40" t="n">
        <f aca="false">J623*J653</f>
        <v>3.4605014664</v>
      </c>
      <c r="K659" s="51" t="n">
        <f aca="false">SUM(F659:J659)</f>
        <v>12.5419509864</v>
      </c>
      <c r="L659" s="49" t="s">
        <v>642</v>
      </c>
    </row>
    <row r="660" customFormat="false" ht="15" hidden="true" customHeight="false" outlineLevel="1" collapsed="false">
      <c r="A660" s="20" t="n">
        <v>80</v>
      </c>
      <c r="B660" s="6" t="s">
        <v>646</v>
      </c>
      <c r="C660" s="20" t="s">
        <v>71</v>
      </c>
      <c r="D660" s="23"/>
      <c r="E660" s="23"/>
      <c r="F660" s="40" t="n">
        <f aca="false">F624*F654</f>
        <v>0</v>
      </c>
      <c r="G660" s="40" t="n">
        <f aca="false">G624*G654</f>
        <v>0</v>
      </c>
      <c r="H660" s="40" t="n">
        <f aca="false">H624*H654</f>
        <v>3.4347</v>
      </c>
      <c r="I660" s="40" t="n">
        <f aca="false">I624*I654</f>
        <v>3.675129</v>
      </c>
      <c r="J660" s="40" t="n">
        <f aca="false">J624*J654</f>
        <v>3.93238803</v>
      </c>
      <c r="K660" s="51" t="n">
        <f aca="false">SUM(F660:J660)</f>
        <v>11.04221703</v>
      </c>
      <c r="L660" s="49" t="s">
        <v>642</v>
      </c>
    </row>
    <row r="661" customFormat="false" ht="15" hidden="true" customHeight="false" outlineLevel="1" collapsed="false">
      <c r="A661" s="20" t="n">
        <v>81</v>
      </c>
      <c r="B661" s="6" t="s">
        <v>647</v>
      </c>
      <c r="C661" s="20" t="s">
        <v>71</v>
      </c>
      <c r="D661" s="23"/>
      <c r="E661" s="23"/>
      <c r="F661" s="40" t="n">
        <f aca="false">F625*F655</f>
        <v>0</v>
      </c>
      <c r="G661" s="40" t="n">
        <f aca="false">G625*G655</f>
        <v>0</v>
      </c>
      <c r="H661" s="40" t="n">
        <f aca="false">H625*H655</f>
        <v>0</v>
      </c>
      <c r="I661" s="40" t="n">
        <f aca="false">I625*I655</f>
        <v>0</v>
      </c>
      <c r="J661" s="40" t="n">
        <f aca="false">J625*J655</f>
        <v>3.4605014664</v>
      </c>
      <c r="K661" s="51" t="n">
        <f aca="false">SUM(F661:J661)</f>
        <v>3.4605014664</v>
      </c>
      <c r="L661" s="49" t="s">
        <v>642</v>
      </c>
    </row>
    <row r="662" customFormat="false" ht="15" hidden="true" customHeight="false" outlineLevel="1" collapsed="false">
      <c r="A662" s="20" t="n">
        <v>82</v>
      </c>
      <c r="B662" s="6" t="s">
        <v>648</v>
      </c>
      <c r="C662" s="20" t="s">
        <v>71</v>
      </c>
      <c r="D662" s="23"/>
      <c r="E662" s="23"/>
      <c r="F662" s="40" t="n">
        <f aca="false">F656+F657+F658+F659+F660+F661</f>
        <v>10.92</v>
      </c>
      <c r="G662" s="40" t="n">
        <f aca="false">G656+G657+G658+G659+G660+G661</f>
        <v>14.5092</v>
      </c>
      <c r="H662" s="40" t="n">
        <f aca="false">H656+H657+H658+H659+H660+H661</f>
        <v>18.959544</v>
      </c>
      <c r="I662" s="40" t="n">
        <f aca="false">I656+I657+I658+I659+I660+I661</f>
        <v>24.40285656</v>
      </c>
      <c r="J662" s="40" t="n">
        <f aca="false">J656+J657+J658+J659+J660+J661</f>
        <v>29.5715579856</v>
      </c>
      <c r="K662" s="51" t="n">
        <f aca="false">SUM(F662:J662)</f>
        <v>98.3631585456</v>
      </c>
      <c r="L662" s="49"/>
    </row>
    <row r="663" customFormat="false" ht="15" hidden="true" customHeight="false" outlineLevel="1" collapsed="false">
      <c r="A663" s="20" t="n">
        <v>83</v>
      </c>
      <c r="B663" s="6" t="s">
        <v>649</v>
      </c>
      <c r="C663" s="20" t="s">
        <v>71</v>
      </c>
      <c r="D663" s="23"/>
      <c r="E663" s="23"/>
      <c r="F663" s="40" t="n">
        <f aca="false">F620*(MIN(F650,F631)*$D$587+MAX(0,F650-F631)*$D$588+F650*$D$589)+F621*(MIN(F651,F631)*$D$587+MAX(0,F651-F631)*$D$588+F651*$D$589)+F622*(MIN(F652,F631)*$D$587+MAX(0,F652-F631)*$D$588+F652*$D$589)+F623*(MIN(F653,F631)*$D$587+MAX(0,F653-F631)*$D$588+F653*$D$589)+F624*(MIN(F654,F631)*$D$587+MAX(0,F654-F631)*$D$588+F654*$D$589)+F625*(MIN(F655,F631)*$D$587+MAX(0,F655-F631)*$D$588+F655*$D$589)</f>
        <v>1.64928168</v>
      </c>
      <c r="G663" s="40" t="n">
        <f aca="false">G620*(MIN(G650,G631)*$D$587+MAX(0,G650-G631)*$D$588+G650*$D$589)+G621*(MIN(G651,G631)*$D$587+MAX(0,G651-G631)*$D$588+G651*$D$589)+G622*(MIN(G652,G631)*$D$587+MAX(0,G652-G631)*$D$588+G652*$D$589)+G623*(MIN(G653,G631)*$D$587+MAX(0,G653-G631)*$D$588+G653*$D$589)+G624*(MIN(G654,G631)*$D$587+MAX(0,G654-G631)*$D$588+G654*$D$589)+G625*(MIN(G655,G631)*$D$587+MAX(0,G655-G631)*$D$588+G655*$D$589)</f>
        <v>2.1964818144</v>
      </c>
      <c r="H663" s="40" t="n">
        <f aca="false">H620*(MIN(H650,H631)*$D$587+MAX(0,H650-H631)*$D$588+H650*$D$589)+H621*(MIN(H651,H631)*$D$587+MAX(0,H651-H631)*$D$588+H651*$D$589)+H622*(MIN(H652,H631)*$D$587+MAX(0,H652-H631)*$D$588+H652*$D$589)+H623*(MIN(H653,H631)*$D$587+MAX(0,H653-H631)*$D$588+H653*$D$589)+H624*(MIN(H654,H631)*$D$587+MAX(0,H654-H631)*$D$588+H654*$D$589)+H625*(MIN(H655,H631)*$D$587+MAX(0,H655-H631)*$D$588+H655*$D$589)</f>
        <v>2.874881223552</v>
      </c>
      <c r="I663" s="40" t="n">
        <f aca="false">I620*(MIN(I650,I631)*$D$587+MAX(0,I650-I631)*$D$588+I650*$D$589)+I621*(MIN(I651,I631)*$D$587+MAX(0,I651-I631)*$D$588+I651*$D$589)+I622*(MIN(I652,I631)*$D$587+MAX(0,I652-I631)*$D$588+I652*$D$589)+I623*(MIN(I653,I631)*$D$587+MAX(0,I653-I631)*$D$588+I653*$D$589)+I624*(MIN(I654,I631)*$D$587+MAX(0,I654-I631)*$D$588+I654*$D$589)+I625*(MIN(I655,I631)*$D$587+MAX(0,I655-I631)*$D$588+I655*$D$589)</f>
        <v>3.69987351263232</v>
      </c>
      <c r="J663" s="40" t="n">
        <f aca="false">J620*(MIN(J650,J631)*$D$587+MAX(0,J650-J631)*$D$588+J650*$D$589)+J621*(MIN(J651,J631)*$D$587+MAX(0,J651-J631)*$D$588+J651*$D$589)+J622*(MIN(J652,J631)*$D$587+MAX(0,J652-J631)*$D$588+J652*$D$589)+J623*(MIN(J653,J631)*$D$587+MAX(0,J653-J631)*$D$588+J653*$D$589)+J624*(MIN(J654,J631)*$D$587+MAX(0,J654-J631)*$D$588+J654*$D$589)+J625*(MIN(J655,J631)*$D$587+MAX(0,J655-J631)*$D$588+J655*$D$589)</f>
        <v>4.49085916839491</v>
      </c>
      <c r="K663" s="51" t="n">
        <f aca="false">SUM(F663:J663)</f>
        <v>14.9113773989792</v>
      </c>
      <c r="L663" s="49" t="s">
        <v>650</v>
      </c>
    </row>
    <row r="664" customFormat="false" ht="15" hidden="true" customHeight="false" outlineLevel="1" collapsed="false">
      <c r="A664" s="20" t="n">
        <v>84</v>
      </c>
      <c r="B664" s="6" t="s">
        <v>651</v>
      </c>
      <c r="C664" s="20"/>
      <c r="D664" s="23"/>
      <c r="E664" s="23"/>
      <c r="F664" s="38" t="n">
        <f aca="false">IF(AND(F637&gt;0,E637=0),1,0)</f>
        <v>1</v>
      </c>
      <c r="G664" s="38" t="n">
        <f aca="false">IF(AND(G637&gt;0,F637=0),1,0)</f>
        <v>0</v>
      </c>
      <c r="H664" s="38" t="n">
        <f aca="false">IF(AND(H637&gt;0,G637=0),1,0)</f>
        <v>0</v>
      </c>
      <c r="I664" s="38" t="n">
        <f aca="false">IF(AND(I637&gt;0,H637=0),1,0)</f>
        <v>0</v>
      </c>
      <c r="J664" s="38" t="n">
        <f aca="false">IF(AND(J637&gt;0,I637=0),1,0)</f>
        <v>0</v>
      </c>
      <c r="K664" s="23"/>
      <c r="L664" s="49"/>
    </row>
    <row r="665" customFormat="false" ht="15" hidden="true" customHeight="false" outlineLevel="1" collapsed="false">
      <c r="A665" s="20" t="n">
        <v>85</v>
      </c>
      <c r="B665" s="6" t="s">
        <v>652</v>
      </c>
      <c r="C665" s="20" t="s">
        <v>71</v>
      </c>
      <c r="D665" s="23"/>
      <c r="E665" s="23"/>
      <c r="F665" s="40" t="n">
        <f aca="false">(F664*$D$592+IF(E637&gt;0,1,0)*$D$593)*F629</f>
        <v>2.5</v>
      </c>
      <c r="G665" s="40" t="n">
        <f aca="false">(G664*$D$592+IF(F637&gt;0,1,0)*$D$593)*G629</f>
        <v>1.05</v>
      </c>
      <c r="H665" s="40" t="n">
        <f aca="false">(H664*$D$592+IF(G637&gt;0,1,0)*$D$593)*H629</f>
        <v>1.1025</v>
      </c>
      <c r="I665" s="40" t="n">
        <f aca="false">(I664*$D$592+IF(H637&gt;0,1,0)*$D$593)*I629</f>
        <v>1.157625</v>
      </c>
      <c r="J665" s="40" t="n">
        <f aca="false">(J664*$D$592+IF(I637&gt;0,1,0)*$D$593)*J629</f>
        <v>1.21550625</v>
      </c>
      <c r="K665" s="51" t="n">
        <f aca="false">SUM(F665:J665)</f>
        <v>7.02563125</v>
      </c>
      <c r="L665" s="49" t="s">
        <v>653</v>
      </c>
    </row>
    <row r="666" customFormat="false" ht="15" hidden="true" customHeight="false" outlineLevel="1" collapsed="false">
      <c r="A666" s="20" t="n">
        <v>86</v>
      </c>
      <c r="B666" s="6" t="s">
        <v>302</v>
      </c>
      <c r="C666" s="20" t="s">
        <v>71</v>
      </c>
      <c r="D666" s="23"/>
      <c r="E666" s="23"/>
      <c r="F666" s="40" t="n">
        <f aca="false">$D$594*F629</f>
        <v>0.6</v>
      </c>
      <c r="G666" s="40" t="n">
        <f aca="false">$D$594*G629</f>
        <v>0.63</v>
      </c>
      <c r="H666" s="40" t="n">
        <f aca="false">$D$594*H629</f>
        <v>0.6615</v>
      </c>
      <c r="I666" s="40" t="n">
        <f aca="false">$D$594*I629</f>
        <v>0.694575</v>
      </c>
      <c r="J666" s="40" t="n">
        <f aca="false">$D$594*J629</f>
        <v>0.72930375</v>
      </c>
      <c r="K666" s="51" t="n">
        <f aca="false">SUM(F666:J666)</f>
        <v>3.31537875</v>
      </c>
      <c r="L666" s="49"/>
    </row>
    <row r="667" customFormat="false" ht="15" hidden="true" customHeight="false" outlineLevel="1" collapsed="false">
      <c r="A667" s="20" t="n">
        <v>87</v>
      </c>
      <c r="B667" s="6" t="s">
        <v>654</v>
      </c>
      <c r="C667" s="20" t="s">
        <v>71</v>
      </c>
      <c r="D667" s="23"/>
      <c r="E667" s="23"/>
      <c r="F667" s="40" t="n">
        <f aca="false">$D$595*F648*F629</f>
        <v>0.6</v>
      </c>
      <c r="G667" s="40" t="n">
        <f aca="false">$D$595*G648*G629</f>
        <v>0.7875</v>
      </c>
      <c r="H667" s="40" t="n">
        <f aca="false">$D$595*H648*H629</f>
        <v>0.99225</v>
      </c>
      <c r="I667" s="40" t="n">
        <f aca="false">$D$595*I648*I629</f>
        <v>1.21550625</v>
      </c>
      <c r="J667" s="40" t="n">
        <f aca="false">$D$595*J648*J629</f>
        <v>1.4586075</v>
      </c>
      <c r="K667" s="51" t="n">
        <f aca="false">SUM(F667:J667)</f>
        <v>5.05386375</v>
      </c>
      <c r="L667" s="49" t="s">
        <v>655</v>
      </c>
    </row>
    <row r="668" customFormat="false" ht="15" hidden="true" customHeight="false" outlineLevel="1" collapsed="false">
      <c r="A668" s="20" t="n">
        <v>88</v>
      </c>
      <c r="B668" s="6" t="s">
        <v>656</v>
      </c>
      <c r="C668" s="20" t="s">
        <v>71</v>
      </c>
      <c r="D668" s="23"/>
      <c r="E668" s="23"/>
      <c r="F668" s="40" t="n">
        <f aca="false">($D$596+$D$597*F638)*F629</f>
        <v>1.4</v>
      </c>
      <c r="G668" s="40" t="n">
        <f aca="false">($D$596+$D$597*G638)*G629</f>
        <v>1.554</v>
      </c>
      <c r="H668" s="40" t="n">
        <f aca="false">($D$596+$D$597*H638)*H629</f>
        <v>2.6901</v>
      </c>
      <c r="I668" s="40" t="n">
        <f aca="false">($D$596+$D$597*I638)*I629</f>
        <v>2.268945</v>
      </c>
      <c r="J668" s="40" t="n">
        <f aca="false">($D$596+$D$597*J638)*J629</f>
        <v>3.54927825</v>
      </c>
      <c r="K668" s="51" t="n">
        <f aca="false">SUM(F668:J668)</f>
        <v>11.46232325</v>
      </c>
      <c r="L668" s="49" t="s">
        <v>657</v>
      </c>
    </row>
    <row r="669" customFormat="false" ht="15" hidden="true" customHeight="false" outlineLevel="1" collapsed="false">
      <c r="A669" s="20" t="n">
        <v>89</v>
      </c>
      <c r="B669" s="6" t="s">
        <v>658</v>
      </c>
      <c r="C669" s="20" t="s">
        <v>71</v>
      </c>
      <c r="D669" s="23"/>
      <c r="E669" s="23"/>
      <c r="F669" s="40" t="n">
        <f aca="false">($D$598+$D$599*F648)*F629</f>
        <v>1.6</v>
      </c>
      <c r="G669" s="40" t="n">
        <f aca="false">($D$598+$D$599*G648)*G629</f>
        <v>1.785</v>
      </c>
      <c r="H669" s="40" t="n">
        <f aca="false">($D$598+$D$599*H648)*H629</f>
        <v>1.9845</v>
      </c>
      <c r="I669" s="40" t="n">
        <f aca="false">($D$598+$D$599*I648)*I629</f>
        <v>2.1994875</v>
      </c>
      <c r="J669" s="40" t="n">
        <f aca="false">($D$598+$D$599*J648)*J629</f>
        <v>2.4310125</v>
      </c>
      <c r="K669" s="51" t="n">
        <f aca="false">SUM(F669:J669)</f>
        <v>10</v>
      </c>
      <c r="L669" s="49" t="s">
        <v>659</v>
      </c>
    </row>
    <row r="670" customFormat="false" ht="15" hidden="true" customHeight="false" outlineLevel="1" collapsed="false">
      <c r="A670" s="20" t="n">
        <v>90</v>
      </c>
      <c r="B670" s="6" t="s">
        <v>660</v>
      </c>
      <c r="C670" s="20" t="s">
        <v>71</v>
      </c>
      <c r="D670" s="23"/>
      <c r="E670" s="23"/>
      <c r="F670" s="40" t="n">
        <f aca="false">$D$600*F649*F629</f>
        <v>0.5</v>
      </c>
      <c r="G670" s="40" t="n">
        <f aca="false">$D$600*G649*G629</f>
        <v>0.2625</v>
      </c>
      <c r="H670" s="40" t="n">
        <f aca="false">$D$600*H649*H629</f>
        <v>0.275625</v>
      </c>
      <c r="I670" s="40" t="n">
        <f aca="false">$D$600*I649*I629</f>
        <v>0.28940625</v>
      </c>
      <c r="J670" s="40" t="n">
        <f aca="false">$D$600*J649*J629</f>
        <v>0.3038765625</v>
      </c>
      <c r="K670" s="51" t="n">
        <f aca="false">SUM(F670:J670)</f>
        <v>1.6314078125</v>
      </c>
      <c r="L670" s="49" t="s">
        <v>661</v>
      </c>
    </row>
    <row r="671" customFormat="false" ht="15" hidden="true" customHeight="false" outlineLevel="1" collapsed="false">
      <c r="A671" s="20" t="n">
        <v>91</v>
      </c>
      <c r="B671" s="6" t="s">
        <v>570</v>
      </c>
      <c r="C671" s="20" t="s">
        <v>71</v>
      </c>
      <c r="D671" s="23"/>
      <c r="E671" s="23"/>
      <c r="F671" s="40" t="n">
        <f aca="false">IF(F$627=$F$627,$D$601,0)</f>
        <v>0.3</v>
      </c>
      <c r="G671" s="40" t="n">
        <f aca="false">IF(G$627=$F$627,$D$601,0)</f>
        <v>0</v>
      </c>
      <c r="H671" s="40" t="n">
        <f aca="false">IF(H$627=$F$627,$D$601,0)</f>
        <v>0</v>
      </c>
      <c r="I671" s="40" t="n">
        <f aca="false">IF(I$627=$F$627,$D$601,0)</f>
        <v>0</v>
      </c>
      <c r="J671" s="40" t="n">
        <f aca="false">IF(J$627=$F$627,$D$601,0)</f>
        <v>0</v>
      </c>
      <c r="K671" s="51" t="n">
        <f aca="false">SUM(F671:J671)</f>
        <v>0.3</v>
      </c>
      <c r="L671" s="49" t="s">
        <v>662</v>
      </c>
    </row>
    <row r="672" customFormat="false" ht="15" hidden="true" customHeight="false" outlineLevel="1" collapsed="false">
      <c r="A672" s="20" t="n">
        <v>92</v>
      </c>
      <c r="B672" s="6" t="s">
        <v>663</v>
      </c>
      <c r="C672" s="20" t="s">
        <v>71</v>
      </c>
      <c r="D672" s="23"/>
      <c r="E672" s="23"/>
      <c r="F672" s="40" t="n">
        <f aca="false">F662+F663+F665+F666+F667+F668+F669+F670+F671</f>
        <v>20.06928168</v>
      </c>
      <c r="G672" s="40" t="n">
        <f aca="false">G662+G663+G665+G666+G667+G668+G669+G670+G671</f>
        <v>22.7746818144</v>
      </c>
      <c r="H672" s="40" t="n">
        <f aca="false">H662+H663+H665+H666+H667+H668+H669+H670+H671</f>
        <v>29.540900223552</v>
      </c>
      <c r="I672" s="40" t="n">
        <f aca="false">I662+I663+I665+I666+I667+I668+I669+I670+I671</f>
        <v>35.9282750726323</v>
      </c>
      <c r="J672" s="40" t="n">
        <f aca="false">J662+J663+J665+J666+J667+J668+J669+J670+J671</f>
        <v>43.7500019664949</v>
      </c>
      <c r="K672" s="51" t="n">
        <f aca="false">SUM(F672:J672)</f>
        <v>152.063140757079</v>
      </c>
      <c r="L672" s="49"/>
    </row>
    <row r="673" customFormat="false" ht="15" hidden="true" customHeight="false" outlineLevel="1" collapsed="false">
      <c r="A673" s="20" t="n">
        <v>93</v>
      </c>
      <c r="B673" s="6" t="s">
        <v>329</v>
      </c>
      <c r="C673" s="20" t="s">
        <v>71</v>
      </c>
      <c r="D673" s="23"/>
      <c r="E673" s="23"/>
      <c r="F673" s="40" t="n">
        <f aca="false">F672*$D$603</f>
        <v>2.006928168</v>
      </c>
      <c r="G673" s="40" t="n">
        <f aca="false">G672*$D$603</f>
        <v>2.27746818144</v>
      </c>
      <c r="H673" s="40" t="n">
        <f aca="false">H672*$D$603</f>
        <v>2.9540900223552</v>
      </c>
      <c r="I673" s="40" t="n">
        <f aca="false">I672*$D$603</f>
        <v>3.59282750726323</v>
      </c>
      <c r="J673" s="40" t="n">
        <f aca="false">J672*$D$603</f>
        <v>4.37500019664949</v>
      </c>
      <c r="K673" s="51" t="n">
        <f aca="false">SUM(F673:J673)</f>
        <v>15.2063140757079</v>
      </c>
      <c r="L673" s="49"/>
    </row>
    <row r="674" customFormat="false" ht="15" hidden="true" customHeight="false" outlineLevel="1" collapsed="false">
      <c r="A674" s="20" t="n">
        <v>94</v>
      </c>
      <c r="B674" s="6" t="s">
        <v>664</v>
      </c>
      <c r="C674" s="20" t="s">
        <v>71</v>
      </c>
      <c r="D674" s="23"/>
      <c r="E674" s="23"/>
      <c r="F674" s="40" t="n">
        <f aca="false">F672+F673</f>
        <v>22.076209848</v>
      </c>
      <c r="G674" s="40" t="n">
        <f aca="false">G672+G673</f>
        <v>25.05214999584</v>
      </c>
      <c r="H674" s="40" t="n">
        <f aca="false">H672+H673</f>
        <v>32.4949902459072</v>
      </c>
      <c r="I674" s="40" t="n">
        <f aca="false">I672+I673</f>
        <v>39.5211025798956</v>
      </c>
      <c r="J674" s="40" t="n">
        <f aca="false">J672+J673</f>
        <v>48.1250021631444</v>
      </c>
      <c r="K674" s="51" t="n">
        <f aca="false">SUM(F674:J674)</f>
        <v>167.269454832787</v>
      </c>
      <c r="L674" s="49"/>
    </row>
    <row r="675" customFormat="false" ht="15" hidden="true" customHeight="false" outlineLevel="1" collapsed="false">
      <c r="A675" s="19" t="s">
        <v>665</v>
      </c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</row>
    <row r="676" customFormat="false" ht="15" hidden="true" customHeight="false" outlineLevel="1" collapsed="false">
      <c r="A676" s="20" t="n">
        <v>95</v>
      </c>
      <c r="B676" s="6" t="s">
        <v>666</v>
      </c>
      <c r="C676" s="20" t="s">
        <v>71</v>
      </c>
      <c r="D676" s="23"/>
      <c r="E676" s="23"/>
      <c r="F676" s="40" t="n">
        <f aca="false">F645-F674</f>
        <v>-14.076209848</v>
      </c>
      <c r="G676" s="40" t="n">
        <f aca="false">G645-G674</f>
        <v>-6.78214999584</v>
      </c>
      <c r="H676" s="40" t="n">
        <f aca="false">H645-H674</f>
        <v>4.5696816290928</v>
      </c>
      <c r="I676" s="40" t="n">
        <f aca="false">I645-I674</f>
        <v>7.92359896484878</v>
      </c>
      <c r="J676" s="40" t="n">
        <f aca="false">J645-J674</f>
        <v>27.6614413115094</v>
      </c>
      <c r="K676" s="51" t="n">
        <f aca="false">SUM(F676:J676)</f>
        <v>19.2963620616109</v>
      </c>
      <c r="L676" s="49" t="s">
        <v>667</v>
      </c>
    </row>
    <row r="677" customFormat="false" ht="15" hidden="true" customHeight="false" outlineLevel="1" collapsed="false">
      <c r="A677" s="20" t="n">
        <v>96</v>
      </c>
      <c r="B677" s="6" t="s">
        <v>668</v>
      </c>
      <c r="C677" s="20" t="s">
        <v>68</v>
      </c>
      <c r="D677" s="23"/>
      <c r="E677" s="23"/>
      <c r="F677" s="44" t="n">
        <f aca="false">IF(F645&gt;0,F676/F645,0)</f>
        <v>-1.759526231</v>
      </c>
      <c r="G677" s="44" t="n">
        <f aca="false">IF(G645&gt;0,G676/G645,0)</f>
        <v>-0.371217843231527</v>
      </c>
      <c r="H677" s="44" t="n">
        <f aca="false">IF(H645&gt;0,H676/H645,0)</f>
        <v>0.123289412746023</v>
      </c>
      <c r="I677" s="44" t="n">
        <f aca="false">IF(I645&gt;0,I676/I645,0)</f>
        <v>0.167007035704001</v>
      </c>
      <c r="J677" s="44" t="n">
        <f aca="false">IF(J645&gt;0,J676/J645,0)</f>
        <v>0.364991943720918</v>
      </c>
      <c r="K677" s="23"/>
      <c r="L677" s="49"/>
    </row>
    <row r="678" customFormat="false" ht="15" hidden="true" customHeight="false" outlineLevel="1" collapsed="false">
      <c r="A678" s="20" t="n">
        <v>97</v>
      </c>
      <c r="B678" s="6" t="s">
        <v>669</v>
      </c>
      <c r="C678" s="20" t="s">
        <v>71</v>
      </c>
      <c r="D678" s="23"/>
      <c r="E678" s="23"/>
      <c r="F678" s="40" t="n">
        <f aca="false">E682</f>
        <v>0</v>
      </c>
      <c r="G678" s="40" t="n">
        <f aca="false">F682</f>
        <v>14.076209848</v>
      </c>
      <c r="H678" s="40" t="n">
        <f aca="false">G682</f>
        <v>20.85835984384</v>
      </c>
      <c r="I678" s="40" t="n">
        <f aca="false">H682</f>
        <v>18.5735190292936</v>
      </c>
      <c r="J678" s="40" t="n">
        <f aca="false">I682</f>
        <v>14.6117195468692</v>
      </c>
      <c r="K678" s="23"/>
      <c r="L678" s="49"/>
    </row>
    <row r="679" customFormat="false" ht="15" hidden="true" customHeight="false" outlineLevel="1" collapsed="false">
      <c r="A679" s="20" t="n">
        <v>98</v>
      </c>
      <c r="B679" s="6" t="s">
        <v>670</v>
      </c>
      <c r="C679" s="20" t="s">
        <v>71</v>
      </c>
      <c r="D679" s="23"/>
      <c r="E679" s="23"/>
      <c r="F679" s="40" t="n">
        <f aca="false">MIN(F678,MAX(0,F676)*$D$605)</f>
        <v>0</v>
      </c>
      <c r="G679" s="40" t="n">
        <f aca="false">MIN(G678,MAX(0,G676)*$D$605)</f>
        <v>0</v>
      </c>
      <c r="H679" s="40" t="n">
        <f aca="false">MIN(H678,MAX(0,H676)*$D$605)</f>
        <v>2.2848408145464</v>
      </c>
      <c r="I679" s="40" t="n">
        <f aca="false">MIN(I678,MAX(0,I676)*$D$605)</f>
        <v>3.96179948242439</v>
      </c>
      <c r="J679" s="40" t="n">
        <f aca="false">MIN(J678,MAX(0,J676)*$D$605)</f>
        <v>13.8307206557547</v>
      </c>
      <c r="K679" s="23"/>
      <c r="L679" s="49" t="s">
        <v>671</v>
      </c>
    </row>
    <row r="680" customFormat="false" ht="15" hidden="true" customHeight="false" outlineLevel="1" collapsed="false">
      <c r="A680" s="20" t="n">
        <v>99</v>
      </c>
      <c r="B680" s="6" t="s">
        <v>672</v>
      </c>
      <c r="C680" s="20" t="s">
        <v>71</v>
      </c>
      <c r="D680" s="23"/>
      <c r="E680" s="23"/>
      <c r="F680" s="40" t="n">
        <f aca="false">MAX(0,F676)-F679</f>
        <v>0</v>
      </c>
      <c r="G680" s="40" t="n">
        <f aca="false">MAX(0,G676)-G679</f>
        <v>0</v>
      </c>
      <c r="H680" s="40" t="n">
        <f aca="false">MAX(0,H676)-H679</f>
        <v>2.2848408145464</v>
      </c>
      <c r="I680" s="40" t="n">
        <f aca="false">MAX(0,I676)-I679</f>
        <v>3.96179948242439</v>
      </c>
      <c r="J680" s="40" t="n">
        <f aca="false">MAX(0,J676)-J679</f>
        <v>13.8307206557547</v>
      </c>
      <c r="K680" s="23"/>
      <c r="L680" s="49"/>
    </row>
    <row r="681" customFormat="false" ht="15" hidden="true" customHeight="false" outlineLevel="1" collapsed="false">
      <c r="A681" s="20" t="n">
        <v>100</v>
      </c>
      <c r="B681" s="6" t="s">
        <v>572</v>
      </c>
      <c r="C681" s="20" t="s">
        <v>71</v>
      </c>
      <c r="D681" s="23"/>
      <c r="E681" s="23"/>
      <c r="F681" s="40" t="n">
        <f aca="false">F680*$D$604</f>
        <v>0</v>
      </c>
      <c r="G681" s="40" t="n">
        <f aca="false">G680*$D$604</f>
        <v>0</v>
      </c>
      <c r="H681" s="40" t="n">
        <f aca="false">H680*$D$604</f>
        <v>0.11424204072732</v>
      </c>
      <c r="I681" s="40" t="n">
        <f aca="false">I680*$D$604</f>
        <v>0.198089974121219</v>
      </c>
      <c r="J681" s="40" t="n">
        <f aca="false">J680*$D$604</f>
        <v>0.691536032787734</v>
      </c>
      <c r="K681" s="51" t="n">
        <f aca="false">SUM(F681:J681)</f>
        <v>1.00386804763627</v>
      </c>
      <c r="L681" s="49"/>
    </row>
    <row r="682" customFormat="false" ht="15" hidden="true" customHeight="false" outlineLevel="1" collapsed="false">
      <c r="A682" s="20" t="n">
        <v>101</v>
      </c>
      <c r="B682" s="6" t="s">
        <v>673</v>
      </c>
      <c r="C682" s="20" t="s">
        <v>71</v>
      </c>
      <c r="D682" s="23"/>
      <c r="E682" s="40" t="n">
        <f aca="false">0</f>
        <v>0</v>
      </c>
      <c r="F682" s="40" t="n">
        <f aca="false">F678-F679+MAX(0,-F676)</f>
        <v>14.076209848</v>
      </c>
      <c r="G682" s="40" t="n">
        <f aca="false">G678-G679+MAX(0,-G676)</f>
        <v>20.85835984384</v>
      </c>
      <c r="H682" s="40" t="n">
        <f aca="false">H678-H679+MAX(0,-H676)</f>
        <v>18.5735190292936</v>
      </c>
      <c r="I682" s="40" t="n">
        <f aca="false">I678-I679+MAX(0,-I676)</f>
        <v>14.6117195468692</v>
      </c>
      <c r="J682" s="40" t="n">
        <f aca="false">J678-J679+MAX(0,-J676)</f>
        <v>0.780998891114525</v>
      </c>
      <c r="K682" s="23"/>
      <c r="L682" s="49"/>
    </row>
    <row r="683" customFormat="false" ht="15" hidden="true" customHeight="false" outlineLevel="1" collapsed="false">
      <c r="A683" s="20" t="n">
        <v>102</v>
      </c>
      <c r="B683" s="6" t="s">
        <v>674</v>
      </c>
      <c r="C683" s="20" t="s">
        <v>71</v>
      </c>
      <c r="D683" s="23"/>
      <c r="E683" s="23"/>
      <c r="F683" s="40" t="n">
        <f aca="false">F676-F681</f>
        <v>-14.076209848</v>
      </c>
      <c r="G683" s="40" t="n">
        <f aca="false">G676-G681</f>
        <v>-6.78214999584</v>
      </c>
      <c r="H683" s="40" t="n">
        <f aca="false">H676-H681</f>
        <v>4.45543958836548</v>
      </c>
      <c r="I683" s="40" t="n">
        <f aca="false">I676-I681</f>
        <v>7.72550899072756</v>
      </c>
      <c r="J683" s="40" t="n">
        <f aca="false">J676-J681</f>
        <v>26.9699052787216</v>
      </c>
      <c r="K683" s="51" t="n">
        <f aca="false">SUM(F683:J683)</f>
        <v>18.2924940139747</v>
      </c>
      <c r="L683" s="49"/>
    </row>
    <row r="684" customFormat="false" ht="15" hidden="true" customHeight="false" outlineLevel="1" collapsed="false">
      <c r="A684" s="19" t="s">
        <v>675</v>
      </c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</row>
    <row r="685" customFormat="false" ht="15" hidden="true" customHeight="false" outlineLevel="1" collapsed="false">
      <c r="A685" s="20" t="n">
        <v>103</v>
      </c>
      <c r="B685" s="6" t="s">
        <v>676</v>
      </c>
      <c r="C685" s="20" t="s">
        <v>71</v>
      </c>
      <c r="D685" s="23"/>
      <c r="E685" s="40" t="n">
        <f aca="false">0</f>
        <v>0</v>
      </c>
      <c r="F685" s="40" t="n">
        <f aca="false">F645*$D$606/365</f>
        <v>1.97260273972603</v>
      </c>
      <c r="G685" s="40" t="n">
        <f aca="false">G645*$D$606/365</f>
        <v>4.50493150684931</v>
      </c>
      <c r="H685" s="40" t="n">
        <f aca="false">H645*$D$606/365</f>
        <v>9.13923416095891</v>
      </c>
      <c r="I685" s="40" t="n">
        <f aca="false">I645*$D$606/365</f>
        <v>11.6986935315808</v>
      </c>
      <c r="J685" s="40" t="n">
        <f aca="false">J645*$D$606/365</f>
        <v>18.6870682540242</v>
      </c>
      <c r="K685" s="23"/>
      <c r="L685" s="49" t="s">
        <v>677</v>
      </c>
    </row>
    <row r="686" customFormat="false" ht="15" hidden="true" customHeight="false" outlineLevel="1" collapsed="false">
      <c r="A686" s="20" t="n">
        <v>104</v>
      </c>
      <c r="B686" s="6" t="s">
        <v>678</v>
      </c>
      <c r="C686" s="20" t="s">
        <v>71</v>
      </c>
      <c r="D686" s="23"/>
      <c r="E686" s="23"/>
      <c r="F686" s="40" t="n">
        <f aca="false">F685-E685</f>
        <v>1.97260273972603</v>
      </c>
      <c r="G686" s="40" t="n">
        <f aca="false">G685-F685</f>
        <v>2.53232876712329</v>
      </c>
      <c r="H686" s="40" t="n">
        <f aca="false">H685-G685</f>
        <v>4.63430265410959</v>
      </c>
      <c r="I686" s="40" t="n">
        <f aca="false">I685-H685</f>
        <v>2.55945937062189</v>
      </c>
      <c r="J686" s="40" t="n">
        <f aca="false">J685-I685</f>
        <v>6.98837472244342</v>
      </c>
      <c r="K686" s="51" t="n">
        <f aca="false">SUM(F686:J686)</f>
        <v>18.6870682540242</v>
      </c>
      <c r="L686" s="49"/>
    </row>
    <row r="687" customFormat="false" ht="15" hidden="true" customHeight="false" outlineLevel="1" collapsed="false">
      <c r="A687" s="20" t="n">
        <v>105</v>
      </c>
      <c r="B687" s="6" t="s">
        <v>679</v>
      </c>
      <c r="C687" s="20" t="s">
        <v>71</v>
      </c>
      <c r="D687" s="23"/>
      <c r="E687" s="23"/>
      <c r="F687" s="40" t="n">
        <f aca="false">F683-F686</f>
        <v>-16.048812587726</v>
      </c>
      <c r="G687" s="40" t="n">
        <f aca="false">G683-G686</f>
        <v>-9.31447876296329</v>
      </c>
      <c r="H687" s="40" t="n">
        <f aca="false">H683-H686</f>
        <v>-0.178863065744112</v>
      </c>
      <c r="I687" s="40" t="n">
        <f aca="false">I683-I686</f>
        <v>5.16604962010567</v>
      </c>
      <c r="J687" s="40" t="n">
        <f aca="false">J683-J686</f>
        <v>19.9815305562782</v>
      </c>
      <c r="K687" s="51" t="n">
        <f aca="false">SUM(F687:J687)</f>
        <v>-0.394574240049543</v>
      </c>
      <c r="L687" s="49" t="s">
        <v>680</v>
      </c>
    </row>
    <row r="688" customFormat="false" ht="15" hidden="true" customHeight="false" outlineLevel="1" collapsed="false">
      <c r="A688" s="20" t="n">
        <v>106</v>
      </c>
      <c r="B688" s="6" t="s">
        <v>93</v>
      </c>
      <c r="C688" s="20" t="s">
        <v>71</v>
      </c>
      <c r="D688" s="23"/>
      <c r="E688" s="40" t="n">
        <f aca="false">0</f>
        <v>0</v>
      </c>
      <c r="F688" s="40" t="n">
        <f aca="false">E688+F687</f>
        <v>-16.048812587726</v>
      </c>
      <c r="G688" s="40" t="n">
        <f aca="false">F688+G687</f>
        <v>-25.3632913506893</v>
      </c>
      <c r="H688" s="40" t="n">
        <f aca="false">G688+H687</f>
        <v>-25.5421544164334</v>
      </c>
      <c r="I688" s="40" t="n">
        <f aca="false">H688+I687</f>
        <v>-20.3761047963278</v>
      </c>
      <c r="J688" s="40" t="n">
        <f aca="false">I688+J687</f>
        <v>-0.39457424004954</v>
      </c>
      <c r="K688" s="23"/>
      <c r="L688" s="49" t="s">
        <v>681</v>
      </c>
    </row>
    <row r="689" customFormat="false" ht="15" hidden="true" customHeight="false" outlineLevel="1" collapsed="false">
      <c r="A689" s="20" t="n">
        <v>107</v>
      </c>
      <c r="B689" s="6" t="s">
        <v>682</v>
      </c>
      <c r="C689" s="20"/>
      <c r="D689" s="23"/>
      <c r="E689" s="23"/>
      <c r="F689" s="53" t="n">
        <f aca="false">1/(1+$D$607)^(F$627-$E$627)</f>
        <v>0.769230769230769</v>
      </c>
      <c r="G689" s="53" t="n">
        <f aca="false">1/(1+$D$607)^(G$627-$E$627)</f>
        <v>0.591715976331361</v>
      </c>
      <c r="H689" s="53" t="n">
        <f aca="false">1/(1+$D$607)^(H$627-$E$627)</f>
        <v>0.455166135639508</v>
      </c>
      <c r="I689" s="53" t="n">
        <f aca="false">1/(1+$D$607)^(I$627-$E$627)</f>
        <v>0.350127796645776</v>
      </c>
      <c r="J689" s="53" t="n">
        <f aca="false">1/(1+$D$607)^(J$627-$E$627)</f>
        <v>0.269329074342904</v>
      </c>
      <c r="K689" s="23"/>
      <c r="L689" s="49" t="s">
        <v>683</v>
      </c>
    </row>
    <row r="690" customFormat="false" ht="15" hidden="true" customHeight="false" outlineLevel="1" collapsed="false">
      <c r="A690" s="20" t="n">
        <v>108</v>
      </c>
      <c r="B690" s="6" t="s">
        <v>684</v>
      </c>
      <c r="C690" s="20" t="s">
        <v>71</v>
      </c>
      <c r="D690" s="23"/>
      <c r="E690" s="23"/>
      <c r="F690" s="40" t="n">
        <f aca="false">F687*F689</f>
        <v>-12.3452404520969</v>
      </c>
      <c r="G690" s="40" t="n">
        <f aca="false">G687*G689</f>
        <v>-5.51152589524455</v>
      </c>
      <c r="H690" s="40" t="n">
        <f aca="false">H687*H689</f>
        <v>-0.0814124104433829</v>
      </c>
      <c r="I690" s="40" t="n">
        <f aca="false">I687*I689</f>
        <v>1.80877757085035</v>
      </c>
      <c r="J690" s="40" t="n">
        <f aca="false">J687*J689</f>
        <v>5.38160712867687</v>
      </c>
      <c r="K690" s="51" t="n">
        <f aca="false">SUM(F690:J690)</f>
        <v>-10.7477940582577</v>
      </c>
      <c r="L690" s="49"/>
    </row>
    <row r="691" customFormat="false" ht="15" hidden="true" customHeight="false" outlineLevel="1" collapsed="false">
      <c r="A691" s="20" t="n">
        <v>109</v>
      </c>
      <c r="B691" s="6" t="s">
        <v>685</v>
      </c>
      <c r="C691" s="20" t="s">
        <v>71</v>
      </c>
      <c r="D691" s="23"/>
      <c r="E691" s="23"/>
      <c r="F691" s="40" t="n">
        <f aca="false">IF(F$627=$J$627,MAX(0,F687)*(1+$D$608)/($D$607-$D$608),0)</f>
        <v>0</v>
      </c>
      <c r="G691" s="40" t="n">
        <f aca="false">IF(G$627=$J$627,MAX(0,G687)*(1+$D$608)/($D$607-$D$608),0)</f>
        <v>0</v>
      </c>
      <c r="H691" s="40" t="n">
        <f aca="false">IF(H$627=$J$627,MAX(0,H687)*(1+$D$608)/($D$607-$D$608),0)</f>
        <v>0</v>
      </c>
      <c r="I691" s="40" t="n">
        <f aca="false">IF(I$627=$J$627,MAX(0,I687)*(1+$D$608)/($D$607-$D$608),0)</f>
        <v>0</v>
      </c>
      <c r="J691" s="40" t="n">
        <f aca="false">IF(J$627=$J$627,MAX(0,J687)*(1+$D$608)/($D$607-$D$608),0)</f>
        <v>79.9261222251128</v>
      </c>
      <c r="K691" s="23"/>
      <c r="L691" s="49" t="s">
        <v>686</v>
      </c>
    </row>
    <row r="692" customFormat="false" ht="15" hidden="true" customHeight="false" outlineLevel="1" collapsed="false">
      <c r="A692" s="20" t="n">
        <v>110</v>
      </c>
      <c r="B692" s="6" t="s">
        <v>687</v>
      </c>
      <c r="C692" s="20" t="s">
        <v>71</v>
      </c>
      <c r="D692" s="23"/>
      <c r="E692" s="23"/>
      <c r="F692" s="40" t="n">
        <f aca="false">F691*F689</f>
        <v>0</v>
      </c>
      <c r="G692" s="40" t="n">
        <f aca="false">G691*G689</f>
        <v>0</v>
      </c>
      <c r="H692" s="40" t="n">
        <f aca="false">H691*H689</f>
        <v>0</v>
      </c>
      <c r="I692" s="40" t="n">
        <f aca="false">I691*I689</f>
        <v>0</v>
      </c>
      <c r="J692" s="40" t="n">
        <f aca="false">J691*J689</f>
        <v>21.5264285147075</v>
      </c>
      <c r="K692" s="51" t="n">
        <f aca="false">SUM(F692:J692)</f>
        <v>21.5264285147075</v>
      </c>
      <c r="L692" s="49"/>
    </row>
    <row r="693" customFormat="false" ht="15" hidden="true" customHeight="false" outlineLevel="1" collapsed="false">
      <c r="A693" s="20" t="n">
        <v>111</v>
      </c>
      <c r="B693" s="6" t="s">
        <v>688</v>
      </c>
      <c r="C693" s="20" t="s">
        <v>71</v>
      </c>
      <c r="D693" s="23"/>
      <c r="E693" s="23"/>
      <c r="F693" s="40" t="n">
        <f aca="false">F687+F691</f>
        <v>-16.048812587726</v>
      </c>
      <c r="G693" s="40" t="n">
        <f aca="false">G687+G691</f>
        <v>-9.31447876296329</v>
      </c>
      <c r="H693" s="40" t="n">
        <f aca="false">H687+H691</f>
        <v>-0.178863065744112</v>
      </c>
      <c r="I693" s="40" t="n">
        <f aca="false">I687+I691</f>
        <v>5.16604962010567</v>
      </c>
      <c r="J693" s="40" t="n">
        <f aca="false">J687+J691</f>
        <v>99.9076527813911</v>
      </c>
      <c r="K693" s="23"/>
      <c r="L693" s="49" t="s">
        <v>689</v>
      </c>
    </row>
    <row r="694" customFormat="false" ht="15" hidden="true" customHeight="false" outlineLevel="1" collapsed="false">
      <c r="A694" s="20" t="n">
        <v>112</v>
      </c>
      <c r="B694" s="6" t="s">
        <v>690</v>
      </c>
      <c r="C694" s="20"/>
      <c r="D694" s="23"/>
      <c r="E694" s="23"/>
      <c r="F694" s="52" t="str">
        <f aca="false">IF(AND(F676&gt;0,COUNTIF($F$676:F$676,"&gt;0")=1),F$627,"")</f>
        <v/>
      </c>
      <c r="G694" s="52" t="str">
        <f aca="false">IF(AND(G676&gt;0,COUNTIF($F$676:G$676,"&gt;0")=1),G$627,"")</f>
        <v/>
      </c>
      <c r="H694" s="52" t="n">
        <f aca="false">IF(AND(H676&gt;0,COUNTIF($F$676:H$676,"&gt;0")=1),H$627,"")</f>
        <v>2029</v>
      </c>
      <c r="I694" s="52" t="str">
        <f aca="false">IF(AND(I676&gt;0,COUNTIF($F$676:I$676,"&gt;0")=1),I$627,"")</f>
        <v/>
      </c>
      <c r="J694" s="52" t="str">
        <f aca="false">IF(AND(J676&gt;0,COUNTIF($F$676:J$676,"&gt;0")=1),J$627,"")</f>
        <v/>
      </c>
      <c r="K694" s="23"/>
      <c r="L694" s="49" t="s">
        <v>691</v>
      </c>
    </row>
    <row r="695" customFormat="false" ht="15" hidden="true" customHeight="false" outlineLevel="1" collapsed="false">
      <c r="A695" s="20" t="n">
        <v>113</v>
      </c>
      <c r="B695" s="6" t="s">
        <v>692</v>
      </c>
      <c r="C695" s="20"/>
      <c r="D695" s="23"/>
      <c r="E695" s="23"/>
      <c r="F695" s="52" t="str">
        <f aca="false">IF(AND(F688&gt;0,COUNTIF($F$688:F$688,"&gt;0")=1),F$627,"")</f>
        <v/>
      </c>
      <c r="G695" s="52" t="str">
        <f aca="false">IF(AND(G688&gt;0,COUNTIF($F$688:G$688,"&gt;0")=1),G$627,"")</f>
        <v/>
      </c>
      <c r="H695" s="52" t="str">
        <f aca="false">IF(AND(H688&gt;0,COUNTIF($F$688:H$688,"&gt;0")=1),H$627,"")</f>
        <v/>
      </c>
      <c r="I695" s="52" t="str">
        <f aca="false">IF(AND(I688&gt;0,COUNTIF($F$688:I$688,"&gt;0")=1),I$627,"")</f>
        <v/>
      </c>
      <c r="J695" s="52" t="str">
        <f aca="false">IF(AND(J688&gt;0,COUNTIF($F$688:J$688,"&gt;0")=1),J$627,"")</f>
        <v/>
      </c>
      <c r="K695" s="23"/>
      <c r="L695" s="49" t="s">
        <v>691</v>
      </c>
    </row>
    <row r="696" customFormat="false" ht="15" hidden="true" customHeight="false" outlineLevel="1" collapsed="false">
      <c r="A696" s="19" t="s">
        <v>693</v>
      </c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</row>
    <row r="697" customFormat="false" ht="15" hidden="true" customHeight="false" outlineLevel="1" collapsed="false">
      <c r="A697" s="20" t="n">
        <v>114</v>
      </c>
      <c r="B697" s="6" t="s">
        <v>70</v>
      </c>
      <c r="C697" s="20" t="s">
        <v>71</v>
      </c>
      <c r="D697" s="51" t="n">
        <f aca="false">SUM(F645:J645)</f>
        <v>186.565816894398</v>
      </c>
      <c r="E697" s="23"/>
      <c r="F697" s="23"/>
      <c r="G697" s="23"/>
      <c r="H697" s="23"/>
      <c r="I697" s="23"/>
      <c r="J697" s="23"/>
      <c r="K697" s="23"/>
      <c r="L697" s="49"/>
    </row>
    <row r="698" customFormat="false" ht="15" hidden="true" customHeight="false" outlineLevel="1" collapsed="false">
      <c r="A698" s="20" t="n">
        <v>115</v>
      </c>
      <c r="B698" s="6" t="s">
        <v>694</v>
      </c>
      <c r="C698" s="20" t="s">
        <v>71</v>
      </c>
      <c r="D698" s="51" t="n">
        <f aca="false">J645</f>
        <v>75.7864434746538</v>
      </c>
      <c r="E698" s="23"/>
      <c r="F698" s="23"/>
      <c r="G698" s="23"/>
      <c r="H698" s="23"/>
      <c r="I698" s="23"/>
      <c r="J698" s="23"/>
      <c r="K698" s="23"/>
      <c r="L698" s="49"/>
    </row>
    <row r="699" customFormat="false" ht="15" hidden="true" customHeight="false" outlineLevel="1" collapsed="false">
      <c r="A699" s="20" t="n">
        <v>116</v>
      </c>
      <c r="B699" s="6" t="s">
        <v>695</v>
      </c>
      <c r="C699" s="20" t="s">
        <v>71</v>
      </c>
      <c r="D699" s="51" t="n">
        <f aca="false">J646</f>
        <v>83.1817764440052</v>
      </c>
      <c r="E699" s="23"/>
      <c r="F699" s="23"/>
      <c r="G699" s="23"/>
      <c r="H699" s="23"/>
      <c r="I699" s="23"/>
      <c r="J699" s="23"/>
      <c r="K699" s="23"/>
      <c r="L699" s="49"/>
    </row>
    <row r="700" customFormat="false" ht="15" hidden="true" customHeight="false" outlineLevel="1" collapsed="false">
      <c r="A700" s="20" t="n">
        <v>117</v>
      </c>
      <c r="B700" s="6" t="s">
        <v>696</v>
      </c>
      <c r="C700" s="20" t="s">
        <v>71</v>
      </c>
      <c r="D700" s="51" t="n">
        <f aca="false">J676</f>
        <v>27.6614413115094</v>
      </c>
      <c r="E700" s="23"/>
      <c r="F700" s="23"/>
      <c r="G700" s="23"/>
      <c r="H700" s="23"/>
      <c r="I700" s="23"/>
      <c r="J700" s="23"/>
      <c r="K700" s="23"/>
      <c r="L700" s="49"/>
    </row>
    <row r="701" customFormat="false" ht="15" hidden="true" customHeight="false" outlineLevel="1" collapsed="false">
      <c r="A701" s="20" t="n">
        <v>118</v>
      </c>
      <c r="B701" s="6" t="s">
        <v>697</v>
      </c>
      <c r="C701" s="20" t="s">
        <v>76</v>
      </c>
      <c r="D701" s="54" t="n">
        <f aca="false">J637</f>
        <v>13</v>
      </c>
      <c r="E701" s="23"/>
      <c r="F701" s="23"/>
      <c r="G701" s="23"/>
      <c r="H701" s="23"/>
      <c r="I701" s="23"/>
      <c r="J701" s="23"/>
      <c r="K701" s="23"/>
      <c r="L701" s="49"/>
    </row>
    <row r="702" customFormat="false" ht="15" hidden="true" customHeight="false" outlineLevel="1" collapsed="false">
      <c r="A702" s="20" t="n">
        <v>119</v>
      </c>
      <c r="B702" s="6" t="s">
        <v>698</v>
      </c>
      <c r="C702" s="20" t="s">
        <v>53</v>
      </c>
      <c r="D702" s="51" t="n">
        <f aca="false">J648</f>
        <v>8</v>
      </c>
      <c r="E702" s="23"/>
      <c r="F702" s="23"/>
      <c r="G702" s="23"/>
      <c r="H702" s="23"/>
      <c r="I702" s="23"/>
      <c r="J702" s="23"/>
      <c r="K702" s="23"/>
      <c r="L702" s="49"/>
    </row>
    <row r="703" customFormat="false" ht="15" hidden="true" customHeight="false" outlineLevel="1" collapsed="false">
      <c r="A703" s="20" t="n">
        <v>120</v>
      </c>
      <c r="B703" s="6" t="s">
        <v>699</v>
      </c>
      <c r="C703" s="20" t="s">
        <v>71</v>
      </c>
      <c r="D703" s="51" t="n">
        <f aca="false">MIN(0,MIN(F688:J688))</f>
        <v>-25.5421544164334</v>
      </c>
      <c r="E703" s="23"/>
      <c r="F703" s="23"/>
      <c r="G703" s="23"/>
      <c r="H703" s="23"/>
      <c r="I703" s="23"/>
      <c r="J703" s="23"/>
      <c r="K703" s="23"/>
      <c r="L703" s="49"/>
    </row>
    <row r="704" customFormat="false" ht="15" hidden="true" customHeight="false" outlineLevel="1" collapsed="false">
      <c r="A704" s="20" t="n">
        <v>121</v>
      </c>
      <c r="B704" s="6" t="s">
        <v>700</v>
      </c>
      <c r="C704" s="20" t="s">
        <v>71</v>
      </c>
      <c r="D704" s="51" t="n">
        <f aca="false">-$D$703*(1+$D$609)</f>
        <v>30.6505852997201</v>
      </c>
      <c r="E704" s="23"/>
      <c r="F704" s="23"/>
      <c r="G704" s="23"/>
      <c r="H704" s="23"/>
      <c r="I704" s="23"/>
      <c r="J704" s="23"/>
      <c r="K704" s="23"/>
      <c r="L704" s="49"/>
    </row>
    <row r="705" customFormat="false" ht="15" hidden="true" customHeight="false" outlineLevel="1" collapsed="false">
      <c r="A705" s="20" t="n">
        <v>122</v>
      </c>
      <c r="B705" s="6" t="s">
        <v>701</v>
      </c>
      <c r="C705" s="20" t="s">
        <v>71</v>
      </c>
      <c r="D705" s="51" t="n">
        <f aca="false">J688</f>
        <v>-0.39457424004954</v>
      </c>
      <c r="E705" s="23"/>
      <c r="F705" s="23"/>
      <c r="G705" s="23"/>
      <c r="H705" s="23"/>
      <c r="I705" s="23"/>
      <c r="J705" s="23"/>
      <c r="K705" s="23"/>
      <c r="L705" s="49"/>
    </row>
    <row r="706" customFormat="false" ht="15" hidden="true" customHeight="false" outlineLevel="1" collapsed="false">
      <c r="A706" s="20" t="n">
        <v>123</v>
      </c>
      <c r="B706" s="6" t="s">
        <v>702</v>
      </c>
      <c r="C706" s="20" t="s">
        <v>71</v>
      </c>
      <c r="D706" s="51" t="n">
        <f aca="false">SUM(F690:J690)</f>
        <v>-10.7477940582577</v>
      </c>
      <c r="E706" s="23"/>
      <c r="F706" s="23"/>
      <c r="G706" s="23"/>
      <c r="H706" s="23"/>
      <c r="I706" s="23"/>
      <c r="J706" s="23"/>
      <c r="K706" s="23"/>
      <c r="L706" s="49"/>
    </row>
    <row r="707" customFormat="false" ht="15" hidden="true" customHeight="false" outlineLevel="1" collapsed="false">
      <c r="A707" s="20" t="n">
        <v>124</v>
      </c>
      <c r="B707" s="6" t="s">
        <v>82</v>
      </c>
      <c r="C707" s="20" t="s">
        <v>71</v>
      </c>
      <c r="D707" s="51" t="n">
        <f aca="false">SUM(F690:J690)+SUM(F692:J692)</f>
        <v>10.7786344564498</v>
      </c>
      <c r="E707" s="23"/>
      <c r="F707" s="23"/>
      <c r="G707" s="23"/>
      <c r="H707" s="23"/>
      <c r="I707" s="23"/>
      <c r="J707" s="23"/>
      <c r="K707" s="23"/>
      <c r="L707" s="49"/>
    </row>
    <row r="708" customFormat="false" ht="15" hidden="true" customHeight="false" outlineLevel="1" collapsed="false">
      <c r="A708" s="20" t="n">
        <v>125</v>
      </c>
      <c r="B708" s="6" t="s">
        <v>83</v>
      </c>
      <c r="C708" s="20" t="s">
        <v>68</v>
      </c>
      <c r="D708" s="55" t="n">
        <f aca="false">IFERROR(IRR(F693:J693),"н/д")</f>
        <v>0.479872250832225</v>
      </c>
      <c r="E708" s="23"/>
      <c r="F708" s="23"/>
      <c r="G708" s="23"/>
      <c r="H708" s="23"/>
      <c r="I708" s="23"/>
      <c r="J708" s="23"/>
      <c r="K708" s="23"/>
      <c r="L708" s="49"/>
    </row>
    <row r="709" customFormat="false" ht="15" hidden="true" customHeight="false" outlineLevel="1" collapsed="false">
      <c r="A709" s="20" t="n">
        <v>126</v>
      </c>
      <c r="B709" s="6" t="s">
        <v>13</v>
      </c>
      <c r="C709" s="20" t="s">
        <v>79</v>
      </c>
      <c r="D709" s="56" t="n">
        <f aca="false">IF(COUNT(F694:J694)=0,"после 2031",MIN(F694:J694))</f>
        <v>2029</v>
      </c>
      <c r="E709" s="23"/>
      <c r="F709" s="23"/>
      <c r="G709" s="23"/>
      <c r="H709" s="23"/>
      <c r="I709" s="23"/>
      <c r="J709" s="23"/>
      <c r="K709" s="23"/>
      <c r="L709" s="49"/>
    </row>
    <row r="710" customFormat="false" ht="15" hidden="true" customHeight="false" outlineLevel="1" collapsed="false">
      <c r="A710" s="20" t="n">
        <v>127</v>
      </c>
      <c r="B710" s="6" t="s">
        <v>703</v>
      </c>
      <c r="C710" s="20" t="s">
        <v>79</v>
      </c>
      <c r="D710" s="56" t="str">
        <f aca="false">IF(COUNT(F695:J695)=0,"после 2031",MIN(F695:J695))</f>
        <v>после 2031</v>
      </c>
      <c r="E710" s="23"/>
      <c r="F710" s="23"/>
      <c r="G710" s="23"/>
      <c r="H710" s="23"/>
      <c r="I710" s="23"/>
      <c r="J710" s="23"/>
      <c r="K710" s="23"/>
      <c r="L710" s="49"/>
    </row>
    <row r="713" customFormat="false" ht="15" hidden="true" customHeight="false" outlineLevel="1" collapsed="false">
      <c r="A713" s="57" t="s">
        <v>728</v>
      </c>
    </row>
    <row r="714" customFormat="false" ht="30" hidden="true" customHeight="true" outlineLevel="1" collapsed="false">
      <c r="A714" s="4" t="s">
        <v>49</v>
      </c>
      <c r="B714" s="4" t="s">
        <v>3</v>
      </c>
      <c r="C714" s="5" t="s">
        <v>50</v>
      </c>
      <c r="D714" s="5" t="s">
        <v>551</v>
      </c>
      <c r="E714" s="5" t="s">
        <v>356</v>
      </c>
      <c r="F714" s="5" t="s">
        <v>86</v>
      </c>
      <c r="G714" s="5" t="s">
        <v>87</v>
      </c>
      <c r="H714" s="5" t="s">
        <v>88</v>
      </c>
      <c r="I714" s="5" t="s">
        <v>89</v>
      </c>
      <c r="J714" s="5" t="s">
        <v>90</v>
      </c>
      <c r="K714" s="5" t="s">
        <v>552</v>
      </c>
      <c r="L714" s="5" t="s">
        <v>393</v>
      </c>
    </row>
    <row r="715" customFormat="false" ht="15" hidden="true" customHeight="false" outlineLevel="1" collapsed="false">
      <c r="A715" s="19" t="s">
        <v>553</v>
      </c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</row>
    <row r="716" customFormat="false" ht="15" hidden="true" customHeight="false" outlineLevel="1" collapsed="false">
      <c r="A716" s="20" t="n">
        <v>1</v>
      </c>
      <c r="B716" s="6" t="s">
        <v>554</v>
      </c>
      <c r="C716" s="20" t="s">
        <v>79</v>
      </c>
      <c r="D716" s="10" t="n">
        <f aca="false">Допущения!$E$49</f>
        <v>2027</v>
      </c>
      <c r="E716" s="23"/>
      <c r="F716" s="23"/>
      <c r="G716" s="23"/>
      <c r="H716" s="23"/>
      <c r="I716" s="23"/>
      <c r="J716" s="23"/>
      <c r="K716" s="23"/>
      <c r="L716" s="49"/>
    </row>
    <row r="717" customFormat="false" ht="15" hidden="true" customHeight="false" outlineLevel="1" collapsed="false">
      <c r="A717" s="20" t="n">
        <v>2</v>
      </c>
      <c r="B717" s="6" t="s">
        <v>555</v>
      </c>
      <c r="C717" s="20" t="s">
        <v>105</v>
      </c>
      <c r="D717" s="45" t="n">
        <f aca="false">Допущения!$E$7</f>
        <v>1.8</v>
      </c>
      <c r="E717" s="23"/>
      <c r="F717" s="23"/>
      <c r="G717" s="23"/>
      <c r="H717" s="23"/>
      <c r="I717" s="23"/>
      <c r="J717" s="23"/>
      <c r="K717" s="23"/>
      <c r="L717" s="49"/>
    </row>
    <row r="718" customFormat="false" ht="15" hidden="true" customHeight="false" outlineLevel="1" collapsed="false">
      <c r="A718" s="20" t="n">
        <v>3</v>
      </c>
      <c r="B718" s="6" t="s">
        <v>556</v>
      </c>
      <c r="C718" s="20" t="s">
        <v>55</v>
      </c>
      <c r="D718" s="9" t="n">
        <f aca="false">Допущения!$E$42</f>
        <v>6</v>
      </c>
      <c r="E718" s="23"/>
      <c r="F718" s="23"/>
      <c r="G718" s="23"/>
      <c r="H718" s="23"/>
      <c r="I718" s="23"/>
      <c r="J718" s="23"/>
      <c r="K718" s="23"/>
      <c r="L718" s="49"/>
    </row>
    <row r="719" customFormat="false" ht="15" hidden="true" customHeight="false" outlineLevel="1" collapsed="false">
      <c r="A719" s="20" t="n">
        <v>4</v>
      </c>
      <c r="B719" s="6" t="s">
        <v>557</v>
      </c>
      <c r="C719" s="20" t="s">
        <v>244</v>
      </c>
      <c r="D719" s="9" t="n">
        <f aca="false">Допущения!$E$43</f>
        <v>5</v>
      </c>
      <c r="E719" s="23"/>
      <c r="F719" s="23"/>
      <c r="G719" s="23"/>
      <c r="H719" s="23"/>
      <c r="I719" s="23"/>
      <c r="J719" s="23"/>
      <c r="K719" s="23"/>
      <c r="L719" s="49"/>
    </row>
    <row r="720" customFormat="false" ht="15" hidden="true" customHeight="false" outlineLevel="1" collapsed="false">
      <c r="A720" s="20" t="n">
        <v>5</v>
      </c>
      <c r="B720" s="6" t="s">
        <v>558</v>
      </c>
      <c r="C720" s="20" t="s">
        <v>55</v>
      </c>
      <c r="D720" s="9" t="n">
        <f aca="false">Допущения!$E$44</f>
        <v>1.5</v>
      </c>
      <c r="E720" s="23"/>
      <c r="F720" s="23"/>
      <c r="G720" s="23"/>
      <c r="H720" s="23"/>
      <c r="I720" s="23"/>
      <c r="J720" s="23"/>
      <c r="K720" s="23"/>
      <c r="L720" s="49"/>
    </row>
    <row r="721" customFormat="false" ht="15" hidden="true" customHeight="false" outlineLevel="1" collapsed="false">
      <c r="A721" s="20" t="n">
        <v>6</v>
      </c>
      <c r="B721" s="6" t="s">
        <v>559</v>
      </c>
      <c r="C721" s="20" t="s">
        <v>71</v>
      </c>
      <c r="D721" s="9" t="n">
        <f aca="false">Допущения!$E$45</f>
        <v>8</v>
      </c>
      <c r="E721" s="23"/>
      <c r="F721" s="23"/>
      <c r="G721" s="23"/>
      <c r="H721" s="23"/>
      <c r="I721" s="23"/>
      <c r="J721" s="23"/>
      <c r="K721" s="23"/>
      <c r="L721" s="49"/>
    </row>
    <row r="722" customFormat="false" ht="15" hidden="true" customHeight="false" outlineLevel="1" collapsed="false">
      <c r="A722" s="20" t="n">
        <v>7</v>
      </c>
      <c r="B722" s="6" t="s">
        <v>560</v>
      </c>
      <c r="C722" s="20" t="s">
        <v>71</v>
      </c>
      <c r="D722" s="9" t="n">
        <f aca="false">Допущения!$E$46</f>
        <v>2</v>
      </c>
      <c r="E722" s="23"/>
      <c r="F722" s="23"/>
      <c r="G722" s="23"/>
      <c r="H722" s="23"/>
      <c r="I722" s="23"/>
      <c r="J722" s="23"/>
      <c r="K722" s="23"/>
      <c r="L722" s="49"/>
    </row>
    <row r="723" customFormat="false" ht="15" hidden="true" customHeight="false" outlineLevel="1" collapsed="false">
      <c r="A723" s="20" t="n">
        <v>8</v>
      </c>
      <c r="B723" s="6" t="s">
        <v>260</v>
      </c>
      <c r="C723" s="20" t="s">
        <v>261</v>
      </c>
      <c r="D723" s="22" t="n">
        <f aca="false">Допущения!$E$47</f>
        <v>0.05</v>
      </c>
      <c r="E723" s="23"/>
      <c r="F723" s="23"/>
      <c r="G723" s="23"/>
      <c r="H723" s="23"/>
      <c r="I723" s="23"/>
      <c r="J723" s="23"/>
      <c r="K723" s="23"/>
      <c r="L723" s="49"/>
    </row>
    <row r="724" customFormat="false" ht="15" hidden="true" customHeight="false" outlineLevel="1" collapsed="false">
      <c r="A724" s="20" t="n">
        <v>9</v>
      </c>
      <c r="B724" s="6" t="s">
        <v>561</v>
      </c>
      <c r="C724" s="20" t="s">
        <v>261</v>
      </c>
      <c r="D724" s="22" t="n">
        <f aca="false">Допущения!$E$48*0.8</f>
        <v>0.12</v>
      </c>
      <c r="E724" s="23"/>
      <c r="F724" s="23"/>
      <c r="G724" s="23"/>
      <c r="H724" s="23"/>
      <c r="I724" s="23"/>
      <c r="J724" s="23"/>
      <c r="K724" s="23"/>
      <c r="L724" s="49"/>
    </row>
    <row r="725" customFormat="false" ht="15" hidden="true" customHeight="false" outlineLevel="1" collapsed="false">
      <c r="A725" s="20" t="n">
        <v>10</v>
      </c>
      <c r="B725" s="6" t="s">
        <v>274</v>
      </c>
      <c r="C725" s="20" t="s">
        <v>261</v>
      </c>
      <c r="D725" s="22" t="n">
        <f aca="false">Допущения!$E$51</f>
        <v>0.07</v>
      </c>
      <c r="E725" s="23"/>
      <c r="F725" s="23"/>
      <c r="G725" s="23"/>
      <c r="H725" s="23"/>
      <c r="I725" s="23"/>
      <c r="J725" s="23"/>
      <c r="K725" s="23"/>
      <c r="L725" s="49"/>
    </row>
    <row r="726" customFormat="false" ht="15" hidden="true" customHeight="false" outlineLevel="1" collapsed="false">
      <c r="A726" s="20" t="n">
        <v>11</v>
      </c>
      <c r="B726" s="6" t="s">
        <v>562</v>
      </c>
      <c r="C726" s="20" t="s">
        <v>68</v>
      </c>
      <c r="D726" s="22" t="n">
        <f aca="false">Допущения!$E$52</f>
        <v>0.15</v>
      </c>
      <c r="E726" s="23"/>
      <c r="F726" s="23"/>
      <c r="G726" s="23"/>
      <c r="H726" s="23"/>
      <c r="I726" s="23"/>
      <c r="J726" s="23"/>
      <c r="K726" s="23"/>
      <c r="L726" s="49"/>
    </row>
    <row r="727" customFormat="false" ht="15" hidden="true" customHeight="false" outlineLevel="1" collapsed="false">
      <c r="A727" s="20" t="n">
        <v>12</v>
      </c>
      <c r="B727" s="6" t="s">
        <v>563</v>
      </c>
      <c r="C727" s="20" t="s">
        <v>68</v>
      </c>
      <c r="D727" s="22" t="n">
        <f aca="false">Допущения!$E$53</f>
        <v>0.076</v>
      </c>
      <c r="E727" s="23"/>
      <c r="F727" s="23"/>
      <c r="G727" s="23"/>
      <c r="H727" s="23"/>
      <c r="I727" s="23"/>
      <c r="J727" s="23"/>
      <c r="K727" s="23"/>
      <c r="L727" s="49"/>
    </row>
    <row r="728" customFormat="false" ht="15" hidden="true" customHeight="false" outlineLevel="1" collapsed="false">
      <c r="A728" s="20" t="n">
        <v>13</v>
      </c>
      <c r="B728" s="6" t="s">
        <v>284</v>
      </c>
      <c r="C728" s="20" t="s">
        <v>68</v>
      </c>
      <c r="D728" s="22" t="n">
        <f aca="false">Допущения!$E$54</f>
        <v>0.002</v>
      </c>
      <c r="E728" s="23"/>
      <c r="F728" s="23"/>
      <c r="G728" s="23"/>
      <c r="H728" s="23"/>
      <c r="I728" s="23"/>
      <c r="J728" s="23"/>
      <c r="K728" s="23"/>
      <c r="L728" s="49"/>
    </row>
    <row r="729" customFormat="false" ht="15" hidden="true" customHeight="false" outlineLevel="1" collapsed="false">
      <c r="A729" s="20" t="n">
        <v>14</v>
      </c>
      <c r="B729" s="6" t="s">
        <v>564</v>
      </c>
      <c r="C729" s="20" t="s">
        <v>55</v>
      </c>
      <c r="D729" s="50" t="n">
        <f aca="false">Допущения!$E$55</f>
        <v>2.979</v>
      </c>
      <c r="E729" s="23"/>
      <c r="F729" s="23"/>
      <c r="G729" s="23"/>
      <c r="H729" s="23"/>
      <c r="I729" s="23"/>
      <c r="J729" s="23"/>
      <c r="K729" s="23"/>
      <c r="L729" s="49"/>
    </row>
    <row r="730" customFormat="false" ht="15" hidden="true" customHeight="false" outlineLevel="1" collapsed="false">
      <c r="A730" s="20" t="n">
        <v>15</v>
      </c>
      <c r="B730" s="6" t="s">
        <v>565</v>
      </c>
      <c r="C730" s="20" t="s">
        <v>261</v>
      </c>
      <c r="D730" s="22" t="n">
        <f aca="false">Допущения!$E$56</f>
        <v>0.08</v>
      </c>
      <c r="E730" s="23"/>
      <c r="F730" s="23"/>
      <c r="G730" s="23"/>
      <c r="H730" s="23"/>
      <c r="I730" s="23"/>
      <c r="J730" s="23"/>
      <c r="K730" s="23"/>
      <c r="L730" s="49"/>
    </row>
    <row r="731" customFormat="false" ht="15" hidden="true" customHeight="false" outlineLevel="1" collapsed="false">
      <c r="A731" s="20" t="n">
        <v>16</v>
      </c>
      <c r="B731" s="6" t="s">
        <v>566</v>
      </c>
      <c r="C731" s="20" t="s">
        <v>71</v>
      </c>
      <c r="D731" s="9" t="n">
        <f aca="false">Допущения!$E$58</f>
        <v>2.5</v>
      </c>
      <c r="E731" s="23"/>
      <c r="F731" s="23"/>
      <c r="G731" s="23"/>
      <c r="H731" s="23"/>
      <c r="I731" s="23"/>
      <c r="J731" s="23"/>
      <c r="K731" s="23"/>
      <c r="L731" s="49"/>
    </row>
    <row r="732" customFormat="false" ht="15" hidden="true" customHeight="false" outlineLevel="1" collapsed="false">
      <c r="A732" s="20" t="n">
        <v>17</v>
      </c>
      <c r="B732" s="6" t="s">
        <v>299</v>
      </c>
      <c r="C732" s="20" t="s">
        <v>55</v>
      </c>
      <c r="D732" s="9" t="n">
        <f aca="false">Допущения!$E$59</f>
        <v>1</v>
      </c>
      <c r="E732" s="23"/>
      <c r="F732" s="23"/>
      <c r="G732" s="23"/>
      <c r="H732" s="23"/>
      <c r="I732" s="23"/>
      <c r="J732" s="23"/>
      <c r="K732" s="23"/>
      <c r="L732" s="49"/>
    </row>
    <row r="733" customFormat="false" ht="15" hidden="true" customHeight="false" outlineLevel="1" collapsed="false">
      <c r="A733" s="20" t="n">
        <v>18</v>
      </c>
      <c r="B733" s="6" t="s">
        <v>302</v>
      </c>
      <c r="C733" s="20" t="s">
        <v>55</v>
      </c>
      <c r="D733" s="9" t="n">
        <f aca="false">Допущения!$E$60</f>
        <v>0.6</v>
      </c>
      <c r="E733" s="23"/>
      <c r="F733" s="23"/>
      <c r="G733" s="23"/>
      <c r="H733" s="23"/>
      <c r="I733" s="23"/>
      <c r="J733" s="23"/>
      <c r="K733" s="23"/>
      <c r="L733" s="49"/>
    </row>
    <row r="734" customFormat="false" ht="15" hidden="true" customHeight="false" outlineLevel="1" collapsed="false">
      <c r="A734" s="20" t="n">
        <v>19</v>
      </c>
      <c r="B734" s="6" t="s">
        <v>567</v>
      </c>
      <c r="C734" s="20" t="s">
        <v>55</v>
      </c>
      <c r="D734" s="45" t="n">
        <f aca="false">Допущения!$E$61</f>
        <v>0.15</v>
      </c>
      <c r="E734" s="23"/>
      <c r="F734" s="23"/>
      <c r="G734" s="23"/>
      <c r="H734" s="23"/>
      <c r="I734" s="23"/>
      <c r="J734" s="23"/>
      <c r="K734" s="23"/>
      <c r="L734" s="49"/>
    </row>
    <row r="735" customFormat="false" ht="15" hidden="true" customHeight="false" outlineLevel="1" collapsed="false">
      <c r="A735" s="20" t="n">
        <v>20</v>
      </c>
      <c r="B735" s="6" t="s">
        <v>568</v>
      </c>
      <c r="C735" s="20" t="s">
        <v>55</v>
      </c>
      <c r="D735" s="9" t="n">
        <f aca="false">Допущения!$E$62</f>
        <v>1</v>
      </c>
      <c r="E735" s="23"/>
      <c r="F735" s="23"/>
      <c r="G735" s="23"/>
      <c r="H735" s="23"/>
      <c r="I735" s="23"/>
      <c r="J735" s="23"/>
      <c r="K735" s="23"/>
      <c r="L735" s="49"/>
    </row>
    <row r="736" customFormat="false" ht="15" hidden="true" customHeight="false" outlineLevel="1" collapsed="false">
      <c r="A736" s="20" t="n">
        <v>21</v>
      </c>
      <c r="B736" s="6" t="s">
        <v>569</v>
      </c>
      <c r="C736" s="20" t="s">
        <v>71</v>
      </c>
      <c r="D736" s="9" t="n">
        <f aca="false">Допущения!$E$63</f>
        <v>0.4</v>
      </c>
      <c r="E736" s="23"/>
      <c r="F736" s="23"/>
      <c r="G736" s="23"/>
      <c r="H736" s="23"/>
      <c r="I736" s="23"/>
      <c r="J736" s="23"/>
      <c r="K736" s="23"/>
      <c r="L736" s="49"/>
    </row>
    <row r="737" customFormat="false" ht="15" hidden="true" customHeight="false" outlineLevel="1" collapsed="false">
      <c r="A737" s="20" t="n">
        <v>22</v>
      </c>
      <c r="B737" s="6" t="s">
        <v>314</v>
      </c>
      <c r="C737" s="20" t="s">
        <v>55</v>
      </c>
      <c r="D737" s="9" t="n">
        <f aca="false">Допущения!$E$64</f>
        <v>1.2</v>
      </c>
      <c r="E737" s="23"/>
      <c r="F737" s="23"/>
      <c r="G737" s="23"/>
      <c r="H737" s="23"/>
      <c r="I737" s="23"/>
      <c r="J737" s="23"/>
      <c r="K737" s="23"/>
      <c r="L737" s="49"/>
    </row>
    <row r="738" customFormat="false" ht="15" hidden="true" customHeight="false" outlineLevel="1" collapsed="false">
      <c r="A738" s="20" t="n">
        <v>23</v>
      </c>
      <c r="B738" s="6" t="s">
        <v>317</v>
      </c>
      <c r="C738" s="20" t="s">
        <v>55</v>
      </c>
      <c r="D738" s="45" t="n">
        <f aca="false">Допущения!$E$65</f>
        <v>0.1</v>
      </c>
      <c r="E738" s="23"/>
      <c r="F738" s="23"/>
      <c r="G738" s="23"/>
      <c r="H738" s="23"/>
      <c r="I738" s="23"/>
      <c r="J738" s="23"/>
      <c r="K738" s="23"/>
      <c r="L738" s="49"/>
    </row>
    <row r="739" customFormat="false" ht="15" hidden="true" customHeight="false" outlineLevel="1" collapsed="false">
      <c r="A739" s="20" t="n">
        <v>24</v>
      </c>
      <c r="B739" s="6" t="s">
        <v>320</v>
      </c>
      <c r="C739" s="20" t="s">
        <v>71</v>
      </c>
      <c r="D739" s="45" t="n">
        <f aca="false">Допущения!$E$66</f>
        <v>0.25</v>
      </c>
      <c r="E739" s="23"/>
      <c r="F739" s="23"/>
      <c r="G739" s="23"/>
      <c r="H739" s="23"/>
      <c r="I739" s="23"/>
      <c r="J739" s="23"/>
      <c r="K739" s="23"/>
      <c r="L739" s="49"/>
    </row>
    <row r="740" customFormat="false" ht="15" hidden="true" customHeight="false" outlineLevel="1" collapsed="false">
      <c r="A740" s="20" t="n">
        <v>25</v>
      </c>
      <c r="B740" s="6" t="s">
        <v>570</v>
      </c>
      <c r="C740" s="20" t="s">
        <v>71</v>
      </c>
      <c r="D740" s="9" t="n">
        <f aca="false">Допущения!$E$67</f>
        <v>0.3</v>
      </c>
      <c r="E740" s="23"/>
      <c r="F740" s="23"/>
      <c r="G740" s="23"/>
      <c r="H740" s="23"/>
      <c r="I740" s="23"/>
      <c r="J740" s="23"/>
      <c r="K740" s="23"/>
      <c r="L740" s="49"/>
    </row>
    <row r="741" customFormat="false" ht="15" hidden="true" customHeight="false" outlineLevel="1" collapsed="false">
      <c r="A741" s="20" t="n">
        <v>26</v>
      </c>
      <c r="B741" s="6" t="s">
        <v>326</v>
      </c>
      <c r="C741" s="20" t="s">
        <v>261</v>
      </c>
      <c r="D741" s="22" t="n">
        <f aca="false">Допущения!$E$68</f>
        <v>0.05</v>
      </c>
      <c r="E741" s="23"/>
      <c r="F741" s="23"/>
      <c r="G741" s="23"/>
      <c r="H741" s="23"/>
      <c r="I741" s="23"/>
      <c r="J741" s="23"/>
      <c r="K741" s="23"/>
      <c r="L741" s="49"/>
    </row>
    <row r="742" customFormat="false" ht="15" hidden="true" customHeight="false" outlineLevel="1" collapsed="false">
      <c r="A742" s="20" t="n">
        <v>27</v>
      </c>
      <c r="B742" s="6" t="s">
        <v>571</v>
      </c>
      <c r="C742" s="20" t="s">
        <v>330</v>
      </c>
      <c r="D742" s="22" t="n">
        <f aca="false">Допущения!$E$69</f>
        <v>0.1</v>
      </c>
      <c r="E742" s="23"/>
      <c r="F742" s="23"/>
      <c r="G742" s="23"/>
      <c r="H742" s="23"/>
      <c r="I742" s="23"/>
      <c r="J742" s="23"/>
      <c r="K742" s="23"/>
      <c r="L742" s="49"/>
    </row>
    <row r="743" customFormat="false" ht="15" hidden="true" customHeight="false" outlineLevel="1" collapsed="false">
      <c r="A743" s="20" t="n">
        <v>28</v>
      </c>
      <c r="B743" s="6" t="s">
        <v>572</v>
      </c>
      <c r="C743" s="20" t="s">
        <v>68</v>
      </c>
      <c r="D743" s="22" t="n">
        <f aca="false">Допущения!$E$71</f>
        <v>0.05</v>
      </c>
      <c r="E743" s="23"/>
      <c r="F743" s="23"/>
      <c r="G743" s="23"/>
      <c r="H743" s="23"/>
      <c r="I743" s="23"/>
      <c r="J743" s="23"/>
      <c r="K743" s="23"/>
      <c r="L743" s="49"/>
    </row>
    <row r="744" customFormat="false" ht="15" hidden="true" customHeight="false" outlineLevel="1" collapsed="false">
      <c r="A744" s="20" t="n">
        <v>29</v>
      </c>
      <c r="B744" s="6" t="s">
        <v>573</v>
      </c>
      <c r="C744" s="20" t="s">
        <v>68</v>
      </c>
      <c r="D744" s="22" t="n">
        <f aca="false">Допущения!$E$72</f>
        <v>0.5</v>
      </c>
      <c r="E744" s="23"/>
      <c r="F744" s="23"/>
      <c r="G744" s="23"/>
      <c r="H744" s="23"/>
      <c r="I744" s="23"/>
      <c r="J744" s="23"/>
      <c r="K744" s="23"/>
      <c r="L744" s="49"/>
    </row>
    <row r="745" customFormat="false" ht="15" hidden="true" customHeight="false" outlineLevel="1" collapsed="false">
      <c r="A745" s="20" t="n">
        <v>30</v>
      </c>
      <c r="B745" s="6" t="s">
        <v>574</v>
      </c>
      <c r="C745" s="20" t="s">
        <v>575</v>
      </c>
      <c r="D745" s="7" t="n">
        <f aca="false">Допущения!$E$73</f>
        <v>90</v>
      </c>
      <c r="E745" s="23"/>
      <c r="F745" s="23"/>
      <c r="G745" s="23"/>
      <c r="H745" s="23"/>
      <c r="I745" s="23"/>
      <c r="J745" s="23"/>
      <c r="K745" s="23"/>
      <c r="L745" s="49"/>
    </row>
    <row r="746" customFormat="false" ht="15" hidden="true" customHeight="false" outlineLevel="1" collapsed="false">
      <c r="A746" s="20" t="n">
        <v>31</v>
      </c>
      <c r="B746" s="6" t="s">
        <v>345</v>
      </c>
      <c r="C746" s="20" t="s">
        <v>68</v>
      </c>
      <c r="D746" s="22" t="n">
        <f aca="false">Допущения!$E$74</f>
        <v>0.3</v>
      </c>
      <c r="E746" s="23"/>
      <c r="F746" s="23"/>
      <c r="G746" s="23"/>
      <c r="H746" s="23"/>
      <c r="I746" s="23"/>
      <c r="J746" s="23"/>
      <c r="K746" s="23"/>
      <c r="L746" s="49"/>
    </row>
    <row r="747" customFormat="false" ht="15" hidden="true" customHeight="false" outlineLevel="1" collapsed="false">
      <c r="A747" s="20" t="n">
        <v>32</v>
      </c>
      <c r="B747" s="6" t="s">
        <v>576</v>
      </c>
      <c r="C747" s="20" t="s">
        <v>261</v>
      </c>
      <c r="D747" s="22" t="n">
        <f aca="false">Допущения!$E$75</f>
        <v>0.04</v>
      </c>
      <c r="E747" s="23"/>
      <c r="F747" s="23"/>
      <c r="G747" s="23"/>
      <c r="H747" s="23"/>
      <c r="I747" s="23"/>
      <c r="J747" s="23"/>
      <c r="K747" s="23"/>
      <c r="L747" s="49"/>
    </row>
    <row r="748" customFormat="false" ht="15" hidden="true" customHeight="false" outlineLevel="1" collapsed="false">
      <c r="A748" s="20" t="n">
        <v>33</v>
      </c>
      <c r="B748" s="6" t="s">
        <v>577</v>
      </c>
      <c r="C748" s="20" t="s">
        <v>68</v>
      </c>
      <c r="D748" s="22" t="n">
        <f aca="false">Допущения!$E$76</f>
        <v>0.2</v>
      </c>
      <c r="E748" s="23"/>
      <c r="F748" s="23"/>
      <c r="G748" s="23"/>
      <c r="H748" s="23"/>
      <c r="I748" s="23"/>
      <c r="J748" s="23"/>
      <c r="K748" s="23"/>
      <c r="L748" s="49"/>
    </row>
    <row r="749" customFormat="false" ht="15" hidden="true" customHeight="false" outlineLevel="1" collapsed="false">
      <c r="A749" s="20" t="n">
        <v>34</v>
      </c>
      <c r="B749" s="6" t="s">
        <v>578</v>
      </c>
      <c r="C749" s="20" t="s">
        <v>105</v>
      </c>
      <c r="D749" s="50" t="n">
        <f aca="false">Рынок!$E$30</f>
        <v>0.490909090909091</v>
      </c>
      <c r="E749" s="23"/>
      <c r="F749" s="23"/>
      <c r="G749" s="23"/>
      <c r="H749" s="23"/>
      <c r="I749" s="23"/>
      <c r="J749" s="23"/>
      <c r="K749" s="23"/>
      <c r="L749" s="49" t="s">
        <v>579</v>
      </c>
    </row>
    <row r="750" customFormat="false" ht="15" hidden="true" customHeight="false" outlineLevel="1" collapsed="false">
      <c r="A750" s="20" t="n">
        <v>35</v>
      </c>
      <c r="B750" s="6" t="s">
        <v>580</v>
      </c>
      <c r="C750" s="20" t="s">
        <v>105</v>
      </c>
      <c r="D750" s="50" t="n">
        <f aca="false">Рынок!$E$31</f>
        <v>0.028125</v>
      </c>
      <c r="E750" s="23"/>
      <c r="F750" s="23"/>
      <c r="G750" s="23"/>
      <c r="H750" s="23"/>
      <c r="I750" s="23"/>
      <c r="J750" s="23"/>
      <c r="K750" s="23"/>
      <c r="L750" s="49" t="s">
        <v>579</v>
      </c>
    </row>
    <row r="751" customFormat="false" ht="15" hidden="true" customHeight="false" outlineLevel="1" collapsed="false">
      <c r="A751" s="20" t="n">
        <v>36</v>
      </c>
      <c r="B751" s="6" t="s">
        <v>581</v>
      </c>
      <c r="C751" s="20" t="s">
        <v>142</v>
      </c>
      <c r="D751" s="7" t="n">
        <f aca="false">План!$D$18</f>
        <v>200</v>
      </c>
      <c r="E751" s="23"/>
      <c r="F751" s="23"/>
      <c r="G751" s="23"/>
      <c r="H751" s="23"/>
      <c r="I751" s="23"/>
      <c r="J751" s="23"/>
      <c r="K751" s="23"/>
      <c r="L751" s="49" t="s">
        <v>582</v>
      </c>
    </row>
    <row r="752" customFormat="false" ht="15" hidden="true" customHeight="false" outlineLevel="1" collapsed="false">
      <c r="A752" s="20" t="n">
        <v>37</v>
      </c>
      <c r="B752" s="6" t="s">
        <v>583</v>
      </c>
      <c r="C752" s="20" t="s">
        <v>142</v>
      </c>
      <c r="D752" s="7" t="n">
        <f aca="false">План!$D$19</f>
        <v>280</v>
      </c>
      <c r="E752" s="23"/>
      <c r="F752" s="23"/>
      <c r="G752" s="23"/>
      <c r="H752" s="23"/>
      <c r="I752" s="23"/>
      <c r="J752" s="23"/>
      <c r="K752" s="23"/>
      <c r="L752" s="49" t="s">
        <v>582</v>
      </c>
    </row>
    <row r="753" customFormat="false" ht="15" hidden="true" customHeight="false" outlineLevel="1" collapsed="false">
      <c r="A753" s="20" t="n">
        <v>38</v>
      </c>
      <c r="B753" s="6" t="s">
        <v>584</v>
      </c>
      <c r="C753" s="20" t="s">
        <v>142</v>
      </c>
      <c r="D753" s="7" t="n">
        <f aca="false">План!$D$20</f>
        <v>230</v>
      </c>
      <c r="E753" s="23"/>
      <c r="F753" s="23"/>
      <c r="G753" s="23"/>
      <c r="H753" s="23"/>
      <c r="I753" s="23"/>
      <c r="J753" s="23"/>
      <c r="K753" s="23"/>
      <c r="L753" s="49" t="s">
        <v>582</v>
      </c>
    </row>
    <row r="754" customFormat="false" ht="15" hidden="true" customHeight="false" outlineLevel="1" collapsed="false">
      <c r="A754" s="20" t="n">
        <v>39</v>
      </c>
      <c r="B754" s="6" t="s">
        <v>585</v>
      </c>
      <c r="C754" s="20" t="s">
        <v>142</v>
      </c>
      <c r="D754" s="7" t="n">
        <f aca="false">План!$D$21</f>
        <v>220</v>
      </c>
      <c r="E754" s="23"/>
      <c r="F754" s="23"/>
      <c r="G754" s="23"/>
      <c r="H754" s="23"/>
      <c r="I754" s="23"/>
      <c r="J754" s="23"/>
      <c r="K754" s="23"/>
      <c r="L754" s="49" t="s">
        <v>582</v>
      </c>
    </row>
    <row r="755" customFormat="false" ht="15" hidden="true" customHeight="false" outlineLevel="1" collapsed="false">
      <c r="A755" s="20" t="n">
        <v>40</v>
      </c>
      <c r="B755" s="6" t="s">
        <v>586</v>
      </c>
      <c r="C755" s="20" t="s">
        <v>142</v>
      </c>
      <c r="D755" s="7" t="n">
        <f aca="false">План!$D$22</f>
        <v>250</v>
      </c>
      <c r="E755" s="23"/>
      <c r="F755" s="23"/>
      <c r="G755" s="23"/>
      <c r="H755" s="23"/>
      <c r="I755" s="23"/>
      <c r="J755" s="23"/>
      <c r="K755" s="23"/>
      <c r="L755" s="49" t="s">
        <v>582</v>
      </c>
    </row>
    <row r="756" customFormat="false" ht="15" hidden="true" customHeight="false" outlineLevel="1" collapsed="false">
      <c r="A756" s="20" t="n">
        <v>41</v>
      </c>
      <c r="B756" s="6" t="s">
        <v>587</v>
      </c>
      <c r="C756" s="20" t="s">
        <v>142</v>
      </c>
      <c r="D756" s="7" t="n">
        <f aca="false">План!$D$23</f>
        <v>220</v>
      </c>
      <c r="E756" s="23"/>
      <c r="F756" s="23"/>
      <c r="G756" s="23"/>
      <c r="H756" s="23"/>
      <c r="I756" s="23"/>
      <c r="J756" s="23"/>
      <c r="K756" s="23"/>
      <c r="L756" s="49" t="s">
        <v>582</v>
      </c>
    </row>
    <row r="757" customFormat="false" ht="15" hidden="true" customHeight="false" outlineLevel="1" collapsed="false">
      <c r="A757" s="20" t="n">
        <v>42</v>
      </c>
      <c r="B757" s="6" t="s">
        <v>359</v>
      </c>
      <c r="C757" s="20" t="s">
        <v>76</v>
      </c>
      <c r="D757" s="23"/>
      <c r="E757" s="9" t="n">
        <f aca="false">План!E16</f>
        <v>0</v>
      </c>
      <c r="F757" s="9" t="n">
        <f aca="false">План!F16</f>
        <v>0</v>
      </c>
      <c r="G757" s="9" t="n">
        <f aca="false">План!G16</f>
        <v>0</v>
      </c>
      <c r="H757" s="9" t="n">
        <f aca="false">План!H16</f>
        <v>1</v>
      </c>
      <c r="I757" s="9" t="n">
        <f aca="false">План!I16</f>
        <v>0</v>
      </c>
      <c r="J757" s="9" t="n">
        <f aca="false">План!J16</f>
        <v>1</v>
      </c>
      <c r="K757" s="51" t="n">
        <f aca="false">SUM(F757:J757)</f>
        <v>2</v>
      </c>
      <c r="L757" s="49" t="s">
        <v>582</v>
      </c>
    </row>
    <row r="758" customFormat="false" ht="15" hidden="true" customHeight="false" outlineLevel="1" collapsed="false">
      <c r="A758" s="20" t="n">
        <v>43</v>
      </c>
      <c r="B758" s="6" t="s">
        <v>361</v>
      </c>
      <c r="C758" s="20" t="s">
        <v>76</v>
      </c>
      <c r="D758" s="23"/>
      <c r="E758" s="9" t="n">
        <f aca="false">План!E17</f>
        <v>0</v>
      </c>
      <c r="F758" s="9" t="n">
        <f aca="false">План!F17</f>
        <v>0</v>
      </c>
      <c r="G758" s="9" t="n">
        <f aca="false">План!G17</f>
        <v>1</v>
      </c>
      <c r="H758" s="9" t="n">
        <f aca="false">План!H17</f>
        <v>2</v>
      </c>
      <c r="I758" s="9" t="n">
        <f aca="false">План!I17</f>
        <v>2</v>
      </c>
      <c r="J758" s="9" t="n">
        <f aca="false">План!J17</f>
        <v>3</v>
      </c>
      <c r="K758" s="51" t="n">
        <f aca="false">SUM(F758:J758)</f>
        <v>8</v>
      </c>
      <c r="L758" s="49" t="s">
        <v>582</v>
      </c>
    </row>
    <row r="759" customFormat="false" ht="15" hidden="true" customHeight="false" outlineLevel="1" collapsed="false">
      <c r="A759" s="20" t="n">
        <v>44</v>
      </c>
      <c r="B759" s="6" t="s">
        <v>588</v>
      </c>
      <c r="C759" s="20" t="s">
        <v>53</v>
      </c>
      <c r="D759" s="23"/>
      <c r="E759" s="9" t="n">
        <f aca="false">План!E18</f>
        <v>2</v>
      </c>
      <c r="F759" s="9" t="n">
        <f aca="false">План!F18</f>
        <v>2</v>
      </c>
      <c r="G759" s="9" t="n">
        <f aca="false">План!G18</f>
        <v>2</v>
      </c>
      <c r="H759" s="9" t="n">
        <f aca="false">План!H18</f>
        <v>2</v>
      </c>
      <c r="I759" s="9" t="n">
        <f aca="false">План!I18</f>
        <v>2</v>
      </c>
      <c r="J759" s="9" t="n">
        <f aca="false">План!J18</f>
        <v>2</v>
      </c>
      <c r="K759" s="23"/>
      <c r="L759" s="49" t="s">
        <v>582</v>
      </c>
    </row>
    <row r="760" customFormat="false" ht="15" hidden="true" customHeight="false" outlineLevel="1" collapsed="false">
      <c r="A760" s="20" t="n">
        <v>45</v>
      </c>
      <c r="B760" s="6" t="s">
        <v>589</v>
      </c>
      <c r="C760" s="20" t="s">
        <v>53</v>
      </c>
      <c r="D760" s="23"/>
      <c r="E760" s="9" t="n">
        <f aca="false">План!E19</f>
        <v>0</v>
      </c>
      <c r="F760" s="9" t="n">
        <f aca="false">План!F19</f>
        <v>1</v>
      </c>
      <c r="G760" s="9" t="n">
        <f aca="false">План!G19</f>
        <v>1</v>
      </c>
      <c r="H760" s="9" t="n">
        <f aca="false">План!H19</f>
        <v>1</v>
      </c>
      <c r="I760" s="9" t="n">
        <f aca="false">План!I19</f>
        <v>2</v>
      </c>
      <c r="J760" s="9" t="n">
        <f aca="false">План!J19</f>
        <v>2</v>
      </c>
      <c r="K760" s="23"/>
      <c r="L760" s="49" t="s">
        <v>582</v>
      </c>
    </row>
    <row r="761" customFormat="false" ht="15" hidden="true" customHeight="false" outlineLevel="1" collapsed="false">
      <c r="A761" s="20" t="n">
        <v>46</v>
      </c>
      <c r="B761" s="6" t="s">
        <v>590</v>
      </c>
      <c r="C761" s="20" t="s">
        <v>53</v>
      </c>
      <c r="D761" s="23"/>
      <c r="E761" s="9" t="n">
        <f aca="false">План!E20</f>
        <v>0</v>
      </c>
      <c r="F761" s="9" t="n">
        <f aca="false">План!F20</f>
        <v>1</v>
      </c>
      <c r="G761" s="9" t="n">
        <f aca="false">План!G20</f>
        <v>1</v>
      </c>
      <c r="H761" s="9" t="n">
        <f aca="false">План!H20</f>
        <v>1</v>
      </c>
      <c r="I761" s="9" t="n">
        <f aca="false">План!I20</f>
        <v>1</v>
      </c>
      <c r="J761" s="9" t="n">
        <f aca="false">План!J20</f>
        <v>1</v>
      </c>
      <c r="K761" s="23"/>
      <c r="L761" s="49" t="s">
        <v>582</v>
      </c>
    </row>
    <row r="762" customFormat="false" ht="15" hidden="true" customHeight="false" outlineLevel="1" collapsed="false">
      <c r="A762" s="20" t="n">
        <v>47</v>
      </c>
      <c r="B762" s="6" t="s">
        <v>591</v>
      </c>
      <c r="C762" s="20" t="s">
        <v>53</v>
      </c>
      <c r="D762" s="23"/>
      <c r="E762" s="9" t="n">
        <f aca="false">План!E21</f>
        <v>0</v>
      </c>
      <c r="F762" s="9" t="n">
        <f aca="false">План!F21</f>
        <v>0</v>
      </c>
      <c r="G762" s="9" t="n">
        <f aca="false">План!G21</f>
        <v>1</v>
      </c>
      <c r="H762" s="9" t="n">
        <f aca="false">План!H21</f>
        <v>1</v>
      </c>
      <c r="I762" s="9" t="n">
        <f aca="false">План!I21</f>
        <v>1</v>
      </c>
      <c r="J762" s="9" t="n">
        <f aca="false">План!J21</f>
        <v>1</v>
      </c>
      <c r="K762" s="23"/>
      <c r="L762" s="49" t="s">
        <v>582</v>
      </c>
    </row>
    <row r="763" customFormat="false" ht="15" hidden="true" customHeight="false" outlineLevel="1" collapsed="false">
      <c r="A763" s="20" t="n">
        <v>48</v>
      </c>
      <c r="B763" s="6" t="s">
        <v>592</v>
      </c>
      <c r="C763" s="20" t="s">
        <v>53</v>
      </c>
      <c r="D763" s="23"/>
      <c r="E763" s="9" t="n">
        <f aca="false">План!E22</f>
        <v>0</v>
      </c>
      <c r="F763" s="9" t="n">
        <f aca="false">План!F22</f>
        <v>0</v>
      </c>
      <c r="G763" s="9" t="n">
        <f aca="false">План!G22</f>
        <v>0</v>
      </c>
      <c r="H763" s="9" t="n">
        <f aca="false">План!H22</f>
        <v>1</v>
      </c>
      <c r="I763" s="9" t="n">
        <f aca="false">План!I22</f>
        <v>1</v>
      </c>
      <c r="J763" s="9" t="n">
        <f aca="false">План!J22</f>
        <v>1</v>
      </c>
      <c r="K763" s="23"/>
      <c r="L763" s="49" t="s">
        <v>582</v>
      </c>
    </row>
    <row r="764" customFormat="false" ht="15" hidden="true" customHeight="false" outlineLevel="1" collapsed="false">
      <c r="A764" s="20" t="n">
        <v>49</v>
      </c>
      <c r="B764" s="6" t="s">
        <v>593</v>
      </c>
      <c r="C764" s="20" t="s">
        <v>53</v>
      </c>
      <c r="D764" s="23"/>
      <c r="E764" s="9" t="n">
        <f aca="false">План!E23</f>
        <v>0</v>
      </c>
      <c r="F764" s="9" t="n">
        <f aca="false">План!F23</f>
        <v>0</v>
      </c>
      <c r="G764" s="9" t="n">
        <f aca="false">План!G23</f>
        <v>0</v>
      </c>
      <c r="H764" s="9" t="n">
        <f aca="false">План!H23</f>
        <v>0</v>
      </c>
      <c r="I764" s="9" t="n">
        <f aca="false">План!I23</f>
        <v>0</v>
      </c>
      <c r="J764" s="9" t="n">
        <f aca="false">План!J23</f>
        <v>1</v>
      </c>
      <c r="K764" s="23"/>
      <c r="L764" s="49" t="s">
        <v>582</v>
      </c>
    </row>
    <row r="765" customFormat="false" ht="15" hidden="true" customHeight="false" outlineLevel="1" collapsed="false">
      <c r="A765" s="19" t="s">
        <v>594</v>
      </c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</row>
    <row r="766" customFormat="false" ht="15" hidden="true" customHeight="false" outlineLevel="1" collapsed="false">
      <c r="A766" s="20" t="n">
        <v>50</v>
      </c>
      <c r="B766" s="6" t="s">
        <v>595</v>
      </c>
      <c r="C766" s="20"/>
      <c r="D766" s="23"/>
      <c r="E766" s="10" t="n">
        <f aca="false">Допущения!$D$3</f>
        <v>2026</v>
      </c>
      <c r="F766" s="52" t="n">
        <f aca="false">E766+1</f>
        <v>2027</v>
      </c>
      <c r="G766" s="52" t="n">
        <f aca="false">F766+1</f>
        <v>2028</v>
      </c>
      <c r="H766" s="52" t="n">
        <f aca="false">G766+1</f>
        <v>2029</v>
      </c>
      <c r="I766" s="52" t="n">
        <f aca="false">H766+1</f>
        <v>2030</v>
      </c>
      <c r="J766" s="52" t="n">
        <f aca="false">I766+1</f>
        <v>2031</v>
      </c>
      <c r="K766" s="23"/>
      <c r="L766" s="49" t="s">
        <v>596</v>
      </c>
    </row>
    <row r="767" customFormat="false" ht="15" hidden="true" customHeight="false" outlineLevel="1" collapsed="false">
      <c r="A767" s="20" t="n">
        <v>51</v>
      </c>
      <c r="B767" s="6" t="s">
        <v>597</v>
      </c>
      <c r="C767" s="20" t="s">
        <v>62</v>
      </c>
      <c r="D767" s="23"/>
      <c r="E767" s="23"/>
      <c r="F767" s="53" t="n">
        <f aca="false">(1+$D$723)^(F$766-$E$766-1)</f>
        <v>1</v>
      </c>
      <c r="G767" s="53" t="n">
        <f aca="false">(1+$D$723)^(G$766-$E$766-1)</f>
        <v>1.05</v>
      </c>
      <c r="H767" s="53" t="n">
        <f aca="false">(1+$D$723)^(H$766-$E$766-1)</f>
        <v>1.1025</v>
      </c>
      <c r="I767" s="53" t="n">
        <f aca="false">(1+$D$723)^(I$766-$E$766-1)</f>
        <v>1.157625</v>
      </c>
      <c r="J767" s="53" t="n">
        <f aca="false">(1+$D$723)^(J$766-$E$766-1)</f>
        <v>1.21550625</v>
      </c>
      <c r="K767" s="23"/>
      <c r="L767" s="49" t="s">
        <v>598</v>
      </c>
    </row>
    <row r="768" customFormat="false" ht="15" hidden="true" customHeight="false" outlineLevel="1" collapsed="false">
      <c r="A768" s="20" t="n">
        <v>52</v>
      </c>
      <c r="B768" s="6" t="s">
        <v>599</v>
      </c>
      <c r="C768" s="20" t="s">
        <v>62</v>
      </c>
      <c r="D768" s="23"/>
      <c r="E768" s="23"/>
      <c r="F768" s="53" t="n">
        <f aca="false">(1+$D$741)^(F$766-$E$766-1)</f>
        <v>1</v>
      </c>
      <c r="G768" s="53" t="n">
        <f aca="false">(1+$D$741)^(G$766-$E$766-1)</f>
        <v>1.05</v>
      </c>
      <c r="H768" s="53" t="n">
        <f aca="false">(1+$D$741)^(H$766-$E$766-1)</f>
        <v>1.1025</v>
      </c>
      <c r="I768" s="53" t="n">
        <f aca="false">(1+$D$741)^(I$766-$E$766-1)</f>
        <v>1.157625</v>
      </c>
      <c r="J768" s="53" t="n">
        <f aca="false">(1+$D$741)^(J$766-$E$766-1)</f>
        <v>1.21550625</v>
      </c>
      <c r="K768" s="23"/>
      <c r="L768" s="49" t="s">
        <v>600</v>
      </c>
    </row>
    <row r="769" customFormat="false" ht="15" hidden="true" customHeight="false" outlineLevel="1" collapsed="false">
      <c r="A769" s="20" t="n">
        <v>53</v>
      </c>
      <c r="B769" s="6" t="s">
        <v>601</v>
      </c>
      <c r="C769" s="20" t="s">
        <v>62</v>
      </c>
      <c r="D769" s="23"/>
      <c r="E769" s="23"/>
      <c r="F769" s="53" t="n">
        <f aca="false">(1+$D$725)^(F$766-$E$766-1)</f>
        <v>1</v>
      </c>
      <c r="G769" s="53" t="n">
        <f aca="false">(1+$D$725)^(G$766-$E$766-1)</f>
        <v>1.07</v>
      </c>
      <c r="H769" s="53" t="n">
        <f aca="false">(1+$D$725)^(H$766-$E$766-1)</f>
        <v>1.1449</v>
      </c>
      <c r="I769" s="53" t="n">
        <f aca="false">(1+$D$725)^(I$766-$E$766-1)</f>
        <v>1.225043</v>
      </c>
      <c r="J769" s="53" t="n">
        <f aca="false">(1+$D$725)^(J$766-$E$766-1)</f>
        <v>1.31079601</v>
      </c>
      <c r="K769" s="23"/>
      <c r="L769" s="49" t="s">
        <v>602</v>
      </c>
    </row>
    <row r="770" customFormat="false" ht="15" hidden="true" customHeight="false" outlineLevel="1" collapsed="false">
      <c r="A770" s="20" t="n">
        <v>54</v>
      </c>
      <c r="B770" s="6" t="s">
        <v>603</v>
      </c>
      <c r="C770" s="20" t="s">
        <v>55</v>
      </c>
      <c r="D770" s="23"/>
      <c r="E770" s="23"/>
      <c r="F770" s="46" t="n">
        <f aca="false">$D$729*(1+$D$730)^(F$766-$E$766)</f>
        <v>3.21732</v>
      </c>
      <c r="G770" s="46" t="n">
        <f aca="false">$D$729*(1+$D$730)^(G$766-$E$766)</f>
        <v>3.4747056</v>
      </c>
      <c r="H770" s="46" t="n">
        <f aca="false">$D$729*(1+$D$730)^(H$766-$E$766)</f>
        <v>3.752682048</v>
      </c>
      <c r="I770" s="46" t="n">
        <f aca="false">$D$729*(1+$D$730)^(I$766-$E$766)</f>
        <v>4.05289661184</v>
      </c>
      <c r="J770" s="46" t="n">
        <f aca="false">$D$729*(1+$D$730)^(J$766-$E$766)</f>
        <v>4.3771283407872</v>
      </c>
      <c r="K770" s="23"/>
      <c r="L770" s="49" t="s">
        <v>604</v>
      </c>
    </row>
    <row r="771" customFormat="false" ht="15" hidden="true" customHeight="false" outlineLevel="1" collapsed="false">
      <c r="A771" s="19" t="s">
        <v>605</v>
      </c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</row>
    <row r="772" customFormat="false" ht="15" hidden="true" customHeight="false" outlineLevel="1" collapsed="false">
      <c r="A772" s="20" t="n">
        <v>55</v>
      </c>
      <c r="B772" s="6" t="s">
        <v>606</v>
      </c>
      <c r="C772" s="20" t="s">
        <v>76</v>
      </c>
      <c r="D772" s="23"/>
      <c r="E772" s="23"/>
      <c r="F772" s="38" t="n">
        <f aca="false">IF(F$766=$D$716,1,0)</f>
        <v>1</v>
      </c>
      <c r="G772" s="38" t="n">
        <f aca="false">IF(G$766=$D$716,1,0)</f>
        <v>0</v>
      </c>
      <c r="H772" s="38" t="n">
        <f aca="false">IF(H$766=$D$716,1,0)</f>
        <v>0</v>
      </c>
      <c r="I772" s="38" t="n">
        <f aca="false">IF(I$766=$D$716,1,0)</f>
        <v>0</v>
      </c>
      <c r="J772" s="38" t="n">
        <f aca="false">IF(J$766=$D$716,1,0)</f>
        <v>0</v>
      </c>
      <c r="K772" s="23"/>
      <c r="L772" s="49" t="s">
        <v>607</v>
      </c>
    </row>
    <row r="773" customFormat="false" ht="15" hidden="true" customHeight="false" outlineLevel="1" collapsed="false">
      <c r="A773" s="20" t="n">
        <v>56</v>
      </c>
      <c r="B773" s="6" t="s">
        <v>608</v>
      </c>
      <c r="C773" s="20" t="s">
        <v>76</v>
      </c>
      <c r="D773" s="23"/>
      <c r="E773" s="38" t="n">
        <f aca="false">0</f>
        <v>0</v>
      </c>
      <c r="F773" s="38" t="n">
        <f aca="false">F772+F757</f>
        <v>1</v>
      </c>
      <c r="G773" s="38" t="n">
        <f aca="false">G772+G757</f>
        <v>0</v>
      </c>
      <c r="H773" s="38" t="n">
        <f aca="false">H772+H757</f>
        <v>1</v>
      </c>
      <c r="I773" s="38" t="n">
        <f aca="false">I772+I757</f>
        <v>0</v>
      </c>
      <c r="J773" s="38" t="n">
        <f aca="false">J772+J757</f>
        <v>1</v>
      </c>
      <c r="K773" s="54" t="n">
        <f aca="false">SUM(F773:J773)</f>
        <v>3</v>
      </c>
      <c r="L773" s="49" t="s">
        <v>609</v>
      </c>
    </row>
    <row r="774" customFormat="false" ht="15" hidden="true" customHeight="false" outlineLevel="1" collapsed="false">
      <c r="A774" s="20" t="n">
        <v>57</v>
      </c>
      <c r="B774" s="6" t="s">
        <v>610</v>
      </c>
      <c r="C774" s="20" t="s">
        <v>76</v>
      </c>
      <c r="D774" s="23"/>
      <c r="E774" s="38" t="n">
        <f aca="false">0</f>
        <v>0</v>
      </c>
      <c r="F774" s="38" t="n">
        <f aca="false">E774+F773</f>
        <v>1</v>
      </c>
      <c r="G774" s="38" t="n">
        <f aca="false">F774+G773</f>
        <v>1</v>
      </c>
      <c r="H774" s="38" t="n">
        <f aca="false">G774+H773</f>
        <v>2</v>
      </c>
      <c r="I774" s="38" t="n">
        <f aca="false">H774+I773</f>
        <v>2</v>
      </c>
      <c r="J774" s="38" t="n">
        <f aca="false">I774+J773</f>
        <v>3</v>
      </c>
      <c r="K774" s="23"/>
      <c r="L774" s="49" t="s">
        <v>611</v>
      </c>
    </row>
    <row r="775" customFormat="false" ht="15" hidden="true" customHeight="false" outlineLevel="1" collapsed="false">
      <c r="A775" s="20" t="n">
        <v>58</v>
      </c>
      <c r="B775" s="6" t="s">
        <v>612</v>
      </c>
      <c r="C775" s="20" t="s">
        <v>76</v>
      </c>
      <c r="D775" s="23"/>
      <c r="E775" s="38" t="n">
        <f aca="false">0</f>
        <v>0</v>
      </c>
      <c r="F775" s="38" t="n">
        <f aca="false">E775+F758</f>
        <v>0</v>
      </c>
      <c r="G775" s="38" t="n">
        <f aca="false">F775+G758</f>
        <v>1</v>
      </c>
      <c r="H775" s="38" t="n">
        <f aca="false">G775+H758</f>
        <v>3</v>
      </c>
      <c r="I775" s="38" t="n">
        <f aca="false">H775+I758</f>
        <v>5</v>
      </c>
      <c r="J775" s="38" t="n">
        <f aca="false">I775+J758</f>
        <v>8</v>
      </c>
      <c r="K775" s="23"/>
      <c r="L775" s="49" t="s">
        <v>611</v>
      </c>
    </row>
    <row r="776" customFormat="false" ht="15" hidden="true" customHeight="false" outlineLevel="1" collapsed="false">
      <c r="A776" s="20" t="n">
        <v>59</v>
      </c>
      <c r="B776" s="6" t="s">
        <v>613</v>
      </c>
      <c r="C776" s="20" t="s">
        <v>76</v>
      </c>
      <c r="D776" s="23"/>
      <c r="E776" s="38" t="n">
        <f aca="false">0</f>
        <v>0</v>
      </c>
      <c r="F776" s="38" t="n">
        <f aca="false">F774+F775</f>
        <v>1</v>
      </c>
      <c r="G776" s="38" t="n">
        <f aca="false">G774+G775</f>
        <v>2</v>
      </c>
      <c r="H776" s="38" t="n">
        <f aca="false">H774+H775</f>
        <v>5</v>
      </c>
      <c r="I776" s="38" t="n">
        <f aca="false">I774+I775</f>
        <v>7</v>
      </c>
      <c r="J776" s="38" t="n">
        <f aca="false">J774+J775</f>
        <v>11</v>
      </c>
      <c r="K776" s="23"/>
      <c r="L776" s="49" t="s">
        <v>614</v>
      </c>
    </row>
    <row r="777" customFormat="false" ht="15" hidden="true" customHeight="false" outlineLevel="1" collapsed="false">
      <c r="A777" s="20" t="n">
        <v>60</v>
      </c>
      <c r="B777" s="6" t="s">
        <v>615</v>
      </c>
      <c r="C777" s="20" t="s">
        <v>76</v>
      </c>
      <c r="D777" s="23"/>
      <c r="E777" s="23"/>
      <c r="F777" s="38" t="n">
        <f aca="false">F773+F758</f>
        <v>1</v>
      </c>
      <c r="G777" s="38" t="n">
        <f aca="false">G773+G758</f>
        <v>1</v>
      </c>
      <c r="H777" s="38" t="n">
        <f aca="false">H773+H758</f>
        <v>3</v>
      </c>
      <c r="I777" s="38" t="n">
        <f aca="false">I773+I758</f>
        <v>2</v>
      </c>
      <c r="J777" s="38" t="n">
        <f aca="false">J773+J758</f>
        <v>4</v>
      </c>
      <c r="K777" s="54" t="n">
        <f aca="false">SUM(F777:J777)</f>
        <v>11</v>
      </c>
      <c r="L777" s="49"/>
    </row>
    <row r="778" customFormat="false" ht="15" hidden="true" customHeight="false" outlineLevel="1" collapsed="false">
      <c r="A778" s="19" t="s">
        <v>616</v>
      </c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</row>
    <row r="779" customFormat="false" ht="15" hidden="true" customHeight="false" outlineLevel="1" collapsed="false">
      <c r="A779" s="20" t="n">
        <v>61</v>
      </c>
      <c r="B779" s="6" t="s">
        <v>617</v>
      </c>
      <c r="C779" s="20" t="s">
        <v>71</v>
      </c>
      <c r="D779" s="23"/>
      <c r="E779" s="23"/>
      <c r="F779" s="40" t="n">
        <f aca="false">IF(F$766&gt;$D$716,($D$718+$D$717*$D$719)*(1+$D$724)^(F$766-$D$716-1)*F767,0)</f>
        <v>0</v>
      </c>
      <c r="G779" s="40" t="n">
        <f aca="false">IF(G$766&gt;$D$716,($D$718+$D$717*$D$719)*(1+$D$724)^(G$766-$D$716-1)*G767,0)</f>
        <v>15.75</v>
      </c>
      <c r="H779" s="40" t="n">
        <f aca="false">IF(H$766&gt;$D$716,($D$718+$D$717*$D$719)*(1+$D$724)^(H$766-$D$716-1)*H767,0)</f>
        <v>18.522</v>
      </c>
      <c r="I779" s="40" t="n">
        <f aca="false">IF(I$766&gt;$D$716,($D$718+$D$717*$D$719)*(1+$D$724)^(I$766-$D$716-1)*I767,0)</f>
        <v>21.781872</v>
      </c>
      <c r="J779" s="40" t="n">
        <f aca="false">IF(J$766&gt;$D$716,($D$718+$D$717*$D$719)*(1+$D$724)^(J$766-$D$716-1)*J767,0)</f>
        <v>25.615481472</v>
      </c>
      <c r="K779" s="51" t="n">
        <f aca="false">SUM(F779:J779)</f>
        <v>81.669353472</v>
      </c>
      <c r="L779" s="49" t="s">
        <v>618</v>
      </c>
    </row>
    <row r="780" customFormat="false" ht="15" hidden="true" customHeight="false" outlineLevel="1" collapsed="false">
      <c r="A780" s="20" t="n">
        <v>62</v>
      </c>
      <c r="B780" s="6" t="s">
        <v>619</v>
      </c>
      <c r="C780" s="20" t="s">
        <v>71</v>
      </c>
      <c r="D780" s="23"/>
      <c r="E780" s="23"/>
      <c r="F780" s="40" t="n">
        <f aca="false">($D$718+$D$749*$D$719)*F767*SUMPRODUCT($E$757:E$757,(1+$D$724)^(F$766-$E$766:E$766-1))</f>
        <v>0</v>
      </c>
      <c r="G780" s="40" t="n">
        <f aca="false">($D$718+$D$749*$D$719)*G767*SUMPRODUCT($E$757:F$757,(1+$D$724)^(G$766-$E$766:F$766-1))</f>
        <v>0</v>
      </c>
      <c r="H780" s="40" t="n">
        <f aca="false">($D$718+$D$749*$D$719)*H767*SUMPRODUCT($E$757:G$757,(1+$D$724)^(H$766-$E$766:G$766-1))</f>
        <v>0</v>
      </c>
      <c r="I780" s="40" t="n">
        <f aca="false">($D$718+$D$749*$D$719)*I767*SUMPRODUCT($E$757:H$757,(1+$D$724)^(I$766-$E$766:H$766-1))</f>
        <v>9.78719318181818</v>
      </c>
      <c r="J780" s="40" t="n">
        <f aca="false">($D$718+$D$749*$D$719)*J767*SUMPRODUCT($E$757:I$757,(1+$D$724)^(J$766-$E$766:I$766-1))</f>
        <v>11.5097391818182</v>
      </c>
      <c r="K780" s="51" t="n">
        <f aca="false">SUM(F780:J780)</f>
        <v>21.2969323636364</v>
      </c>
      <c r="L780" s="49" t="s">
        <v>620</v>
      </c>
    </row>
    <row r="781" customFormat="false" ht="15" hidden="true" customHeight="false" outlineLevel="1" collapsed="false">
      <c r="A781" s="20" t="n">
        <v>63</v>
      </c>
      <c r="B781" s="6" t="s">
        <v>621</v>
      </c>
      <c r="C781" s="20" t="s">
        <v>71</v>
      </c>
      <c r="D781" s="23"/>
      <c r="E781" s="23"/>
      <c r="F781" s="40" t="n">
        <f aca="false">($D$720+$D$750*$D$719)*F767*SUMPRODUCT($E$758:E$758,(1+$D$724)^(F$766-$E$766:E$766-1))</f>
        <v>0</v>
      </c>
      <c r="G781" s="40" t="n">
        <f aca="false">($D$720+$D$750*$D$719)*G767*SUMPRODUCT($E$758:F$758,(1+$D$724)^(G$766-$E$766:F$766-1))</f>
        <v>0</v>
      </c>
      <c r="H781" s="40" t="n">
        <f aca="false">($D$720+$D$750*$D$719)*H767*SUMPRODUCT($E$758:G$758,(1+$D$724)^(H$766-$E$766:G$766-1))</f>
        <v>1.8087890625</v>
      </c>
      <c r="I781" s="40" t="n">
        <f aca="false">($D$720+$D$750*$D$719)*I767*SUMPRODUCT($E$758:H$758,(1+$D$724)^(I$766-$E$766:H$766-1))</f>
        <v>5.92559296875</v>
      </c>
      <c r="J781" s="40" t="n">
        <f aca="false">($D$720+$D$750*$D$719)*J767*SUMPRODUCT($E$758:I$758,(1+$D$724)^(J$766-$E$766:I$766-1))</f>
        <v>10.9568772140625</v>
      </c>
      <c r="K781" s="51" t="n">
        <f aca="false">SUM(F781:J781)</f>
        <v>18.6912592453125</v>
      </c>
      <c r="L781" s="49" t="s">
        <v>622</v>
      </c>
    </row>
    <row r="782" customFormat="false" ht="15" hidden="true" customHeight="false" outlineLevel="1" collapsed="false">
      <c r="A782" s="20" t="n">
        <v>64</v>
      </c>
      <c r="B782" s="6" t="s">
        <v>623</v>
      </c>
      <c r="C782" s="20" t="s">
        <v>71</v>
      </c>
      <c r="D782" s="23"/>
      <c r="E782" s="23"/>
      <c r="F782" s="40" t="n">
        <f aca="false">(F773*$D$721+F758*$D$722)*F767</f>
        <v>8</v>
      </c>
      <c r="G782" s="40" t="n">
        <f aca="false">(G773*$D$721+G758*$D$722)*G767</f>
        <v>2.1</v>
      </c>
      <c r="H782" s="40" t="n">
        <f aca="false">(H773*$D$721+H758*$D$722)*H767</f>
        <v>13.23</v>
      </c>
      <c r="I782" s="40" t="n">
        <f aca="false">(I773*$D$721+I758*$D$722)*I767</f>
        <v>4.6305</v>
      </c>
      <c r="J782" s="40" t="n">
        <f aca="false">(J773*$D$721+J758*$D$722)*J767</f>
        <v>17.0170875</v>
      </c>
      <c r="K782" s="51" t="n">
        <f aca="false">SUM(F782:J782)</f>
        <v>44.9775875</v>
      </c>
      <c r="L782" s="49" t="s">
        <v>624</v>
      </c>
    </row>
    <row r="783" customFormat="false" ht="15" hidden="true" customHeight="false" outlineLevel="1" collapsed="false">
      <c r="A783" s="20" t="n">
        <v>65</v>
      </c>
      <c r="B783" s="6" t="s">
        <v>625</v>
      </c>
      <c r="C783" s="20" t="s">
        <v>71</v>
      </c>
      <c r="D783" s="23"/>
      <c r="E783" s="23"/>
      <c r="F783" s="40" t="n">
        <f aca="false">F779+F780+F781</f>
        <v>0</v>
      </c>
      <c r="G783" s="40" t="n">
        <f aca="false">G779+G780+G781</f>
        <v>15.75</v>
      </c>
      <c r="H783" s="40" t="n">
        <f aca="false">H779+H780+H781</f>
        <v>20.3307890625</v>
      </c>
      <c r="I783" s="40" t="n">
        <f aca="false">I779+I780+I781</f>
        <v>37.4946581505682</v>
      </c>
      <c r="J783" s="40" t="n">
        <f aca="false">J779+J780+J781</f>
        <v>48.0820978678807</v>
      </c>
      <c r="K783" s="51" t="n">
        <f aca="false">SUM(F783:J783)</f>
        <v>121.657545080949</v>
      </c>
      <c r="L783" s="49"/>
    </row>
    <row r="784" customFormat="false" ht="15" hidden="true" customHeight="false" outlineLevel="1" collapsed="false">
      <c r="A784" s="20" t="n">
        <v>66</v>
      </c>
      <c r="B784" s="6" t="s">
        <v>91</v>
      </c>
      <c r="C784" s="20" t="s">
        <v>71</v>
      </c>
      <c r="D784" s="23"/>
      <c r="E784" s="23"/>
      <c r="F784" s="40" t="n">
        <f aca="false">F783+F782</f>
        <v>8</v>
      </c>
      <c r="G784" s="40" t="n">
        <f aca="false">G783+G782</f>
        <v>17.85</v>
      </c>
      <c r="H784" s="40" t="n">
        <f aca="false">H783+H782</f>
        <v>33.5607890625</v>
      </c>
      <c r="I784" s="40" t="n">
        <f aca="false">I783+I782</f>
        <v>42.1251581505682</v>
      </c>
      <c r="J784" s="40" t="n">
        <f aca="false">J783+J782</f>
        <v>65.0991853678807</v>
      </c>
      <c r="K784" s="51" t="n">
        <f aca="false">SUM(F784:J784)</f>
        <v>166.635132580949</v>
      </c>
      <c r="L784" s="49" t="s">
        <v>626</v>
      </c>
    </row>
    <row r="785" customFormat="false" ht="15" hidden="true" customHeight="false" outlineLevel="1" collapsed="false">
      <c r="A785" s="20" t="n">
        <v>67</v>
      </c>
      <c r="B785" s="6" t="s">
        <v>627</v>
      </c>
      <c r="C785" s="20" t="s">
        <v>55</v>
      </c>
      <c r="D785" s="23"/>
      <c r="E785" s="23"/>
      <c r="F785" s="40" t="n">
        <f aca="false">IF(F$766&gt;=$D$716,($D$718+$D$717*$D$719)*(1+$D$724)^(F$766-$D$716)*F767,0)+($D$718+$D$749*$D$719)*F767*SUMPRODUCT($E$757:F$757,(1+$D$724)^(F$766-$E$766:F$766))+($D$720+$D$750*$D$719)*F767*SUMPRODUCT($E$758:F$758,(1+$D$724)^(F$766-$E$766:F$766))</f>
        <v>15</v>
      </c>
      <c r="G785" s="40" t="n">
        <f aca="false">IF(G$766&gt;=$D$716,($D$718+$D$717*$D$719)*(1+$D$724)^(G$766-$D$716)*G767,0)+($D$718+$D$749*$D$719)*G767*SUMPRODUCT($E$757:G$757,(1+$D$724)^(G$766-$E$766:G$766))+($D$720+$D$750*$D$719)*G767*SUMPRODUCT($E$758:G$758,(1+$D$724)^(G$766-$E$766:G$766))</f>
        <v>19.36265625</v>
      </c>
      <c r="H785" s="40" t="n">
        <f aca="false">IF(H$766&gt;=$D$716,($D$718+$D$717*$D$719)*(1+$D$724)^(H$766-$D$716)*H767,0)+($D$718+$D$749*$D$719)*H767*SUMPRODUCT($E$757:H$757,(1+$D$724)^(H$766-$E$766:H$766))+($D$720+$D$750*$D$719)*H767*SUMPRODUCT($E$758:H$758,(1+$D$724)^(H$766-$E$766:H$766))</f>
        <v>35.7091982386364</v>
      </c>
      <c r="I785" s="40" t="n">
        <f aca="false">IF(I$766&gt;=$D$716,($D$718+$D$717*$D$719)*(1+$D$724)^(I$766-$D$716)*I767,0)+($D$718+$D$749*$D$719)*I767*SUMPRODUCT($E$757:I$757,(1+$D$724)^(I$766-$E$766:I$766))+($D$720+$D$750*$D$719)*I767*SUMPRODUCT($E$758:I$758,(1+$D$724)^(I$766-$E$766:I$766))</f>
        <v>45.7924741598864</v>
      </c>
      <c r="J785" s="40" t="n">
        <f aca="false">IF(J$766&gt;=$D$716,($D$718+$D$717*$D$719)*(1+$D$724)^(J$766-$D$716)*J767,0)+($D$718+$D$749*$D$719)*J767*SUMPRODUCT($E$757:J$757,(1+$D$724)^(J$766-$E$766:J$766))+($D$720+$D$750*$D$719)*J767*SUMPRODUCT($E$758:J$758,(1+$D$724)^(J$766-$E$766:J$766))</f>
        <v>70.1110722771543</v>
      </c>
      <c r="K785" s="23"/>
      <c r="L785" s="49" t="s">
        <v>628</v>
      </c>
    </row>
    <row r="786" customFormat="false" ht="15" hidden="true" customHeight="false" outlineLevel="1" collapsed="false">
      <c r="A786" s="19" t="s">
        <v>629</v>
      </c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</row>
    <row r="787" customFormat="false" ht="15" hidden="true" customHeight="false" outlineLevel="1" collapsed="false">
      <c r="A787" s="20" t="n">
        <v>68</v>
      </c>
      <c r="B787" s="6" t="s">
        <v>630</v>
      </c>
      <c r="C787" s="20" t="s">
        <v>53</v>
      </c>
      <c r="D787" s="23"/>
      <c r="E787" s="40" t="n">
        <f aca="false">E759+E760+E761+E762+E763+E764</f>
        <v>2</v>
      </c>
      <c r="F787" s="40" t="n">
        <f aca="false">F759+F760+F761+F762+F763+F764</f>
        <v>4</v>
      </c>
      <c r="G787" s="40" t="n">
        <f aca="false">G759+G760+G761+G762+G763+G764</f>
        <v>5</v>
      </c>
      <c r="H787" s="40" t="n">
        <f aca="false">H759+H760+H761+H762+H763+H764</f>
        <v>6</v>
      </c>
      <c r="I787" s="40" t="n">
        <f aca="false">I759+I760+I761+I762+I763+I764</f>
        <v>7</v>
      </c>
      <c r="J787" s="40" t="n">
        <f aca="false">J759+J760+J761+J762+J763+J764</f>
        <v>8</v>
      </c>
      <c r="K787" s="23"/>
      <c r="L787" s="49" t="s">
        <v>631</v>
      </c>
    </row>
    <row r="788" customFormat="false" ht="15" hidden="true" customHeight="false" outlineLevel="1" collapsed="false">
      <c r="A788" s="20" t="n">
        <v>69</v>
      </c>
      <c r="B788" s="6" t="s">
        <v>632</v>
      </c>
      <c r="C788" s="20" t="s">
        <v>53</v>
      </c>
      <c r="D788" s="23"/>
      <c r="E788" s="23"/>
      <c r="F788" s="40" t="n">
        <f aca="false">MAX(0,F787-E787)</f>
        <v>2</v>
      </c>
      <c r="G788" s="40" t="n">
        <f aca="false">MAX(0,G787-F787)</f>
        <v>1</v>
      </c>
      <c r="H788" s="40" t="n">
        <f aca="false">MAX(0,H787-G787)</f>
        <v>1</v>
      </c>
      <c r="I788" s="40" t="n">
        <f aca="false">MAX(0,I787-H787)</f>
        <v>1</v>
      </c>
      <c r="J788" s="40" t="n">
        <f aca="false">MAX(0,J787-I787)</f>
        <v>1</v>
      </c>
      <c r="K788" s="23"/>
      <c r="L788" s="49" t="s">
        <v>633</v>
      </c>
    </row>
    <row r="789" customFormat="false" ht="15" hidden="true" customHeight="false" outlineLevel="1" collapsed="false">
      <c r="A789" s="20" t="n">
        <v>70</v>
      </c>
      <c r="B789" s="6" t="s">
        <v>634</v>
      </c>
      <c r="C789" s="20" t="s">
        <v>71</v>
      </c>
      <c r="D789" s="23"/>
      <c r="E789" s="23"/>
      <c r="F789" s="41" t="n">
        <f aca="false">$D$751*12/1000*F769</f>
        <v>2.4</v>
      </c>
      <c r="G789" s="41" t="n">
        <f aca="false">$D$751*12/1000*G769</f>
        <v>2.568</v>
      </c>
      <c r="H789" s="41" t="n">
        <f aca="false">$D$751*12/1000*H769</f>
        <v>2.74776</v>
      </c>
      <c r="I789" s="41" t="n">
        <f aca="false">$D$751*12/1000*I769</f>
        <v>2.9401032</v>
      </c>
      <c r="J789" s="41" t="n">
        <f aca="false">$D$751*12/1000*J769</f>
        <v>3.145910424</v>
      </c>
      <c r="K789" s="23"/>
      <c r="L789" s="49" t="s">
        <v>635</v>
      </c>
    </row>
    <row r="790" customFormat="false" ht="15" hidden="true" customHeight="false" outlineLevel="1" collapsed="false">
      <c r="A790" s="20" t="n">
        <v>71</v>
      </c>
      <c r="B790" s="6" t="s">
        <v>636</v>
      </c>
      <c r="C790" s="20" t="s">
        <v>71</v>
      </c>
      <c r="D790" s="23"/>
      <c r="E790" s="23"/>
      <c r="F790" s="41" t="n">
        <f aca="false">$D$752*12/1000*F769</f>
        <v>3.36</v>
      </c>
      <c r="G790" s="41" t="n">
        <f aca="false">$D$752*12/1000*G769</f>
        <v>3.5952</v>
      </c>
      <c r="H790" s="41" t="n">
        <f aca="false">$D$752*12/1000*H769</f>
        <v>3.846864</v>
      </c>
      <c r="I790" s="41" t="n">
        <f aca="false">$D$752*12/1000*I769</f>
        <v>4.11614448</v>
      </c>
      <c r="J790" s="41" t="n">
        <f aca="false">$D$752*12/1000*J769</f>
        <v>4.4042745936</v>
      </c>
      <c r="K790" s="23"/>
      <c r="L790" s="49" t="s">
        <v>635</v>
      </c>
    </row>
    <row r="791" customFormat="false" ht="15" hidden="true" customHeight="false" outlineLevel="1" collapsed="false">
      <c r="A791" s="20" t="n">
        <v>72</v>
      </c>
      <c r="B791" s="6" t="s">
        <v>637</v>
      </c>
      <c r="C791" s="20" t="s">
        <v>71</v>
      </c>
      <c r="D791" s="23"/>
      <c r="E791" s="23"/>
      <c r="F791" s="41" t="n">
        <f aca="false">$D$753*12/1000*F769</f>
        <v>2.76</v>
      </c>
      <c r="G791" s="41" t="n">
        <f aca="false">$D$753*12/1000*G769</f>
        <v>2.9532</v>
      </c>
      <c r="H791" s="41" t="n">
        <f aca="false">$D$753*12/1000*H769</f>
        <v>3.159924</v>
      </c>
      <c r="I791" s="41" t="n">
        <f aca="false">$D$753*12/1000*I769</f>
        <v>3.38111868</v>
      </c>
      <c r="J791" s="41" t="n">
        <f aca="false">$D$753*12/1000*J769</f>
        <v>3.6177969876</v>
      </c>
      <c r="K791" s="23"/>
      <c r="L791" s="49" t="s">
        <v>635</v>
      </c>
    </row>
    <row r="792" customFormat="false" ht="15" hidden="true" customHeight="false" outlineLevel="1" collapsed="false">
      <c r="A792" s="20" t="n">
        <v>73</v>
      </c>
      <c r="B792" s="6" t="s">
        <v>638</v>
      </c>
      <c r="C792" s="20" t="s">
        <v>71</v>
      </c>
      <c r="D792" s="23"/>
      <c r="E792" s="23"/>
      <c r="F792" s="41" t="n">
        <f aca="false">$D$754*12/1000*F769</f>
        <v>2.64</v>
      </c>
      <c r="G792" s="41" t="n">
        <f aca="false">$D$754*12/1000*G769</f>
        <v>2.8248</v>
      </c>
      <c r="H792" s="41" t="n">
        <f aca="false">$D$754*12/1000*H769</f>
        <v>3.022536</v>
      </c>
      <c r="I792" s="41" t="n">
        <f aca="false">$D$754*12/1000*I769</f>
        <v>3.23411352</v>
      </c>
      <c r="J792" s="41" t="n">
        <f aca="false">$D$754*12/1000*J769</f>
        <v>3.4605014664</v>
      </c>
      <c r="K792" s="23"/>
      <c r="L792" s="49" t="s">
        <v>635</v>
      </c>
    </row>
    <row r="793" customFormat="false" ht="15" hidden="true" customHeight="false" outlineLevel="1" collapsed="false">
      <c r="A793" s="20" t="n">
        <v>74</v>
      </c>
      <c r="B793" s="6" t="s">
        <v>639</v>
      </c>
      <c r="C793" s="20" t="s">
        <v>71</v>
      </c>
      <c r="D793" s="23"/>
      <c r="E793" s="23"/>
      <c r="F793" s="41" t="n">
        <f aca="false">$D$755*12/1000*F769</f>
        <v>3</v>
      </c>
      <c r="G793" s="41" t="n">
        <f aca="false">$D$755*12/1000*G769</f>
        <v>3.21</v>
      </c>
      <c r="H793" s="41" t="n">
        <f aca="false">$D$755*12/1000*H769</f>
        <v>3.4347</v>
      </c>
      <c r="I793" s="41" t="n">
        <f aca="false">$D$755*12/1000*I769</f>
        <v>3.675129</v>
      </c>
      <c r="J793" s="41" t="n">
        <f aca="false">$D$755*12/1000*J769</f>
        <v>3.93238803</v>
      </c>
      <c r="K793" s="23"/>
      <c r="L793" s="49" t="s">
        <v>635</v>
      </c>
    </row>
    <row r="794" customFormat="false" ht="15" hidden="true" customHeight="false" outlineLevel="1" collapsed="false">
      <c r="A794" s="20" t="n">
        <v>75</v>
      </c>
      <c r="B794" s="6" t="s">
        <v>640</v>
      </c>
      <c r="C794" s="20" t="s">
        <v>71</v>
      </c>
      <c r="D794" s="23"/>
      <c r="E794" s="23"/>
      <c r="F794" s="41" t="n">
        <f aca="false">$D$756*12/1000*F769</f>
        <v>2.64</v>
      </c>
      <c r="G794" s="41" t="n">
        <f aca="false">$D$756*12/1000*G769</f>
        <v>2.8248</v>
      </c>
      <c r="H794" s="41" t="n">
        <f aca="false">$D$756*12/1000*H769</f>
        <v>3.022536</v>
      </c>
      <c r="I794" s="41" t="n">
        <f aca="false">$D$756*12/1000*I769</f>
        <v>3.23411352</v>
      </c>
      <c r="J794" s="41" t="n">
        <f aca="false">$D$756*12/1000*J769</f>
        <v>3.4605014664</v>
      </c>
      <c r="K794" s="23"/>
      <c r="L794" s="49" t="s">
        <v>635</v>
      </c>
    </row>
    <row r="795" customFormat="false" ht="15" hidden="true" customHeight="false" outlineLevel="1" collapsed="false">
      <c r="A795" s="20" t="n">
        <v>76</v>
      </c>
      <c r="B795" s="6" t="s">
        <v>641</v>
      </c>
      <c r="C795" s="20" t="s">
        <v>71</v>
      </c>
      <c r="D795" s="23"/>
      <c r="E795" s="23"/>
      <c r="F795" s="40" t="n">
        <f aca="false">F759*F789</f>
        <v>4.8</v>
      </c>
      <c r="G795" s="40" t="n">
        <f aca="false">G759*G789</f>
        <v>5.136</v>
      </c>
      <c r="H795" s="40" t="n">
        <f aca="false">H759*H789</f>
        <v>5.49552</v>
      </c>
      <c r="I795" s="40" t="n">
        <f aca="false">I759*I789</f>
        <v>5.8802064</v>
      </c>
      <c r="J795" s="40" t="n">
        <f aca="false">J759*J789</f>
        <v>6.291820848</v>
      </c>
      <c r="K795" s="51" t="n">
        <f aca="false">SUM(F795:J795)</f>
        <v>27.603547248</v>
      </c>
      <c r="L795" s="49" t="s">
        <v>642</v>
      </c>
    </row>
    <row r="796" customFormat="false" ht="15" hidden="true" customHeight="false" outlineLevel="1" collapsed="false">
      <c r="A796" s="20" t="n">
        <v>77</v>
      </c>
      <c r="B796" s="6" t="s">
        <v>643</v>
      </c>
      <c r="C796" s="20" t="s">
        <v>71</v>
      </c>
      <c r="D796" s="23"/>
      <c r="E796" s="23"/>
      <c r="F796" s="40" t="n">
        <f aca="false">F760*F790</f>
        <v>3.36</v>
      </c>
      <c r="G796" s="40" t="n">
        <f aca="false">G760*G790</f>
        <v>3.5952</v>
      </c>
      <c r="H796" s="40" t="n">
        <f aca="false">H760*H790</f>
        <v>3.846864</v>
      </c>
      <c r="I796" s="40" t="n">
        <f aca="false">I760*I790</f>
        <v>8.23228896</v>
      </c>
      <c r="J796" s="40" t="n">
        <f aca="false">J760*J790</f>
        <v>8.8085491872</v>
      </c>
      <c r="K796" s="51" t="n">
        <f aca="false">SUM(F796:J796)</f>
        <v>27.8429021472</v>
      </c>
      <c r="L796" s="49" t="s">
        <v>642</v>
      </c>
    </row>
    <row r="797" customFormat="false" ht="15" hidden="true" customHeight="false" outlineLevel="1" collapsed="false">
      <c r="A797" s="20" t="n">
        <v>78</v>
      </c>
      <c r="B797" s="6" t="s">
        <v>644</v>
      </c>
      <c r="C797" s="20" t="s">
        <v>71</v>
      </c>
      <c r="D797" s="23"/>
      <c r="E797" s="23"/>
      <c r="F797" s="40" t="n">
        <f aca="false">F761*F791</f>
        <v>2.76</v>
      </c>
      <c r="G797" s="40" t="n">
        <f aca="false">G761*G791</f>
        <v>2.9532</v>
      </c>
      <c r="H797" s="40" t="n">
        <f aca="false">H761*H791</f>
        <v>3.159924</v>
      </c>
      <c r="I797" s="40" t="n">
        <f aca="false">I761*I791</f>
        <v>3.38111868</v>
      </c>
      <c r="J797" s="40" t="n">
        <f aca="false">J761*J791</f>
        <v>3.6177969876</v>
      </c>
      <c r="K797" s="51" t="n">
        <f aca="false">SUM(F797:J797)</f>
        <v>15.8720396676</v>
      </c>
      <c r="L797" s="49" t="s">
        <v>642</v>
      </c>
    </row>
    <row r="798" customFormat="false" ht="15" hidden="true" customHeight="false" outlineLevel="1" collapsed="false">
      <c r="A798" s="20" t="n">
        <v>79</v>
      </c>
      <c r="B798" s="6" t="s">
        <v>645</v>
      </c>
      <c r="C798" s="20" t="s">
        <v>71</v>
      </c>
      <c r="D798" s="23"/>
      <c r="E798" s="23"/>
      <c r="F798" s="40" t="n">
        <f aca="false">F762*F792</f>
        <v>0</v>
      </c>
      <c r="G798" s="40" t="n">
        <f aca="false">G762*G792</f>
        <v>2.8248</v>
      </c>
      <c r="H798" s="40" t="n">
        <f aca="false">H762*H792</f>
        <v>3.022536</v>
      </c>
      <c r="I798" s="40" t="n">
        <f aca="false">I762*I792</f>
        <v>3.23411352</v>
      </c>
      <c r="J798" s="40" t="n">
        <f aca="false">J762*J792</f>
        <v>3.4605014664</v>
      </c>
      <c r="K798" s="51" t="n">
        <f aca="false">SUM(F798:J798)</f>
        <v>12.5419509864</v>
      </c>
      <c r="L798" s="49" t="s">
        <v>642</v>
      </c>
    </row>
    <row r="799" customFormat="false" ht="15" hidden="true" customHeight="false" outlineLevel="1" collapsed="false">
      <c r="A799" s="20" t="n">
        <v>80</v>
      </c>
      <c r="B799" s="6" t="s">
        <v>646</v>
      </c>
      <c r="C799" s="20" t="s">
        <v>71</v>
      </c>
      <c r="D799" s="23"/>
      <c r="E799" s="23"/>
      <c r="F799" s="40" t="n">
        <f aca="false">F763*F793</f>
        <v>0</v>
      </c>
      <c r="G799" s="40" t="n">
        <f aca="false">G763*G793</f>
        <v>0</v>
      </c>
      <c r="H799" s="40" t="n">
        <f aca="false">H763*H793</f>
        <v>3.4347</v>
      </c>
      <c r="I799" s="40" t="n">
        <f aca="false">I763*I793</f>
        <v>3.675129</v>
      </c>
      <c r="J799" s="40" t="n">
        <f aca="false">J763*J793</f>
        <v>3.93238803</v>
      </c>
      <c r="K799" s="51" t="n">
        <f aca="false">SUM(F799:J799)</f>
        <v>11.04221703</v>
      </c>
      <c r="L799" s="49" t="s">
        <v>642</v>
      </c>
    </row>
    <row r="800" customFormat="false" ht="15" hidden="true" customHeight="false" outlineLevel="1" collapsed="false">
      <c r="A800" s="20" t="n">
        <v>81</v>
      </c>
      <c r="B800" s="6" t="s">
        <v>647</v>
      </c>
      <c r="C800" s="20" t="s">
        <v>71</v>
      </c>
      <c r="D800" s="23"/>
      <c r="E800" s="23"/>
      <c r="F800" s="40" t="n">
        <f aca="false">F764*F794</f>
        <v>0</v>
      </c>
      <c r="G800" s="40" t="n">
        <f aca="false">G764*G794</f>
        <v>0</v>
      </c>
      <c r="H800" s="40" t="n">
        <f aca="false">H764*H794</f>
        <v>0</v>
      </c>
      <c r="I800" s="40" t="n">
        <f aca="false">I764*I794</f>
        <v>0</v>
      </c>
      <c r="J800" s="40" t="n">
        <f aca="false">J764*J794</f>
        <v>3.4605014664</v>
      </c>
      <c r="K800" s="51" t="n">
        <f aca="false">SUM(F800:J800)</f>
        <v>3.4605014664</v>
      </c>
      <c r="L800" s="49" t="s">
        <v>642</v>
      </c>
    </row>
    <row r="801" customFormat="false" ht="15" hidden="true" customHeight="false" outlineLevel="1" collapsed="false">
      <c r="A801" s="20" t="n">
        <v>82</v>
      </c>
      <c r="B801" s="6" t="s">
        <v>648</v>
      </c>
      <c r="C801" s="20" t="s">
        <v>71</v>
      </c>
      <c r="D801" s="23"/>
      <c r="E801" s="23"/>
      <c r="F801" s="40" t="n">
        <f aca="false">F795+F796+F797+F798+F799+F800</f>
        <v>10.92</v>
      </c>
      <c r="G801" s="40" t="n">
        <f aca="false">G795+G796+G797+G798+G799+G800</f>
        <v>14.5092</v>
      </c>
      <c r="H801" s="40" t="n">
        <f aca="false">H795+H796+H797+H798+H799+H800</f>
        <v>18.959544</v>
      </c>
      <c r="I801" s="40" t="n">
        <f aca="false">I795+I796+I797+I798+I799+I800</f>
        <v>24.40285656</v>
      </c>
      <c r="J801" s="40" t="n">
        <f aca="false">J795+J796+J797+J798+J799+J800</f>
        <v>29.5715579856</v>
      </c>
      <c r="K801" s="51" t="n">
        <f aca="false">SUM(F801:J801)</f>
        <v>98.3631585456</v>
      </c>
      <c r="L801" s="49"/>
    </row>
    <row r="802" customFormat="false" ht="15" hidden="true" customHeight="false" outlineLevel="1" collapsed="false">
      <c r="A802" s="20" t="n">
        <v>83</v>
      </c>
      <c r="B802" s="6" t="s">
        <v>649</v>
      </c>
      <c r="C802" s="20" t="s">
        <v>71</v>
      </c>
      <c r="D802" s="23"/>
      <c r="E802" s="23"/>
      <c r="F802" s="40" t="n">
        <f aca="false">F759*(MIN(F789,F770)*$D$726+MAX(0,F789-F770)*$D$727+F789*$D$728)+F760*(MIN(F790,F770)*$D$726+MAX(0,F790-F770)*$D$727+F790*$D$728)+F761*(MIN(F791,F770)*$D$726+MAX(0,F791-F770)*$D$727+F791*$D$728)+F762*(MIN(F792,F770)*$D$726+MAX(0,F792-F770)*$D$727+F792*$D$728)+F763*(MIN(F793,F770)*$D$726+MAX(0,F793-F770)*$D$727+F793*$D$728)+F764*(MIN(F794,F770)*$D$726+MAX(0,F794-F770)*$D$727+F794*$D$728)</f>
        <v>1.64928168</v>
      </c>
      <c r="G802" s="40" t="n">
        <f aca="false">G759*(MIN(G789,G770)*$D$726+MAX(0,G789-G770)*$D$727+G789*$D$728)+G760*(MIN(G790,G770)*$D$726+MAX(0,G790-G770)*$D$727+G790*$D$728)+G761*(MIN(G791,G770)*$D$726+MAX(0,G791-G770)*$D$727+G791*$D$728)+G762*(MIN(G792,G770)*$D$726+MAX(0,G792-G770)*$D$727+G792*$D$728)+G763*(MIN(G793,G770)*$D$726+MAX(0,G793-G770)*$D$727+G793*$D$728)+G764*(MIN(G794,G770)*$D$726+MAX(0,G794-G770)*$D$727+G794*$D$728)</f>
        <v>2.1964818144</v>
      </c>
      <c r="H802" s="40" t="n">
        <f aca="false">H759*(MIN(H789,H770)*$D$726+MAX(0,H789-H770)*$D$727+H789*$D$728)+H760*(MIN(H790,H770)*$D$726+MAX(0,H790-H770)*$D$727+H790*$D$728)+H761*(MIN(H791,H770)*$D$726+MAX(0,H791-H770)*$D$727+H791*$D$728)+H762*(MIN(H792,H770)*$D$726+MAX(0,H792-H770)*$D$727+H792*$D$728)+H763*(MIN(H793,H770)*$D$726+MAX(0,H793-H770)*$D$727+H793*$D$728)+H764*(MIN(H794,H770)*$D$726+MAX(0,H794-H770)*$D$727+H794*$D$728)</f>
        <v>2.874881223552</v>
      </c>
      <c r="I802" s="40" t="n">
        <f aca="false">I759*(MIN(I789,I770)*$D$726+MAX(0,I789-I770)*$D$727+I789*$D$728)+I760*(MIN(I790,I770)*$D$726+MAX(0,I790-I770)*$D$727+I790*$D$728)+I761*(MIN(I791,I770)*$D$726+MAX(0,I791-I770)*$D$727+I791*$D$728)+I762*(MIN(I792,I770)*$D$726+MAX(0,I792-I770)*$D$727+I792*$D$728)+I763*(MIN(I793,I770)*$D$726+MAX(0,I793-I770)*$D$727+I793*$D$728)+I764*(MIN(I794,I770)*$D$726+MAX(0,I794-I770)*$D$727+I794*$D$728)</f>
        <v>3.69987351263232</v>
      </c>
      <c r="J802" s="40" t="n">
        <f aca="false">J759*(MIN(J789,J770)*$D$726+MAX(0,J789-J770)*$D$727+J789*$D$728)+J760*(MIN(J790,J770)*$D$726+MAX(0,J790-J770)*$D$727+J790*$D$728)+J761*(MIN(J791,J770)*$D$726+MAX(0,J791-J770)*$D$727+J791*$D$728)+J762*(MIN(J792,J770)*$D$726+MAX(0,J792-J770)*$D$727+J792*$D$728)+J763*(MIN(J793,J770)*$D$726+MAX(0,J793-J770)*$D$727+J793*$D$728)+J764*(MIN(J794,J770)*$D$726+MAX(0,J794-J770)*$D$727+J794*$D$728)</f>
        <v>4.49085916839491</v>
      </c>
      <c r="K802" s="51" t="n">
        <f aca="false">SUM(F802:J802)</f>
        <v>14.9113773989792</v>
      </c>
      <c r="L802" s="49" t="s">
        <v>650</v>
      </c>
    </row>
    <row r="803" customFormat="false" ht="15" hidden="true" customHeight="false" outlineLevel="1" collapsed="false">
      <c r="A803" s="20" t="n">
        <v>84</v>
      </c>
      <c r="B803" s="6" t="s">
        <v>651</v>
      </c>
      <c r="C803" s="20"/>
      <c r="D803" s="23"/>
      <c r="E803" s="23"/>
      <c r="F803" s="38" t="n">
        <f aca="false">IF(AND(F776&gt;0,E776=0),1,0)</f>
        <v>1</v>
      </c>
      <c r="G803" s="38" t="n">
        <f aca="false">IF(AND(G776&gt;0,F776=0),1,0)</f>
        <v>0</v>
      </c>
      <c r="H803" s="38" t="n">
        <f aca="false">IF(AND(H776&gt;0,G776=0),1,0)</f>
        <v>0</v>
      </c>
      <c r="I803" s="38" t="n">
        <f aca="false">IF(AND(I776&gt;0,H776=0),1,0)</f>
        <v>0</v>
      </c>
      <c r="J803" s="38" t="n">
        <f aca="false">IF(AND(J776&gt;0,I776=0),1,0)</f>
        <v>0</v>
      </c>
      <c r="K803" s="23"/>
      <c r="L803" s="49"/>
    </row>
    <row r="804" customFormat="false" ht="15" hidden="true" customHeight="false" outlineLevel="1" collapsed="false">
      <c r="A804" s="20" t="n">
        <v>85</v>
      </c>
      <c r="B804" s="6" t="s">
        <v>652</v>
      </c>
      <c r="C804" s="20" t="s">
        <v>71</v>
      </c>
      <c r="D804" s="23"/>
      <c r="E804" s="23"/>
      <c r="F804" s="40" t="n">
        <f aca="false">(F803*$D$731+IF(E776&gt;0,1,0)*$D$732)*F768</f>
        <v>2.5</v>
      </c>
      <c r="G804" s="40" t="n">
        <f aca="false">(G803*$D$731+IF(F776&gt;0,1,0)*$D$732)*G768</f>
        <v>1.05</v>
      </c>
      <c r="H804" s="40" t="n">
        <f aca="false">(H803*$D$731+IF(G776&gt;0,1,0)*$D$732)*H768</f>
        <v>1.1025</v>
      </c>
      <c r="I804" s="40" t="n">
        <f aca="false">(I803*$D$731+IF(H776&gt;0,1,0)*$D$732)*I768</f>
        <v>1.157625</v>
      </c>
      <c r="J804" s="40" t="n">
        <f aca="false">(J803*$D$731+IF(I776&gt;0,1,0)*$D$732)*J768</f>
        <v>1.21550625</v>
      </c>
      <c r="K804" s="51" t="n">
        <f aca="false">SUM(F804:J804)</f>
        <v>7.02563125</v>
      </c>
      <c r="L804" s="49" t="s">
        <v>653</v>
      </c>
    </row>
    <row r="805" customFormat="false" ht="15" hidden="true" customHeight="false" outlineLevel="1" collapsed="false">
      <c r="A805" s="20" t="n">
        <v>86</v>
      </c>
      <c r="B805" s="6" t="s">
        <v>302</v>
      </c>
      <c r="C805" s="20" t="s">
        <v>71</v>
      </c>
      <c r="D805" s="23"/>
      <c r="E805" s="23"/>
      <c r="F805" s="40" t="n">
        <f aca="false">$D$733*F768</f>
        <v>0.6</v>
      </c>
      <c r="G805" s="40" t="n">
        <f aca="false">$D$733*G768</f>
        <v>0.63</v>
      </c>
      <c r="H805" s="40" t="n">
        <f aca="false">$D$733*H768</f>
        <v>0.6615</v>
      </c>
      <c r="I805" s="40" t="n">
        <f aca="false">$D$733*I768</f>
        <v>0.694575</v>
      </c>
      <c r="J805" s="40" t="n">
        <f aca="false">$D$733*J768</f>
        <v>0.72930375</v>
      </c>
      <c r="K805" s="51" t="n">
        <f aca="false">SUM(F805:J805)</f>
        <v>3.31537875</v>
      </c>
      <c r="L805" s="49"/>
    </row>
    <row r="806" customFormat="false" ht="15" hidden="true" customHeight="false" outlineLevel="1" collapsed="false">
      <c r="A806" s="20" t="n">
        <v>87</v>
      </c>
      <c r="B806" s="6" t="s">
        <v>654</v>
      </c>
      <c r="C806" s="20" t="s">
        <v>71</v>
      </c>
      <c r="D806" s="23"/>
      <c r="E806" s="23"/>
      <c r="F806" s="40" t="n">
        <f aca="false">$D$734*F787*F768</f>
        <v>0.6</v>
      </c>
      <c r="G806" s="40" t="n">
        <f aca="false">$D$734*G787*G768</f>
        <v>0.7875</v>
      </c>
      <c r="H806" s="40" t="n">
        <f aca="false">$D$734*H787*H768</f>
        <v>0.99225</v>
      </c>
      <c r="I806" s="40" t="n">
        <f aca="false">$D$734*I787*I768</f>
        <v>1.21550625</v>
      </c>
      <c r="J806" s="40" t="n">
        <f aca="false">$D$734*J787*J768</f>
        <v>1.4586075</v>
      </c>
      <c r="K806" s="51" t="n">
        <f aca="false">SUM(F806:J806)</f>
        <v>5.05386375</v>
      </c>
      <c r="L806" s="49" t="s">
        <v>655</v>
      </c>
    </row>
    <row r="807" customFormat="false" ht="15" hidden="true" customHeight="false" outlineLevel="1" collapsed="false">
      <c r="A807" s="20" t="n">
        <v>88</v>
      </c>
      <c r="B807" s="6" t="s">
        <v>656</v>
      </c>
      <c r="C807" s="20" t="s">
        <v>71</v>
      </c>
      <c r="D807" s="23"/>
      <c r="E807" s="23"/>
      <c r="F807" s="40" t="n">
        <f aca="false">($D$735+$D$736*F777)*F768</f>
        <v>1.4</v>
      </c>
      <c r="G807" s="40" t="n">
        <f aca="false">($D$735+$D$736*G777)*G768</f>
        <v>1.47</v>
      </c>
      <c r="H807" s="40" t="n">
        <f aca="false">($D$735+$D$736*H777)*H768</f>
        <v>2.4255</v>
      </c>
      <c r="I807" s="40" t="n">
        <f aca="false">($D$735+$D$736*I777)*I768</f>
        <v>2.083725</v>
      </c>
      <c r="J807" s="40" t="n">
        <f aca="false">($D$735+$D$736*J777)*J768</f>
        <v>3.16031625</v>
      </c>
      <c r="K807" s="51" t="n">
        <f aca="false">SUM(F807:J807)</f>
        <v>10.53954125</v>
      </c>
      <c r="L807" s="49" t="s">
        <v>657</v>
      </c>
    </row>
    <row r="808" customFormat="false" ht="15" hidden="true" customHeight="false" outlineLevel="1" collapsed="false">
      <c r="A808" s="20" t="n">
        <v>89</v>
      </c>
      <c r="B808" s="6" t="s">
        <v>658</v>
      </c>
      <c r="C808" s="20" t="s">
        <v>71</v>
      </c>
      <c r="D808" s="23"/>
      <c r="E808" s="23"/>
      <c r="F808" s="40" t="n">
        <f aca="false">($D$737+$D$738*F787)*F768</f>
        <v>1.6</v>
      </c>
      <c r="G808" s="40" t="n">
        <f aca="false">($D$737+$D$738*G787)*G768</f>
        <v>1.785</v>
      </c>
      <c r="H808" s="40" t="n">
        <f aca="false">($D$737+$D$738*H787)*H768</f>
        <v>1.9845</v>
      </c>
      <c r="I808" s="40" t="n">
        <f aca="false">($D$737+$D$738*I787)*I768</f>
        <v>2.1994875</v>
      </c>
      <c r="J808" s="40" t="n">
        <f aca="false">($D$737+$D$738*J787)*J768</f>
        <v>2.4310125</v>
      </c>
      <c r="K808" s="51" t="n">
        <f aca="false">SUM(F808:J808)</f>
        <v>10</v>
      </c>
      <c r="L808" s="49" t="s">
        <v>659</v>
      </c>
    </row>
    <row r="809" customFormat="false" ht="15" hidden="true" customHeight="false" outlineLevel="1" collapsed="false">
      <c r="A809" s="20" t="n">
        <v>90</v>
      </c>
      <c r="B809" s="6" t="s">
        <v>660</v>
      </c>
      <c r="C809" s="20" t="s">
        <v>71</v>
      </c>
      <c r="D809" s="23"/>
      <c r="E809" s="23"/>
      <c r="F809" s="40" t="n">
        <f aca="false">$D$739*F788*F768</f>
        <v>0.5</v>
      </c>
      <c r="G809" s="40" t="n">
        <f aca="false">$D$739*G788*G768</f>
        <v>0.2625</v>
      </c>
      <c r="H809" s="40" t="n">
        <f aca="false">$D$739*H788*H768</f>
        <v>0.275625</v>
      </c>
      <c r="I809" s="40" t="n">
        <f aca="false">$D$739*I788*I768</f>
        <v>0.28940625</v>
      </c>
      <c r="J809" s="40" t="n">
        <f aca="false">$D$739*J788*J768</f>
        <v>0.3038765625</v>
      </c>
      <c r="K809" s="51" t="n">
        <f aca="false">SUM(F809:J809)</f>
        <v>1.6314078125</v>
      </c>
      <c r="L809" s="49" t="s">
        <v>661</v>
      </c>
    </row>
    <row r="810" customFormat="false" ht="15" hidden="true" customHeight="false" outlineLevel="1" collapsed="false">
      <c r="A810" s="20" t="n">
        <v>91</v>
      </c>
      <c r="B810" s="6" t="s">
        <v>570</v>
      </c>
      <c r="C810" s="20" t="s">
        <v>71</v>
      </c>
      <c r="D810" s="23"/>
      <c r="E810" s="23"/>
      <c r="F810" s="40" t="n">
        <f aca="false">IF(F$766=$F$766,$D$740,0)</f>
        <v>0.3</v>
      </c>
      <c r="G810" s="40" t="n">
        <f aca="false">IF(G$766=$F$766,$D$740,0)</f>
        <v>0</v>
      </c>
      <c r="H810" s="40" t="n">
        <f aca="false">IF(H$766=$F$766,$D$740,0)</f>
        <v>0</v>
      </c>
      <c r="I810" s="40" t="n">
        <f aca="false">IF(I$766=$F$766,$D$740,0)</f>
        <v>0</v>
      </c>
      <c r="J810" s="40" t="n">
        <f aca="false">IF(J$766=$F$766,$D$740,0)</f>
        <v>0</v>
      </c>
      <c r="K810" s="51" t="n">
        <f aca="false">SUM(F810:J810)</f>
        <v>0.3</v>
      </c>
      <c r="L810" s="49" t="s">
        <v>662</v>
      </c>
    </row>
    <row r="811" customFormat="false" ht="15" hidden="true" customHeight="false" outlineLevel="1" collapsed="false">
      <c r="A811" s="20" t="n">
        <v>92</v>
      </c>
      <c r="B811" s="6" t="s">
        <v>663</v>
      </c>
      <c r="C811" s="20" t="s">
        <v>71</v>
      </c>
      <c r="D811" s="23"/>
      <c r="E811" s="23"/>
      <c r="F811" s="40" t="n">
        <f aca="false">F801+F802+F804+F805+F806+F807+F808+F809+F810</f>
        <v>20.06928168</v>
      </c>
      <c r="G811" s="40" t="n">
        <f aca="false">G801+G802+G804+G805+G806+G807+G808+G809+G810</f>
        <v>22.6906818144</v>
      </c>
      <c r="H811" s="40" t="n">
        <f aca="false">H801+H802+H804+H805+H806+H807+H808+H809+H810</f>
        <v>29.276300223552</v>
      </c>
      <c r="I811" s="40" t="n">
        <f aca="false">I801+I802+I804+I805+I806+I807+I808+I809+I810</f>
        <v>35.7430550726323</v>
      </c>
      <c r="J811" s="40" t="n">
        <f aca="false">J801+J802+J804+J805+J806+J807+J808+J809+J810</f>
        <v>43.3610399664949</v>
      </c>
      <c r="K811" s="51" t="n">
        <f aca="false">SUM(F811:J811)</f>
        <v>151.140358757079</v>
      </c>
      <c r="L811" s="49"/>
    </row>
    <row r="812" customFormat="false" ht="15" hidden="true" customHeight="false" outlineLevel="1" collapsed="false">
      <c r="A812" s="20" t="n">
        <v>93</v>
      </c>
      <c r="B812" s="6" t="s">
        <v>329</v>
      </c>
      <c r="C812" s="20" t="s">
        <v>71</v>
      </c>
      <c r="D812" s="23"/>
      <c r="E812" s="23"/>
      <c r="F812" s="40" t="n">
        <f aca="false">F811*$D$742</f>
        <v>2.006928168</v>
      </c>
      <c r="G812" s="40" t="n">
        <f aca="false">G811*$D$742</f>
        <v>2.26906818144</v>
      </c>
      <c r="H812" s="40" t="n">
        <f aca="false">H811*$D$742</f>
        <v>2.9276300223552</v>
      </c>
      <c r="I812" s="40" t="n">
        <f aca="false">I811*$D$742</f>
        <v>3.57430550726323</v>
      </c>
      <c r="J812" s="40" t="n">
        <f aca="false">J811*$D$742</f>
        <v>4.33610399664949</v>
      </c>
      <c r="K812" s="51" t="n">
        <f aca="false">SUM(F812:J812)</f>
        <v>15.1140358757079</v>
      </c>
      <c r="L812" s="49"/>
    </row>
    <row r="813" customFormat="false" ht="15" hidden="true" customHeight="false" outlineLevel="1" collapsed="false">
      <c r="A813" s="20" t="n">
        <v>94</v>
      </c>
      <c r="B813" s="6" t="s">
        <v>664</v>
      </c>
      <c r="C813" s="20" t="s">
        <v>71</v>
      </c>
      <c r="D813" s="23"/>
      <c r="E813" s="23"/>
      <c r="F813" s="40" t="n">
        <f aca="false">F811+F812</f>
        <v>22.076209848</v>
      </c>
      <c r="G813" s="40" t="n">
        <f aca="false">G811+G812</f>
        <v>24.95974999584</v>
      </c>
      <c r="H813" s="40" t="n">
        <f aca="false">H811+H812</f>
        <v>32.2039302459072</v>
      </c>
      <c r="I813" s="40" t="n">
        <f aca="false">I811+I812</f>
        <v>39.3173605798956</v>
      </c>
      <c r="J813" s="40" t="n">
        <f aca="false">J811+J812</f>
        <v>47.6971439631444</v>
      </c>
      <c r="K813" s="51" t="n">
        <f aca="false">SUM(F813:J813)</f>
        <v>166.254394632787</v>
      </c>
      <c r="L813" s="49"/>
    </row>
    <row r="814" customFormat="false" ht="15" hidden="true" customHeight="false" outlineLevel="1" collapsed="false">
      <c r="A814" s="19" t="s">
        <v>665</v>
      </c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</row>
    <row r="815" customFormat="false" ht="15" hidden="true" customHeight="false" outlineLevel="1" collapsed="false">
      <c r="A815" s="20" t="n">
        <v>95</v>
      </c>
      <c r="B815" s="6" t="s">
        <v>666</v>
      </c>
      <c r="C815" s="20" t="s">
        <v>71</v>
      </c>
      <c r="D815" s="23"/>
      <c r="E815" s="23"/>
      <c r="F815" s="40" t="n">
        <f aca="false">F784-F813</f>
        <v>-14.076209848</v>
      </c>
      <c r="G815" s="40" t="n">
        <f aca="false">G784-G813</f>
        <v>-7.10974999584</v>
      </c>
      <c r="H815" s="40" t="n">
        <f aca="false">H784-H813</f>
        <v>1.3568588165928</v>
      </c>
      <c r="I815" s="40" t="n">
        <f aca="false">I784-I813</f>
        <v>2.80779757067264</v>
      </c>
      <c r="J815" s="40" t="n">
        <f aca="false">J784-J813</f>
        <v>17.4020414047363</v>
      </c>
      <c r="K815" s="51" t="n">
        <f aca="false">SUM(F815:J815)</f>
        <v>0.380737948161737</v>
      </c>
      <c r="L815" s="49" t="s">
        <v>667</v>
      </c>
    </row>
    <row r="816" customFormat="false" ht="15" hidden="true" customHeight="false" outlineLevel="1" collapsed="false">
      <c r="A816" s="20" t="n">
        <v>96</v>
      </c>
      <c r="B816" s="6" t="s">
        <v>668</v>
      </c>
      <c r="C816" s="20" t="s">
        <v>68</v>
      </c>
      <c r="D816" s="23"/>
      <c r="E816" s="23"/>
      <c r="F816" s="44" t="n">
        <f aca="false">IF(F784&gt;0,F815/F784,0)</f>
        <v>-1.759526231</v>
      </c>
      <c r="G816" s="44" t="n">
        <f aca="false">IF(G784&gt;0,G815/G784,0)</f>
        <v>-0.398305321895798</v>
      </c>
      <c r="H816" s="44" t="n">
        <f aca="false">IF(H784&gt;0,H815/H784,0)</f>
        <v>0.0404298842338283</v>
      </c>
      <c r="I816" s="44" t="n">
        <f aca="false">IF(I784&gt;0,I815/I784,0)</f>
        <v>0.0666536980261703</v>
      </c>
      <c r="J816" s="44" t="n">
        <f aca="false">IF(J784&gt;0,J815/J784,0)</f>
        <v>0.267315809044245</v>
      </c>
      <c r="K816" s="23"/>
      <c r="L816" s="49"/>
    </row>
    <row r="817" customFormat="false" ht="15" hidden="true" customHeight="false" outlineLevel="1" collapsed="false">
      <c r="A817" s="20" t="n">
        <v>97</v>
      </c>
      <c r="B817" s="6" t="s">
        <v>669</v>
      </c>
      <c r="C817" s="20" t="s">
        <v>71</v>
      </c>
      <c r="D817" s="23"/>
      <c r="E817" s="23"/>
      <c r="F817" s="40" t="n">
        <f aca="false">E821</f>
        <v>0</v>
      </c>
      <c r="G817" s="40" t="n">
        <f aca="false">F821</f>
        <v>14.076209848</v>
      </c>
      <c r="H817" s="40" t="n">
        <f aca="false">G821</f>
        <v>21.18595984384</v>
      </c>
      <c r="I817" s="40" t="n">
        <f aca="false">H821</f>
        <v>20.5075304355436</v>
      </c>
      <c r="J817" s="40" t="n">
        <f aca="false">I821</f>
        <v>19.1036316502073</v>
      </c>
      <c r="K817" s="23"/>
      <c r="L817" s="49"/>
    </row>
    <row r="818" customFormat="false" ht="15" hidden="true" customHeight="false" outlineLevel="1" collapsed="false">
      <c r="A818" s="20" t="n">
        <v>98</v>
      </c>
      <c r="B818" s="6" t="s">
        <v>670</v>
      </c>
      <c r="C818" s="20" t="s">
        <v>71</v>
      </c>
      <c r="D818" s="23"/>
      <c r="E818" s="23"/>
      <c r="F818" s="40" t="n">
        <f aca="false">MIN(F817,MAX(0,F815)*$D$744)</f>
        <v>0</v>
      </c>
      <c r="G818" s="40" t="n">
        <f aca="false">MIN(G817,MAX(0,G815)*$D$744)</f>
        <v>0</v>
      </c>
      <c r="H818" s="40" t="n">
        <f aca="false">MIN(H817,MAX(0,H815)*$D$744)</f>
        <v>0.678429408296402</v>
      </c>
      <c r="I818" s="40" t="n">
        <f aca="false">MIN(I817,MAX(0,I815)*$D$744)</f>
        <v>1.40389878533632</v>
      </c>
      <c r="J818" s="40" t="n">
        <f aca="false">MIN(J817,MAX(0,J815)*$D$744)</f>
        <v>8.70102070236814</v>
      </c>
      <c r="K818" s="23"/>
      <c r="L818" s="49" t="s">
        <v>671</v>
      </c>
    </row>
    <row r="819" customFormat="false" ht="15" hidden="true" customHeight="false" outlineLevel="1" collapsed="false">
      <c r="A819" s="20" t="n">
        <v>99</v>
      </c>
      <c r="B819" s="6" t="s">
        <v>672</v>
      </c>
      <c r="C819" s="20" t="s">
        <v>71</v>
      </c>
      <c r="D819" s="23"/>
      <c r="E819" s="23"/>
      <c r="F819" s="40" t="n">
        <f aca="false">MAX(0,F815)-F818</f>
        <v>0</v>
      </c>
      <c r="G819" s="40" t="n">
        <f aca="false">MAX(0,G815)-G818</f>
        <v>0</v>
      </c>
      <c r="H819" s="40" t="n">
        <f aca="false">MAX(0,H815)-H818</f>
        <v>0.678429408296402</v>
      </c>
      <c r="I819" s="40" t="n">
        <f aca="false">MAX(0,I815)-I818</f>
        <v>1.40389878533632</v>
      </c>
      <c r="J819" s="40" t="n">
        <f aca="false">MAX(0,J815)-J818</f>
        <v>8.70102070236814</v>
      </c>
      <c r="K819" s="23"/>
      <c r="L819" s="49"/>
    </row>
    <row r="820" customFormat="false" ht="15" hidden="true" customHeight="false" outlineLevel="1" collapsed="false">
      <c r="A820" s="20" t="n">
        <v>100</v>
      </c>
      <c r="B820" s="6" t="s">
        <v>572</v>
      </c>
      <c r="C820" s="20" t="s">
        <v>71</v>
      </c>
      <c r="D820" s="23"/>
      <c r="E820" s="23"/>
      <c r="F820" s="40" t="n">
        <f aca="false">F819*$D$743</f>
        <v>0</v>
      </c>
      <c r="G820" s="40" t="n">
        <f aca="false">G819*$D$743</f>
        <v>0</v>
      </c>
      <c r="H820" s="40" t="n">
        <f aca="false">H819*$D$743</f>
        <v>0.0339214704148201</v>
      </c>
      <c r="I820" s="40" t="n">
        <f aca="false">I819*$D$743</f>
        <v>0.070194939266816</v>
      </c>
      <c r="J820" s="40" t="n">
        <f aca="false">J819*$D$743</f>
        <v>0.435051035118407</v>
      </c>
      <c r="K820" s="51" t="n">
        <f aca="false">SUM(F820:J820)</f>
        <v>0.539167444800043</v>
      </c>
      <c r="L820" s="49"/>
    </row>
    <row r="821" customFormat="false" ht="15" hidden="true" customHeight="false" outlineLevel="1" collapsed="false">
      <c r="A821" s="20" t="n">
        <v>101</v>
      </c>
      <c r="B821" s="6" t="s">
        <v>673</v>
      </c>
      <c r="C821" s="20" t="s">
        <v>71</v>
      </c>
      <c r="D821" s="23"/>
      <c r="E821" s="40" t="n">
        <f aca="false">0</f>
        <v>0</v>
      </c>
      <c r="F821" s="40" t="n">
        <f aca="false">F817-F818+MAX(0,-F815)</f>
        <v>14.076209848</v>
      </c>
      <c r="G821" s="40" t="n">
        <f aca="false">G817-G818+MAX(0,-G815)</f>
        <v>21.18595984384</v>
      </c>
      <c r="H821" s="40" t="n">
        <f aca="false">H817-H818+MAX(0,-H815)</f>
        <v>20.5075304355436</v>
      </c>
      <c r="I821" s="40" t="n">
        <f aca="false">I817-I818+MAX(0,-I815)</f>
        <v>19.1036316502073</v>
      </c>
      <c r="J821" s="40" t="n">
        <f aca="false">J817-J818+MAX(0,-J815)</f>
        <v>10.4026109478391</v>
      </c>
      <c r="K821" s="23"/>
      <c r="L821" s="49"/>
    </row>
    <row r="822" customFormat="false" ht="15" hidden="true" customHeight="false" outlineLevel="1" collapsed="false">
      <c r="A822" s="20" t="n">
        <v>102</v>
      </c>
      <c r="B822" s="6" t="s">
        <v>674</v>
      </c>
      <c r="C822" s="20" t="s">
        <v>71</v>
      </c>
      <c r="D822" s="23"/>
      <c r="E822" s="23"/>
      <c r="F822" s="40" t="n">
        <f aca="false">F815-F820</f>
        <v>-14.076209848</v>
      </c>
      <c r="G822" s="40" t="n">
        <f aca="false">G815-G820</f>
        <v>-7.10974999584</v>
      </c>
      <c r="H822" s="40" t="n">
        <f aca="false">H815-H820</f>
        <v>1.32293734617798</v>
      </c>
      <c r="I822" s="40" t="n">
        <f aca="false">I815-I820</f>
        <v>2.73760263140582</v>
      </c>
      <c r="J822" s="40" t="n">
        <f aca="false">J815-J820</f>
        <v>16.9669903696179</v>
      </c>
      <c r="K822" s="51" t="n">
        <f aca="false">SUM(F822:J822)</f>
        <v>-0.158429496638306</v>
      </c>
      <c r="L822" s="49"/>
    </row>
    <row r="823" customFormat="false" ht="15" hidden="true" customHeight="false" outlineLevel="1" collapsed="false">
      <c r="A823" s="19" t="s">
        <v>675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</row>
    <row r="824" customFormat="false" ht="15" hidden="true" customHeight="false" outlineLevel="1" collapsed="false">
      <c r="A824" s="20" t="n">
        <v>103</v>
      </c>
      <c r="B824" s="6" t="s">
        <v>676</v>
      </c>
      <c r="C824" s="20" t="s">
        <v>71</v>
      </c>
      <c r="D824" s="23"/>
      <c r="E824" s="40" t="n">
        <f aca="false">0</f>
        <v>0</v>
      </c>
      <c r="F824" s="40" t="n">
        <f aca="false">F784*$D$745/365</f>
        <v>1.97260273972603</v>
      </c>
      <c r="G824" s="40" t="n">
        <f aca="false">G784*$D$745/365</f>
        <v>4.4013698630137</v>
      </c>
      <c r="H824" s="40" t="n">
        <f aca="false">H784*$D$745/365</f>
        <v>8.27526305650685</v>
      </c>
      <c r="I824" s="40" t="n">
        <f aca="false">I784*$D$745/365</f>
        <v>10.3870252974004</v>
      </c>
      <c r="J824" s="40" t="n">
        <f aca="false">J784*$D$745/365</f>
        <v>16.0518539263267</v>
      </c>
      <c r="K824" s="23"/>
      <c r="L824" s="49" t="s">
        <v>677</v>
      </c>
    </row>
    <row r="825" customFormat="false" ht="15" hidden="true" customHeight="false" outlineLevel="1" collapsed="false">
      <c r="A825" s="20" t="n">
        <v>104</v>
      </c>
      <c r="B825" s="6" t="s">
        <v>678</v>
      </c>
      <c r="C825" s="20" t="s">
        <v>71</v>
      </c>
      <c r="D825" s="23"/>
      <c r="E825" s="23"/>
      <c r="F825" s="40" t="n">
        <f aca="false">F824-E824</f>
        <v>1.97260273972603</v>
      </c>
      <c r="G825" s="40" t="n">
        <f aca="false">G824-F824</f>
        <v>2.42876712328767</v>
      </c>
      <c r="H825" s="40" t="n">
        <f aca="false">H824-G824</f>
        <v>3.87389319349315</v>
      </c>
      <c r="I825" s="40" t="n">
        <f aca="false">I824-H824</f>
        <v>2.11176224089352</v>
      </c>
      <c r="J825" s="40" t="n">
        <f aca="false">J824-I824</f>
        <v>5.66482862892637</v>
      </c>
      <c r="K825" s="51" t="n">
        <f aca="false">SUM(F825:J825)</f>
        <v>16.0518539263267</v>
      </c>
      <c r="L825" s="49"/>
    </row>
    <row r="826" customFormat="false" ht="15" hidden="true" customHeight="false" outlineLevel="1" collapsed="false">
      <c r="A826" s="20" t="n">
        <v>105</v>
      </c>
      <c r="B826" s="6" t="s">
        <v>679</v>
      </c>
      <c r="C826" s="20" t="s">
        <v>71</v>
      </c>
      <c r="D826" s="23"/>
      <c r="E826" s="23"/>
      <c r="F826" s="40" t="n">
        <f aca="false">F822-F825</f>
        <v>-16.048812587726</v>
      </c>
      <c r="G826" s="40" t="n">
        <f aca="false">G822-G825</f>
        <v>-9.53851711912767</v>
      </c>
      <c r="H826" s="40" t="n">
        <f aca="false">H822-H825</f>
        <v>-2.55095584731517</v>
      </c>
      <c r="I826" s="40" t="n">
        <f aca="false">I822-I825</f>
        <v>0.6258403905123</v>
      </c>
      <c r="J826" s="40" t="n">
        <f aca="false">J822-J825</f>
        <v>11.3021617406915</v>
      </c>
      <c r="K826" s="51" t="n">
        <f aca="false">SUM(F826:J826)</f>
        <v>-16.2102834229651</v>
      </c>
      <c r="L826" s="49" t="s">
        <v>680</v>
      </c>
    </row>
    <row r="827" customFormat="false" ht="15" hidden="true" customHeight="false" outlineLevel="1" collapsed="false">
      <c r="A827" s="20" t="n">
        <v>106</v>
      </c>
      <c r="B827" s="6" t="s">
        <v>93</v>
      </c>
      <c r="C827" s="20" t="s">
        <v>71</v>
      </c>
      <c r="D827" s="23"/>
      <c r="E827" s="40" t="n">
        <f aca="false">0</f>
        <v>0</v>
      </c>
      <c r="F827" s="40" t="n">
        <f aca="false">E827+F826</f>
        <v>-16.048812587726</v>
      </c>
      <c r="G827" s="40" t="n">
        <f aca="false">F827+G826</f>
        <v>-25.5873297068537</v>
      </c>
      <c r="H827" s="40" t="n">
        <f aca="false">G827+H826</f>
        <v>-28.1382855541689</v>
      </c>
      <c r="I827" s="40" t="n">
        <f aca="false">H827+I826</f>
        <v>-27.5124451636566</v>
      </c>
      <c r="J827" s="40" t="n">
        <f aca="false">I827+J826</f>
        <v>-16.2102834229651</v>
      </c>
      <c r="K827" s="23"/>
      <c r="L827" s="49" t="s">
        <v>681</v>
      </c>
    </row>
    <row r="828" customFormat="false" ht="15" hidden="true" customHeight="false" outlineLevel="1" collapsed="false">
      <c r="A828" s="20" t="n">
        <v>107</v>
      </c>
      <c r="B828" s="6" t="s">
        <v>682</v>
      </c>
      <c r="C828" s="20"/>
      <c r="D828" s="23"/>
      <c r="E828" s="23"/>
      <c r="F828" s="53" t="n">
        <f aca="false">1/(1+$D$746)^(F$766-$E$766)</f>
        <v>0.769230769230769</v>
      </c>
      <c r="G828" s="53" t="n">
        <f aca="false">1/(1+$D$746)^(G$766-$E$766)</f>
        <v>0.591715976331361</v>
      </c>
      <c r="H828" s="53" t="n">
        <f aca="false">1/(1+$D$746)^(H$766-$E$766)</f>
        <v>0.455166135639508</v>
      </c>
      <c r="I828" s="53" t="n">
        <f aca="false">1/(1+$D$746)^(I$766-$E$766)</f>
        <v>0.350127796645776</v>
      </c>
      <c r="J828" s="53" t="n">
        <f aca="false">1/(1+$D$746)^(J$766-$E$766)</f>
        <v>0.269329074342904</v>
      </c>
      <c r="K828" s="23"/>
      <c r="L828" s="49" t="s">
        <v>683</v>
      </c>
    </row>
    <row r="829" customFormat="false" ht="15" hidden="true" customHeight="false" outlineLevel="1" collapsed="false">
      <c r="A829" s="20" t="n">
        <v>108</v>
      </c>
      <c r="B829" s="6" t="s">
        <v>684</v>
      </c>
      <c r="C829" s="20" t="s">
        <v>71</v>
      </c>
      <c r="D829" s="23"/>
      <c r="E829" s="23"/>
      <c r="F829" s="40" t="n">
        <f aca="false">F826*F828</f>
        <v>-12.3452404520969</v>
      </c>
      <c r="G829" s="40" t="n">
        <f aca="false">G826*G828</f>
        <v>-5.64409296989803</v>
      </c>
      <c r="H829" s="40" t="n">
        <f aca="false">H826*H828</f>
        <v>-1.16110871520945</v>
      </c>
      <c r="I829" s="40" t="n">
        <f aca="false">I826*I828</f>
        <v>0.219124116982003</v>
      </c>
      <c r="J829" s="40" t="n">
        <f aca="false">J826*J828</f>
        <v>3.04400075969423</v>
      </c>
      <c r="K829" s="51" t="n">
        <f aca="false">SUM(F829:J829)</f>
        <v>-15.8873172605282</v>
      </c>
      <c r="L829" s="49"/>
    </row>
    <row r="830" customFormat="false" ht="15" hidden="true" customHeight="false" outlineLevel="1" collapsed="false">
      <c r="A830" s="20" t="n">
        <v>109</v>
      </c>
      <c r="B830" s="6" t="s">
        <v>685</v>
      </c>
      <c r="C830" s="20" t="s">
        <v>71</v>
      </c>
      <c r="D830" s="23"/>
      <c r="E830" s="23"/>
      <c r="F830" s="40" t="n">
        <f aca="false">IF(F$766=$J$766,MAX(0,F826)*(1+$D$747)/($D$746-$D$747),0)</f>
        <v>0</v>
      </c>
      <c r="G830" s="40" t="n">
        <f aca="false">IF(G$766=$J$766,MAX(0,G826)*(1+$D$747)/($D$746-$D$747),0)</f>
        <v>0</v>
      </c>
      <c r="H830" s="40" t="n">
        <f aca="false">IF(H$766=$J$766,MAX(0,H826)*(1+$D$747)/($D$746-$D$747),0)</f>
        <v>0</v>
      </c>
      <c r="I830" s="40" t="n">
        <f aca="false">IF(I$766=$J$766,MAX(0,I826)*(1+$D$747)/($D$746-$D$747),0)</f>
        <v>0</v>
      </c>
      <c r="J830" s="40" t="n">
        <f aca="false">IF(J$766=$J$766,MAX(0,J826)*(1+$D$747)/($D$746-$D$747),0)</f>
        <v>45.208646962766</v>
      </c>
      <c r="K830" s="23"/>
      <c r="L830" s="49" t="s">
        <v>686</v>
      </c>
    </row>
    <row r="831" customFormat="false" ht="15" hidden="true" customHeight="false" outlineLevel="1" collapsed="false">
      <c r="A831" s="20" t="n">
        <v>110</v>
      </c>
      <c r="B831" s="6" t="s">
        <v>687</v>
      </c>
      <c r="C831" s="20" t="s">
        <v>71</v>
      </c>
      <c r="D831" s="23"/>
      <c r="E831" s="23"/>
      <c r="F831" s="40" t="n">
        <f aca="false">F830*F828</f>
        <v>0</v>
      </c>
      <c r="G831" s="40" t="n">
        <f aca="false">G830*G828</f>
        <v>0</v>
      </c>
      <c r="H831" s="40" t="n">
        <f aca="false">H830*H828</f>
        <v>0</v>
      </c>
      <c r="I831" s="40" t="n">
        <f aca="false">I830*I828</f>
        <v>0</v>
      </c>
      <c r="J831" s="40" t="n">
        <f aca="false">J830*J828</f>
        <v>12.1760030387769</v>
      </c>
      <c r="K831" s="51" t="n">
        <f aca="false">SUM(F831:J831)</f>
        <v>12.1760030387769</v>
      </c>
      <c r="L831" s="49"/>
    </row>
    <row r="832" customFormat="false" ht="15" hidden="true" customHeight="false" outlineLevel="1" collapsed="false">
      <c r="A832" s="20" t="n">
        <v>111</v>
      </c>
      <c r="B832" s="6" t="s">
        <v>688</v>
      </c>
      <c r="C832" s="20" t="s">
        <v>71</v>
      </c>
      <c r="D832" s="23"/>
      <c r="E832" s="23"/>
      <c r="F832" s="40" t="n">
        <f aca="false">F826+F830</f>
        <v>-16.048812587726</v>
      </c>
      <c r="G832" s="40" t="n">
        <f aca="false">G826+G830</f>
        <v>-9.53851711912767</v>
      </c>
      <c r="H832" s="40" t="n">
        <f aca="false">H826+H830</f>
        <v>-2.55095584731517</v>
      </c>
      <c r="I832" s="40" t="n">
        <f aca="false">I826+I830</f>
        <v>0.6258403905123</v>
      </c>
      <c r="J832" s="40" t="n">
        <f aca="false">J826+J830</f>
        <v>56.5108087034576</v>
      </c>
      <c r="K832" s="23"/>
      <c r="L832" s="49" t="s">
        <v>689</v>
      </c>
    </row>
    <row r="833" customFormat="false" ht="15" hidden="true" customHeight="false" outlineLevel="1" collapsed="false">
      <c r="A833" s="20" t="n">
        <v>112</v>
      </c>
      <c r="B833" s="6" t="s">
        <v>690</v>
      </c>
      <c r="C833" s="20"/>
      <c r="D833" s="23"/>
      <c r="E833" s="23"/>
      <c r="F833" s="52" t="str">
        <f aca="false">IF(AND(F815&gt;0,COUNTIF($F$815:F$815,"&gt;0")=1),F$766,"")</f>
        <v/>
      </c>
      <c r="G833" s="52" t="str">
        <f aca="false">IF(AND(G815&gt;0,COUNTIF($F$815:G$815,"&gt;0")=1),G$766,"")</f>
        <v/>
      </c>
      <c r="H833" s="52" t="n">
        <f aca="false">IF(AND(H815&gt;0,COUNTIF($F$815:H$815,"&gt;0")=1),H$766,"")</f>
        <v>2029</v>
      </c>
      <c r="I833" s="52" t="str">
        <f aca="false">IF(AND(I815&gt;0,COUNTIF($F$815:I$815,"&gt;0")=1),I$766,"")</f>
        <v/>
      </c>
      <c r="J833" s="52" t="str">
        <f aca="false">IF(AND(J815&gt;0,COUNTIF($F$815:J$815,"&gt;0")=1),J$766,"")</f>
        <v/>
      </c>
      <c r="K833" s="23"/>
      <c r="L833" s="49" t="s">
        <v>691</v>
      </c>
    </row>
    <row r="834" customFormat="false" ht="15" hidden="true" customHeight="false" outlineLevel="1" collapsed="false">
      <c r="A834" s="20" t="n">
        <v>113</v>
      </c>
      <c r="B834" s="6" t="s">
        <v>692</v>
      </c>
      <c r="C834" s="20"/>
      <c r="D834" s="23"/>
      <c r="E834" s="23"/>
      <c r="F834" s="52" t="str">
        <f aca="false">IF(AND(F827&gt;0,COUNTIF($F$827:F$827,"&gt;0")=1),F$766,"")</f>
        <v/>
      </c>
      <c r="G834" s="52" t="str">
        <f aca="false">IF(AND(G827&gt;0,COUNTIF($F$827:G$827,"&gt;0")=1),G$766,"")</f>
        <v/>
      </c>
      <c r="H834" s="52" t="str">
        <f aca="false">IF(AND(H827&gt;0,COUNTIF($F$827:H$827,"&gt;0")=1),H$766,"")</f>
        <v/>
      </c>
      <c r="I834" s="52" t="str">
        <f aca="false">IF(AND(I827&gt;0,COUNTIF($F$827:I$827,"&gt;0")=1),I$766,"")</f>
        <v/>
      </c>
      <c r="J834" s="52" t="str">
        <f aca="false">IF(AND(J827&gt;0,COUNTIF($F$827:J$827,"&gt;0")=1),J$766,"")</f>
        <v/>
      </c>
      <c r="K834" s="23"/>
      <c r="L834" s="49" t="s">
        <v>691</v>
      </c>
    </row>
    <row r="835" customFormat="false" ht="15" hidden="true" customHeight="false" outlineLevel="1" collapsed="false">
      <c r="A835" s="19" t="s">
        <v>693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</row>
    <row r="836" customFormat="false" ht="15" hidden="true" customHeight="false" outlineLevel="1" collapsed="false">
      <c r="A836" s="20" t="n">
        <v>114</v>
      </c>
      <c r="B836" s="6" t="s">
        <v>70</v>
      </c>
      <c r="C836" s="20" t="s">
        <v>71</v>
      </c>
      <c r="D836" s="51" t="n">
        <f aca="false">SUM(F784:J784)</f>
        <v>166.635132580949</v>
      </c>
      <c r="E836" s="23"/>
      <c r="F836" s="23"/>
      <c r="G836" s="23"/>
      <c r="H836" s="23"/>
      <c r="I836" s="23"/>
      <c r="J836" s="23"/>
      <c r="K836" s="23"/>
      <c r="L836" s="49"/>
    </row>
    <row r="837" customFormat="false" ht="15" hidden="true" customHeight="false" outlineLevel="1" collapsed="false">
      <c r="A837" s="20" t="n">
        <v>115</v>
      </c>
      <c r="B837" s="6" t="s">
        <v>694</v>
      </c>
      <c r="C837" s="20" t="s">
        <v>71</v>
      </c>
      <c r="D837" s="51" t="n">
        <f aca="false">J784</f>
        <v>65.0991853678807</v>
      </c>
      <c r="E837" s="23"/>
      <c r="F837" s="23"/>
      <c r="G837" s="23"/>
      <c r="H837" s="23"/>
      <c r="I837" s="23"/>
      <c r="J837" s="23"/>
      <c r="K837" s="23"/>
      <c r="L837" s="49"/>
    </row>
    <row r="838" customFormat="false" ht="15" hidden="true" customHeight="false" outlineLevel="1" collapsed="false">
      <c r="A838" s="20" t="n">
        <v>116</v>
      </c>
      <c r="B838" s="6" t="s">
        <v>695</v>
      </c>
      <c r="C838" s="20" t="s">
        <v>71</v>
      </c>
      <c r="D838" s="51" t="n">
        <f aca="false">J785</f>
        <v>70.1110722771543</v>
      </c>
      <c r="E838" s="23"/>
      <c r="F838" s="23"/>
      <c r="G838" s="23"/>
      <c r="H838" s="23"/>
      <c r="I838" s="23"/>
      <c r="J838" s="23"/>
      <c r="K838" s="23"/>
      <c r="L838" s="49"/>
    </row>
    <row r="839" customFormat="false" ht="15" hidden="true" customHeight="false" outlineLevel="1" collapsed="false">
      <c r="A839" s="20" t="n">
        <v>117</v>
      </c>
      <c r="B839" s="6" t="s">
        <v>696</v>
      </c>
      <c r="C839" s="20" t="s">
        <v>71</v>
      </c>
      <c r="D839" s="51" t="n">
        <f aca="false">J815</f>
        <v>17.4020414047363</v>
      </c>
      <c r="E839" s="23"/>
      <c r="F839" s="23"/>
      <c r="G839" s="23"/>
      <c r="H839" s="23"/>
      <c r="I839" s="23"/>
      <c r="J839" s="23"/>
      <c r="K839" s="23"/>
      <c r="L839" s="49"/>
    </row>
    <row r="840" customFormat="false" ht="15" hidden="true" customHeight="false" outlineLevel="1" collapsed="false">
      <c r="A840" s="20" t="n">
        <v>118</v>
      </c>
      <c r="B840" s="6" t="s">
        <v>697</v>
      </c>
      <c r="C840" s="20" t="s">
        <v>76</v>
      </c>
      <c r="D840" s="54" t="n">
        <f aca="false">J776</f>
        <v>11</v>
      </c>
      <c r="E840" s="23"/>
      <c r="F840" s="23"/>
      <c r="G840" s="23"/>
      <c r="H840" s="23"/>
      <c r="I840" s="23"/>
      <c r="J840" s="23"/>
      <c r="K840" s="23"/>
      <c r="L840" s="49"/>
    </row>
    <row r="841" customFormat="false" ht="15" hidden="true" customHeight="false" outlineLevel="1" collapsed="false">
      <c r="A841" s="20" t="n">
        <v>119</v>
      </c>
      <c r="B841" s="6" t="s">
        <v>698</v>
      </c>
      <c r="C841" s="20" t="s">
        <v>53</v>
      </c>
      <c r="D841" s="51" t="n">
        <f aca="false">J787</f>
        <v>8</v>
      </c>
      <c r="E841" s="23"/>
      <c r="F841" s="23"/>
      <c r="G841" s="23"/>
      <c r="H841" s="23"/>
      <c r="I841" s="23"/>
      <c r="J841" s="23"/>
      <c r="K841" s="23"/>
      <c r="L841" s="49"/>
    </row>
    <row r="842" customFormat="false" ht="15" hidden="true" customHeight="false" outlineLevel="1" collapsed="false">
      <c r="A842" s="20" t="n">
        <v>120</v>
      </c>
      <c r="B842" s="6" t="s">
        <v>699</v>
      </c>
      <c r="C842" s="20" t="s">
        <v>71</v>
      </c>
      <c r="D842" s="51" t="n">
        <f aca="false">MIN(0,MIN(F827:J827))</f>
        <v>-28.1382855541689</v>
      </c>
      <c r="E842" s="23"/>
      <c r="F842" s="23"/>
      <c r="G842" s="23"/>
      <c r="H842" s="23"/>
      <c r="I842" s="23"/>
      <c r="J842" s="23"/>
      <c r="K842" s="23"/>
      <c r="L842" s="49"/>
    </row>
    <row r="843" customFormat="false" ht="15" hidden="true" customHeight="false" outlineLevel="1" collapsed="false">
      <c r="A843" s="20" t="n">
        <v>121</v>
      </c>
      <c r="B843" s="6" t="s">
        <v>700</v>
      </c>
      <c r="C843" s="20" t="s">
        <v>71</v>
      </c>
      <c r="D843" s="51" t="n">
        <f aca="false">-$D$842*(1+$D$748)</f>
        <v>33.7659426650026</v>
      </c>
      <c r="E843" s="23"/>
      <c r="F843" s="23"/>
      <c r="G843" s="23"/>
      <c r="H843" s="23"/>
      <c r="I843" s="23"/>
      <c r="J843" s="23"/>
      <c r="K843" s="23"/>
      <c r="L843" s="49"/>
    </row>
    <row r="844" customFormat="false" ht="15" hidden="true" customHeight="false" outlineLevel="1" collapsed="false">
      <c r="A844" s="20" t="n">
        <v>122</v>
      </c>
      <c r="B844" s="6" t="s">
        <v>701</v>
      </c>
      <c r="C844" s="20" t="s">
        <v>71</v>
      </c>
      <c r="D844" s="51" t="n">
        <f aca="false">J827</f>
        <v>-16.2102834229651</v>
      </c>
      <c r="E844" s="23"/>
      <c r="F844" s="23"/>
      <c r="G844" s="23"/>
      <c r="H844" s="23"/>
      <c r="I844" s="23"/>
      <c r="J844" s="23"/>
      <c r="K844" s="23"/>
      <c r="L844" s="49"/>
    </row>
    <row r="845" customFormat="false" ht="15" hidden="true" customHeight="false" outlineLevel="1" collapsed="false">
      <c r="A845" s="20" t="n">
        <v>123</v>
      </c>
      <c r="B845" s="6" t="s">
        <v>702</v>
      </c>
      <c r="C845" s="20" t="s">
        <v>71</v>
      </c>
      <c r="D845" s="51" t="n">
        <f aca="false">SUM(F829:J829)</f>
        <v>-15.8873172605282</v>
      </c>
      <c r="E845" s="23"/>
      <c r="F845" s="23"/>
      <c r="G845" s="23"/>
      <c r="H845" s="23"/>
      <c r="I845" s="23"/>
      <c r="J845" s="23"/>
      <c r="K845" s="23"/>
      <c r="L845" s="49"/>
    </row>
    <row r="846" customFormat="false" ht="15" hidden="true" customHeight="false" outlineLevel="1" collapsed="false">
      <c r="A846" s="20" t="n">
        <v>124</v>
      </c>
      <c r="B846" s="6" t="s">
        <v>82</v>
      </c>
      <c r="C846" s="20" t="s">
        <v>71</v>
      </c>
      <c r="D846" s="51" t="n">
        <f aca="false">SUM(F829:J829)+SUM(F831:J831)</f>
        <v>-3.71131422175125</v>
      </c>
      <c r="E846" s="23"/>
      <c r="F846" s="23"/>
      <c r="G846" s="23"/>
      <c r="H846" s="23"/>
      <c r="I846" s="23"/>
      <c r="J846" s="23"/>
      <c r="K846" s="23"/>
      <c r="L846" s="49"/>
    </row>
    <row r="847" customFormat="false" ht="15" hidden="true" customHeight="false" outlineLevel="1" collapsed="false">
      <c r="A847" s="20" t="n">
        <v>125</v>
      </c>
      <c r="B847" s="6" t="s">
        <v>83</v>
      </c>
      <c r="C847" s="20" t="s">
        <v>68</v>
      </c>
      <c r="D847" s="55" t="n">
        <f aca="false">IFERROR(IRR(F832:J832),"н/д")</f>
        <v>0.223648331415711</v>
      </c>
      <c r="E847" s="23"/>
      <c r="F847" s="23"/>
      <c r="G847" s="23"/>
      <c r="H847" s="23"/>
      <c r="I847" s="23"/>
      <c r="J847" s="23"/>
      <c r="K847" s="23"/>
      <c r="L847" s="49"/>
    </row>
    <row r="848" customFormat="false" ht="15" hidden="true" customHeight="false" outlineLevel="1" collapsed="false">
      <c r="A848" s="20" t="n">
        <v>126</v>
      </c>
      <c r="B848" s="6" t="s">
        <v>13</v>
      </c>
      <c r="C848" s="20" t="s">
        <v>79</v>
      </c>
      <c r="D848" s="56" t="n">
        <f aca="false">IF(COUNT(F833:J833)=0,"после 2031",MIN(F833:J833))</f>
        <v>2029</v>
      </c>
      <c r="E848" s="23"/>
      <c r="F848" s="23"/>
      <c r="G848" s="23"/>
      <c r="H848" s="23"/>
      <c r="I848" s="23"/>
      <c r="J848" s="23"/>
      <c r="K848" s="23"/>
      <c r="L848" s="49"/>
    </row>
    <row r="849" customFormat="false" ht="15" hidden="true" customHeight="false" outlineLevel="1" collapsed="false">
      <c r="A849" s="20" t="n">
        <v>127</v>
      </c>
      <c r="B849" s="6" t="s">
        <v>703</v>
      </c>
      <c r="C849" s="20" t="s">
        <v>79</v>
      </c>
      <c r="D849" s="56" t="str">
        <f aca="false">IF(COUNT(F834:J834)=0,"после 2031",MIN(F834:J834))</f>
        <v>после 2031</v>
      </c>
      <c r="E849" s="23"/>
      <c r="F849" s="23"/>
      <c r="G849" s="23"/>
      <c r="H849" s="23"/>
      <c r="I849" s="23"/>
      <c r="J849" s="23"/>
      <c r="K849" s="23"/>
      <c r="L849" s="49"/>
    </row>
    <row r="852" customFormat="false" ht="15" hidden="true" customHeight="false" outlineLevel="1" collapsed="false">
      <c r="A852" s="57" t="s">
        <v>729</v>
      </c>
    </row>
    <row r="853" customFormat="false" ht="30" hidden="true" customHeight="true" outlineLevel="1" collapsed="false">
      <c r="A853" s="4" t="s">
        <v>49</v>
      </c>
      <c r="B853" s="4" t="s">
        <v>3</v>
      </c>
      <c r="C853" s="5" t="s">
        <v>50</v>
      </c>
      <c r="D853" s="5" t="s">
        <v>551</v>
      </c>
      <c r="E853" s="5" t="s">
        <v>356</v>
      </c>
      <c r="F853" s="5" t="s">
        <v>86</v>
      </c>
      <c r="G853" s="5" t="s">
        <v>87</v>
      </c>
      <c r="H853" s="5" t="s">
        <v>88</v>
      </c>
      <c r="I853" s="5" t="s">
        <v>89</v>
      </c>
      <c r="J853" s="5" t="s">
        <v>90</v>
      </c>
      <c r="K853" s="5" t="s">
        <v>552</v>
      </c>
      <c r="L853" s="5" t="s">
        <v>393</v>
      </c>
    </row>
    <row r="854" customFormat="false" ht="15" hidden="true" customHeight="false" outlineLevel="1" collapsed="false">
      <c r="A854" s="19" t="s">
        <v>553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</row>
    <row r="855" customFormat="false" ht="15" hidden="true" customHeight="false" outlineLevel="1" collapsed="false">
      <c r="A855" s="20" t="n">
        <v>1</v>
      </c>
      <c r="B855" s="6" t="s">
        <v>554</v>
      </c>
      <c r="C855" s="20" t="s">
        <v>79</v>
      </c>
      <c r="D855" s="10" t="n">
        <f aca="false">Допущения!$E$49</f>
        <v>2027</v>
      </c>
      <c r="E855" s="23"/>
      <c r="F855" s="23"/>
      <c r="G855" s="23"/>
      <c r="H855" s="23"/>
      <c r="I855" s="23"/>
      <c r="J855" s="23"/>
      <c r="K855" s="23"/>
      <c r="L855" s="49"/>
    </row>
    <row r="856" customFormat="false" ht="15" hidden="true" customHeight="false" outlineLevel="1" collapsed="false">
      <c r="A856" s="20" t="n">
        <v>2</v>
      </c>
      <c r="B856" s="6" t="s">
        <v>555</v>
      </c>
      <c r="C856" s="20" t="s">
        <v>105</v>
      </c>
      <c r="D856" s="45" t="n">
        <f aca="false">Допущения!$E$7</f>
        <v>1.8</v>
      </c>
      <c r="E856" s="23"/>
      <c r="F856" s="23"/>
      <c r="G856" s="23"/>
      <c r="H856" s="23"/>
      <c r="I856" s="23"/>
      <c r="J856" s="23"/>
      <c r="K856" s="23"/>
      <c r="L856" s="49"/>
    </row>
    <row r="857" customFormat="false" ht="15" hidden="true" customHeight="false" outlineLevel="1" collapsed="false">
      <c r="A857" s="20" t="n">
        <v>3</v>
      </c>
      <c r="B857" s="6" t="s">
        <v>556</v>
      </c>
      <c r="C857" s="20" t="s">
        <v>55</v>
      </c>
      <c r="D857" s="9" t="n">
        <f aca="false">Допущения!$E$42</f>
        <v>6</v>
      </c>
      <c r="E857" s="23"/>
      <c r="F857" s="23"/>
      <c r="G857" s="23"/>
      <c r="H857" s="23"/>
      <c r="I857" s="23"/>
      <c r="J857" s="23"/>
      <c r="K857" s="23"/>
      <c r="L857" s="49"/>
    </row>
    <row r="858" customFormat="false" ht="15" hidden="true" customHeight="false" outlineLevel="1" collapsed="false">
      <c r="A858" s="20" t="n">
        <v>4</v>
      </c>
      <c r="B858" s="6" t="s">
        <v>557</v>
      </c>
      <c r="C858" s="20" t="s">
        <v>244</v>
      </c>
      <c r="D858" s="9" t="n">
        <f aca="false">Допущения!$E$43</f>
        <v>5</v>
      </c>
      <c r="E858" s="23"/>
      <c r="F858" s="23"/>
      <c r="G858" s="23"/>
      <c r="H858" s="23"/>
      <c r="I858" s="23"/>
      <c r="J858" s="23"/>
      <c r="K858" s="23"/>
      <c r="L858" s="49"/>
    </row>
    <row r="859" customFormat="false" ht="15" hidden="true" customHeight="false" outlineLevel="1" collapsed="false">
      <c r="A859" s="20" t="n">
        <v>5</v>
      </c>
      <c r="B859" s="6" t="s">
        <v>558</v>
      </c>
      <c r="C859" s="20" t="s">
        <v>55</v>
      </c>
      <c r="D859" s="9" t="n">
        <f aca="false">Допущения!$E$44</f>
        <v>1.5</v>
      </c>
      <c r="E859" s="23"/>
      <c r="F859" s="23"/>
      <c r="G859" s="23"/>
      <c r="H859" s="23"/>
      <c r="I859" s="23"/>
      <c r="J859" s="23"/>
      <c r="K859" s="23"/>
      <c r="L859" s="49"/>
    </row>
    <row r="860" customFormat="false" ht="15" hidden="true" customHeight="false" outlineLevel="1" collapsed="false">
      <c r="A860" s="20" t="n">
        <v>6</v>
      </c>
      <c r="B860" s="6" t="s">
        <v>559</v>
      </c>
      <c r="C860" s="20" t="s">
        <v>71</v>
      </c>
      <c r="D860" s="9" t="n">
        <f aca="false">Допущения!$E$45</f>
        <v>8</v>
      </c>
      <c r="E860" s="23"/>
      <c r="F860" s="23"/>
      <c r="G860" s="23"/>
      <c r="H860" s="23"/>
      <c r="I860" s="23"/>
      <c r="J860" s="23"/>
      <c r="K860" s="23"/>
      <c r="L860" s="49"/>
    </row>
    <row r="861" customFormat="false" ht="15" hidden="true" customHeight="false" outlineLevel="1" collapsed="false">
      <c r="A861" s="20" t="n">
        <v>7</v>
      </c>
      <c r="B861" s="6" t="s">
        <v>560</v>
      </c>
      <c r="C861" s="20" t="s">
        <v>71</v>
      </c>
      <c r="D861" s="9" t="n">
        <f aca="false">Допущения!$E$46</f>
        <v>2</v>
      </c>
      <c r="E861" s="23"/>
      <c r="F861" s="23"/>
      <c r="G861" s="23"/>
      <c r="H861" s="23"/>
      <c r="I861" s="23"/>
      <c r="J861" s="23"/>
      <c r="K861" s="23"/>
      <c r="L861" s="49"/>
    </row>
    <row r="862" customFormat="false" ht="15" hidden="true" customHeight="false" outlineLevel="1" collapsed="false">
      <c r="A862" s="20" t="n">
        <v>8</v>
      </c>
      <c r="B862" s="6" t="s">
        <v>260</v>
      </c>
      <c r="C862" s="20" t="s">
        <v>261</v>
      </c>
      <c r="D862" s="22" t="n">
        <f aca="false">Допущения!$E$47</f>
        <v>0.05</v>
      </c>
      <c r="E862" s="23"/>
      <c r="F862" s="23"/>
      <c r="G862" s="23"/>
      <c r="H862" s="23"/>
      <c r="I862" s="23"/>
      <c r="J862" s="23"/>
      <c r="K862" s="23"/>
      <c r="L862" s="49"/>
    </row>
    <row r="863" customFormat="false" ht="15" hidden="true" customHeight="false" outlineLevel="1" collapsed="false">
      <c r="A863" s="20" t="n">
        <v>9</v>
      </c>
      <c r="B863" s="6" t="s">
        <v>561</v>
      </c>
      <c r="C863" s="20" t="s">
        <v>261</v>
      </c>
      <c r="D863" s="22" t="n">
        <f aca="false">Допущения!$E$48*1.2</f>
        <v>0.18</v>
      </c>
      <c r="E863" s="23"/>
      <c r="F863" s="23"/>
      <c r="G863" s="23"/>
      <c r="H863" s="23"/>
      <c r="I863" s="23"/>
      <c r="J863" s="23"/>
      <c r="K863" s="23"/>
      <c r="L863" s="49"/>
    </row>
    <row r="864" customFormat="false" ht="15" hidden="true" customHeight="false" outlineLevel="1" collapsed="false">
      <c r="A864" s="20" t="n">
        <v>10</v>
      </c>
      <c r="B864" s="6" t="s">
        <v>274</v>
      </c>
      <c r="C864" s="20" t="s">
        <v>261</v>
      </c>
      <c r="D864" s="22" t="n">
        <f aca="false">Допущения!$E$51</f>
        <v>0.07</v>
      </c>
      <c r="E864" s="23"/>
      <c r="F864" s="23"/>
      <c r="G864" s="23"/>
      <c r="H864" s="23"/>
      <c r="I864" s="23"/>
      <c r="J864" s="23"/>
      <c r="K864" s="23"/>
      <c r="L864" s="49"/>
    </row>
    <row r="865" customFormat="false" ht="15" hidden="true" customHeight="false" outlineLevel="1" collapsed="false">
      <c r="A865" s="20" t="n">
        <v>11</v>
      </c>
      <c r="B865" s="6" t="s">
        <v>562</v>
      </c>
      <c r="C865" s="20" t="s">
        <v>68</v>
      </c>
      <c r="D865" s="22" t="n">
        <f aca="false">Допущения!$E$52</f>
        <v>0.15</v>
      </c>
      <c r="E865" s="23"/>
      <c r="F865" s="23"/>
      <c r="G865" s="23"/>
      <c r="H865" s="23"/>
      <c r="I865" s="23"/>
      <c r="J865" s="23"/>
      <c r="K865" s="23"/>
      <c r="L865" s="49"/>
    </row>
    <row r="866" customFormat="false" ht="15" hidden="true" customHeight="false" outlineLevel="1" collapsed="false">
      <c r="A866" s="20" t="n">
        <v>12</v>
      </c>
      <c r="B866" s="6" t="s">
        <v>563</v>
      </c>
      <c r="C866" s="20" t="s">
        <v>68</v>
      </c>
      <c r="D866" s="22" t="n">
        <f aca="false">Допущения!$E$53</f>
        <v>0.076</v>
      </c>
      <c r="E866" s="23"/>
      <c r="F866" s="23"/>
      <c r="G866" s="23"/>
      <c r="H866" s="23"/>
      <c r="I866" s="23"/>
      <c r="J866" s="23"/>
      <c r="K866" s="23"/>
      <c r="L866" s="49"/>
    </row>
    <row r="867" customFormat="false" ht="15" hidden="true" customHeight="false" outlineLevel="1" collapsed="false">
      <c r="A867" s="20" t="n">
        <v>13</v>
      </c>
      <c r="B867" s="6" t="s">
        <v>284</v>
      </c>
      <c r="C867" s="20" t="s">
        <v>68</v>
      </c>
      <c r="D867" s="22" t="n">
        <f aca="false">Допущения!$E$54</f>
        <v>0.002</v>
      </c>
      <c r="E867" s="23"/>
      <c r="F867" s="23"/>
      <c r="G867" s="23"/>
      <c r="H867" s="23"/>
      <c r="I867" s="23"/>
      <c r="J867" s="23"/>
      <c r="K867" s="23"/>
      <c r="L867" s="49"/>
    </row>
    <row r="868" customFormat="false" ht="15" hidden="true" customHeight="false" outlineLevel="1" collapsed="false">
      <c r="A868" s="20" t="n">
        <v>14</v>
      </c>
      <c r="B868" s="6" t="s">
        <v>564</v>
      </c>
      <c r="C868" s="20" t="s">
        <v>55</v>
      </c>
      <c r="D868" s="50" t="n">
        <f aca="false">Допущения!$E$55</f>
        <v>2.979</v>
      </c>
      <c r="E868" s="23"/>
      <c r="F868" s="23"/>
      <c r="G868" s="23"/>
      <c r="H868" s="23"/>
      <c r="I868" s="23"/>
      <c r="J868" s="23"/>
      <c r="K868" s="23"/>
      <c r="L868" s="49"/>
    </row>
    <row r="869" customFormat="false" ht="15" hidden="true" customHeight="false" outlineLevel="1" collapsed="false">
      <c r="A869" s="20" t="n">
        <v>15</v>
      </c>
      <c r="B869" s="6" t="s">
        <v>565</v>
      </c>
      <c r="C869" s="20" t="s">
        <v>261</v>
      </c>
      <c r="D869" s="22" t="n">
        <f aca="false">Допущения!$E$56</f>
        <v>0.08</v>
      </c>
      <c r="E869" s="23"/>
      <c r="F869" s="23"/>
      <c r="G869" s="23"/>
      <c r="H869" s="23"/>
      <c r="I869" s="23"/>
      <c r="J869" s="23"/>
      <c r="K869" s="23"/>
      <c r="L869" s="49"/>
    </row>
    <row r="870" customFormat="false" ht="15" hidden="true" customHeight="false" outlineLevel="1" collapsed="false">
      <c r="A870" s="20" t="n">
        <v>16</v>
      </c>
      <c r="B870" s="6" t="s">
        <v>566</v>
      </c>
      <c r="C870" s="20" t="s">
        <v>71</v>
      </c>
      <c r="D870" s="9" t="n">
        <f aca="false">Допущения!$E$58</f>
        <v>2.5</v>
      </c>
      <c r="E870" s="23"/>
      <c r="F870" s="23"/>
      <c r="G870" s="23"/>
      <c r="H870" s="23"/>
      <c r="I870" s="23"/>
      <c r="J870" s="23"/>
      <c r="K870" s="23"/>
      <c r="L870" s="49"/>
    </row>
    <row r="871" customFormat="false" ht="15" hidden="true" customHeight="false" outlineLevel="1" collapsed="false">
      <c r="A871" s="20" t="n">
        <v>17</v>
      </c>
      <c r="B871" s="6" t="s">
        <v>299</v>
      </c>
      <c r="C871" s="20" t="s">
        <v>55</v>
      </c>
      <c r="D871" s="9" t="n">
        <f aca="false">Допущения!$E$59</f>
        <v>1</v>
      </c>
      <c r="E871" s="23"/>
      <c r="F871" s="23"/>
      <c r="G871" s="23"/>
      <c r="H871" s="23"/>
      <c r="I871" s="23"/>
      <c r="J871" s="23"/>
      <c r="K871" s="23"/>
      <c r="L871" s="49"/>
    </row>
    <row r="872" customFormat="false" ht="15" hidden="true" customHeight="false" outlineLevel="1" collapsed="false">
      <c r="A872" s="20" t="n">
        <v>18</v>
      </c>
      <c r="B872" s="6" t="s">
        <v>302</v>
      </c>
      <c r="C872" s="20" t="s">
        <v>55</v>
      </c>
      <c r="D872" s="9" t="n">
        <f aca="false">Допущения!$E$60</f>
        <v>0.6</v>
      </c>
      <c r="E872" s="23"/>
      <c r="F872" s="23"/>
      <c r="G872" s="23"/>
      <c r="H872" s="23"/>
      <c r="I872" s="23"/>
      <c r="J872" s="23"/>
      <c r="K872" s="23"/>
      <c r="L872" s="49"/>
    </row>
    <row r="873" customFormat="false" ht="15" hidden="true" customHeight="false" outlineLevel="1" collapsed="false">
      <c r="A873" s="20" t="n">
        <v>19</v>
      </c>
      <c r="B873" s="6" t="s">
        <v>567</v>
      </c>
      <c r="C873" s="20" t="s">
        <v>55</v>
      </c>
      <c r="D873" s="45" t="n">
        <f aca="false">Допущения!$E$61</f>
        <v>0.15</v>
      </c>
      <c r="E873" s="23"/>
      <c r="F873" s="23"/>
      <c r="G873" s="23"/>
      <c r="H873" s="23"/>
      <c r="I873" s="23"/>
      <c r="J873" s="23"/>
      <c r="K873" s="23"/>
      <c r="L873" s="49"/>
    </row>
    <row r="874" customFormat="false" ht="15" hidden="true" customHeight="false" outlineLevel="1" collapsed="false">
      <c r="A874" s="20" t="n">
        <v>20</v>
      </c>
      <c r="B874" s="6" t="s">
        <v>568</v>
      </c>
      <c r="C874" s="20" t="s">
        <v>55</v>
      </c>
      <c r="D874" s="9" t="n">
        <f aca="false">Допущения!$E$62</f>
        <v>1</v>
      </c>
      <c r="E874" s="23"/>
      <c r="F874" s="23"/>
      <c r="G874" s="23"/>
      <c r="H874" s="23"/>
      <c r="I874" s="23"/>
      <c r="J874" s="23"/>
      <c r="K874" s="23"/>
      <c r="L874" s="49"/>
    </row>
    <row r="875" customFormat="false" ht="15" hidden="true" customHeight="false" outlineLevel="1" collapsed="false">
      <c r="A875" s="20" t="n">
        <v>21</v>
      </c>
      <c r="B875" s="6" t="s">
        <v>569</v>
      </c>
      <c r="C875" s="20" t="s">
        <v>71</v>
      </c>
      <c r="D875" s="9" t="n">
        <f aca="false">Допущения!$E$63</f>
        <v>0.4</v>
      </c>
      <c r="E875" s="23"/>
      <c r="F875" s="23"/>
      <c r="G875" s="23"/>
      <c r="H875" s="23"/>
      <c r="I875" s="23"/>
      <c r="J875" s="23"/>
      <c r="K875" s="23"/>
      <c r="L875" s="49"/>
    </row>
    <row r="876" customFormat="false" ht="15" hidden="true" customHeight="false" outlineLevel="1" collapsed="false">
      <c r="A876" s="20" t="n">
        <v>22</v>
      </c>
      <c r="B876" s="6" t="s">
        <v>314</v>
      </c>
      <c r="C876" s="20" t="s">
        <v>55</v>
      </c>
      <c r="D876" s="9" t="n">
        <f aca="false">Допущения!$E$64</f>
        <v>1.2</v>
      </c>
      <c r="E876" s="23"/>
      <c r="F876" s="23"/>
      <c r="G876" s="23"/>
      <c r="H876" s="23"/>
      <c r="I876" s="23"/>
      <c r="J876" s="23"/>
      <c r="K876" s="23"/>
      <c r="L876" s="49"/>
    </row>
    <row r="877" customFormat="false" ht="15" hidden="true" customHeight="false" outlineLevel="1" collapsed="false">
      <c r="A877" s="20" t="n">
        <v>23</v>
      </c>
      <c r="B877" s="6" t="s">
        <v>317</v>
      </c>
      <c r="C877" s="20" t="s">
        <v>55</v>
      </c>
      <c r="D877" s="45" t="n">
        <f aca="false">Допущения!$E$65</f>
        <v>0.1</v>
      </c>
      <c r="E877" s="23"/>
      <c r="F877" s="23"/>
      <c r="G877" s="23"/>
      <c r="H877" s="23"/>
      <c r="I877" s="23"/>
      <c r="J877" s="23"/>
      <c r="K877" s="23"/>
      <c r="L877" s="49"/>
    </row>
    <row r="878" customFormat="false" ht="15" hidden="true" customHeight="false" outlineLevel="1" collapsed="false">
      <c r="A878" s="20" t="n">
        <v>24</v>
      </c>
      <c r="B878" s="6" t="s">
        <v>320</v>
      </c>
      <c r="C878" s="20" t="s">
        <v>71</v>
      </c>
      <c r="D878" s="45" t="n">
        <f aca="false">Допущения!$E$66</f>
        <v>0.25</v>
      </c>
      <c r="E878" s="23"/>
      <c r="F878" s="23"/>
      <c r="G878" s="23"/>
      <c r="H878" s="23"/>
      <c r="I878" s="23"/>
      <c r="J878" s="23"/>
      <c r="K878" s="23"/>
      <c r="L878" s="49"/>
    </row>
    <row r="879" customFormat="false" ht="15" hidden="true" customHeight="false" outlineLevel="1" collapsed="false">
      <c r="A879" s="20" t="n">
        <v>25</v>
      </c>
      <c r="B879" s="6" t="s">
        <v>570</v>
      </c>
      <c r="C879" s="20" t="s">
        <v>71</v>
      </c>
      <c r="D879" s="9" t="n">
        <f aca="false">Допущения!$E$67</f>
        <v>0.3</v>
      </c>
      <c r="E879" s="23"/>
      <c r="F879" s="23"/>
      <c r="G879" s="23"/>
      <c r="H879" s="23"/>
      <c r="I879" s="23"/>
      <c r="J879" s="23"/>
      <c r="K879" s="23"/>
      <c r="L879" s="49"/>
    </row>
    <row r="880" customFormat="false" ht="15" hidden="true" customHeight="false" outlineLevel="1" collapsed="false">
      <c r="A880" s="20" t="n">
        <v>26</v>
      </c>
      <c r="B880" s="6" t="s">
        <v>326</v>
      </c>
      <c r="C880" s="20" t="s">
        <v>261</v>
      </c>
      <c r="D880" s="22" t="n">
        <f aca="false">Допущения!$E$68</f>
        <v>0.05</v>
      </c>
      <c r="E880" s="23"/>
      <c r="F880" s="23"/>
      <c r="G880" s="23"/>
      <c r="H880" s="23"/>
      <c r="I880" s="23"/>
      <c r="J880" s="23"/>
      <c r="K880" s="23"/>
      <c r="L880" s="49"/>
    </row>
    <row r="881" customFormat="false" ht="15" hidden="true" customHeight="false" outlineLevel="1" collapsed="false">
      <c r="A881" s="20" t="n">
        <v>27</v>
      </c>
      <c r="B881" s="6" t="s">
        <v>571</v>
      </c>
      <c r="C881" s="20" t="s">
        <v>330</v>
      </c>
      <c r="D881" s="22" t="n">
        <f aca="false">Допущения!$E$69</f>
        <v>0.1</v>
      </c>
      <c r="E881" s="23"/>
      <c r="F881" s="23"/>
      <c r="G881" s="23"/>
      <c r="H881" s="23"/>
      <c r="I881" s="23"/>
      <c r="J881" s="23"/>
      <c r="K881" s="23"/>
      <c r="L881" s="49"/>
    </row>
    <row r="882" customFormat="false" ht="15" hidden="true" customHeight="false" outlineLevel="1" collapsed="false">
      <c r="A882" s="20" t="n">
        <v>28</v>
      </c>
      <c r="B882" s="6" t="s">
        <v>572</v>
      </c>
      <c r="C882" s="20" t="s">
        <v>68</v>
      </c>
      <c r="D882" s="22" t="n">
        <f aca="false">Допущения!$E$71</f>
        <v>0.05</v>
      </c>
      <c r="E882" s="23"/>
      <c r="F882" s="23"/>
      <c r="G882" s="23"/>
      <c r="H882" s="23"/>
      <c r="I882" s="23"/>
      <c r="J882" s="23"/>
      <c r="K882" s="23"/>
      <c r="L882" s="49"/>
    </row>
    <row r="883" customFormat="false" ht="15" hidden="true" customHeight="false" outlineLevel="1" collapsed="false">
      <c r="A883" s="20" t="n">
        <v>29</v>
      </c>
      <c r="B883" s="6" t="s">
        <v>573</v>
      </c>
      <c r="C883" s="20" t="s">
        <v>68</v>
      </c>
      <c r="D883" s="22" t="n">
        <f aca="false">Допущения!$E$72</f>
        <v>0.5</v>
      </c>
      <c r="E883" s="23"/>
      <c r="F883" s="23"/>
      <c r="G883" s="23"/>
      <c r="H883" s="23"/>
      <c r="I883" s="23"/>
      <c r="J883" s="23"/>
      <c r="K883" s="23"/>
      <c r="L883" s="49"/>
    </row>
    <row r="884" customFormat="false" ht="15" hidden="true" customHeight="false" outlineLevel="1" collapsed="false">
      <c r="A884" s="20" t="n">
        <v>30</v>
      </c>
      <c r="B884" s="6" t="s">
        <v>574</v>
      </c>
      <c r="C884" s="20" t="s">
        <v>575</v>
      </c>
      <c r="D884" s="7" t="n">
        <f aca="false">Допущения!$E$73</f>
        <v>90</v>
      </c>
      <c r="E884" s="23"/>
      <c r="F884" s="23"/>
      <c r="G884" s="23"/>
      <c r="H884" s="23"/>
      <c r="I884" s="23"/>
      <c r="J884" s="23"/>
      <c r="K884" s="23"/>
      <c r="L884" s="49"/>
    </row>
    <row r="885" customFormat="false" ht="15" hidden="true" customHeight="false" outlineLevel="1" collapsed="false">
      <c r="A885" s="20" t="n">
        <v>31</v>
      </c>
      <c r="B885" s="6" t="s">
        <v>345</v>
      </c>
      <c r="C885" s="20" t="s">
        <v>68</v>
      </c>
      <c r="D885" s="22" t="n">
        <f aca="false">Допущения!$E$74</f>
        <v>0.3</v>
      </c>
      <c r="E885" s="23"/>
      <c r="F885" s="23"/>
      <c r="G885" s="23"/>
      <c r="H885" s="23"/>
      <c r="I885" s="23"/>
      <c r="J885" s="23"/>
      <c r="K885" s="23"/>
      <c r="L885" s="49"/>
    </row>
    <row r="886" customFormat="false" ht="15" hidden="true" customHeight="false" outlineLevel="1" collapsed="false">
      <c r="A886" s="20" t="n">
        <v>32</v>
      </c>
      <c r="B886" s="6" t="s">
        <v>576</v>
      </c>
      <c r="C886" s="20" t="s">
        <v>261</v>
      </c>
      <c r="D886" s="22" t="n">
        <f aca="false">Допущения!$E$75</f>
        <v>0.04</v>
      </c>
      <c r="E886" s="23"/>
      <c r="F886" s="23"/>
      <c r="G886" s="23"/>
      <c r="H886" s="23"/>
      <c r="I886" s="23"/>
      <c r="J886" s="23"/>
      <c r="K886" s="23"/>
      <c r="L886" s="49"/>
    </row>
    <row r="887" customFormat="false" ht="15" hidden="true" customHeight="false" outlineLevel="1" collapsed="false">
      <c r="A887" s="20" t="n">
        <v>33</v>
      </c>
      <c r="B887" s="6" t="s">
        <v>577</v>
      </c>
      <c r="C887" s="20" t="s">
        <v>68</v>
      </c>
      <c r="D887" s="22" t="n">
        <f aca="false">Допущения!$E$76</f>
        <v>0.2</v>
      </c>
      <c r="E887" s="23"/>
      <c r="F887" s="23"/>
      <c r="G887" s="23"/>
      <c r="H887" s="23"/>
      <c r="I887" s="23"/>
      <c r="J887" s="23"/>
      <c r="K887" s="23"/>
      <c r="L887" s="49"/>
    </row>
    <row r="888" customFormat="false" ht="15" hidden="true" customHeight="false" outlineLevel="1" collapsed="false">
      <c r="A888" s="20" t="n">
        <v>34</v>
      </c>
      <c r="B888" s="6" t="s">
        <v>578</v>
      </c>
      <c r="C888" s="20" t="s">
        <v>105</v>
      </c>
      <c r="D888" s="50" t="n">
        <f aca="false">Рынок!$E$30</f>
        <v>0.490909090909091</v>
      </c>
      <c r="E888" s="23"/>
      <c r="F888" s="23"/>
      <c r="G888" s="23"/>
      <c r="H888" s="23"/>
      <c r="I888" s="23"/>
      <c r="J888" s="23"/>
      <c r="K888" s="23"/>
      <c r="L888" s="49" t="s">
        <v>579</v>
      </c>
    </row>
    <row r="889" customFormat="false" ht="15" hidden="true" customHeight="false" outlineLevel="1" collapsed="false">
      <c r="A889" s="20" t="n">
        <v>35</v>
      </c>
      <c r="B889" s="6" t="s">
        <v>580</v>
      </c>
      <c r="C889" s="20" t="s">
        <v>105</v>
      </c>
      <c r="D889" s="50" t="n">
        <f aca="false">Рынок!$E$31</f>
        <v>0.028125</v>
      </c>
      <c r="E889" s="23"/>
      <c r="F889" s="23"/>
      <c r="G889" s="23"/>
      <c r="H889" s="23"/>
      <c r="I889" s="23"/>
      <c r="J889" s="23"/>
      <c r="K889" s="23"/>
      <c r="L889" s="49" t="s">
        <v>579</v>
      </c>
    </row>
    <row r="890" customFormat="false" ht="15" hidden="true" customHeight="false" outlineLevel="1" collapsed="false">
      <c r="A890" s="20" t="n">
        <v>36</v>
      </c>
      <c r="B890" s="6" t="s">
        <v>581</v>
      </c>
      <c r="C890" s="20" t="s">
        <v>142</v>
      </c>
      <c r="D890" s="7" t="n">
        <f aca="false">План!$D$18</f>
        <v>200</v>
      </c>
      <c r="E890" s="23"/>
      <c r="F890" s="23"/>
      <c r="G890" s="23"/>
      <c r="H890" s="23"/>
      <c r="I890" s="23"/>
      <c r="J890" s="23"/>
      <c r="K890" s="23"/>
      <c r="L890" s="49" t="s">
        <v>582</v>
      </c>
    </row>
    <row r="891" customFormat="false" ht="15" hidden="true" customHeight="false" outlineLevel="1" collapsed="false">
      <c r="A891" s="20" t="n">
        <v>37</v>
      </c>
      <c r="B891" s="6" t="s">
        <v>583</v>
      </c>
      <c r="C891" s="20" t="s">
        <v>142</v>
      </c>
      <c r="D891" s="7" t="n">
        <f aca="false">План!$D$19</f>
        <v>280</v>
      </c>
      <c r="E891" s="23"/>
      <c r="F891" s="23"/>
      <c r="G891" s="23"/>
      <c r="H891" s="23"/>
      <c r="I891" s="23"/>
      <c r="J891" s="23"/>
      <c r="K891" s="23"/>
      <c r="L891" s="49" t="s">
        <v>582</v>
      </c>
    </row>
    <row r="892" customFormat="false" ht="15" hidden="true" customHeight="false" outlineLevel="1" collapsed="false">
      <c r="A892" s="20" t="n">
        <v>38</v>
      </c>
      <c r="B892" s="6" t="s">
        <v>584</v>
      </c>
      <c r="C892" s="20" t="s">
        <v>142</v>
      </c>
      <c r="D892" s="7" t="n">
        <f aca="false">План!$D$20</f>
        <v>230</v>
      </c>
      <c r="E892" s="23"/>
      <c r="F892" s="23"/>
      <c r="G892" s="23"/>
      <c r="H892" s="23"/>
      <c r="I892" s="23"/>
      <c r="J892" s="23"/>
      <c r="K892" s="23"/>
      <c r="L892" s="49" t="s">
        <v>582</v>
      </c>
    </row>
    <row r="893" customFormat="false" ht="15" hidden="true" customHeight="false" outlineLevel="1" collapsed="false">
      <c r="A893" s="20" t="n">
        <v>39</v>
      </c>
      <c r="B893" s="6" t="s">
        <v>585</v>
      </c>
      <c r="C893" s="20" t="s">
        <v>142</v>
      </c>
      <c r="D893" s="7" t="n">
        <f aca="false">План!$D$21</f>
        <v>220</v>
      </c>
      <c r="E893" s="23"/>
      <c r="F893" s="23"/>
      <c r="G893" s="23"/>
      <c r="H893" s="23"/>
      <c r="I893" s="23"/>
      <c r="J893" s="23"/>
      <c r="K893" s="23"/>
      <c r="L893" s="49" t="s">
        <v>582</v>
      </c>
    </row>
    <row r="894" customFormat="false" ht="15" hidden="true" customHeight="false" outlineLevel="1" collapsed="false">
      <c r="A894" s="20" t="n">
        <v>40</v>
      </c>
      <c r="B894" s="6" t="s">
        <v>586</v>
      </c>
      <c r="C894" s="20" t="s">
        <v>142</v>
      </c>
      <c r="D894" s="7" t="n">
        <f aca="false">План!$D$22</f>
        <v>250</v>
      </c>
      <c r="E894" s="23"/>
      <c r="F894" s="23"/>
      <c r="G894" s="23"/>
      <c r="H894" s="23"/>
      <c r="I894" s="23"/>
      <c r="J894" s="23"/>
      <c r="K894" s="23"/>
      <c r="L894" s="49" t="s">
        <v>582</v>
      </c>
    </row>
    <row r="895" customFormat="false" ht="15" hidden="true" customHeight="false" outlineLevel="1" collapsed="false">
      <c r="A895" s="20" t="n">
        <v>41</v>
      </c>
      <c r="B895" s="6" t="s">
        <v>587</v>
      </c>
      <c r="C895" s="20" t="s">
        <v>142</v>
      </c>
      <c r="D895" s="7" t="n">
        <f aca="false">План!$D$23</f>
        <v>220</v>
      </c>
      <c r="E895" s="23"/>
      <c r="F895" s="23"/>
      <c r="G895" s="23"/>
      <c r="H895" s="23"/>
      <c r="I895" s="23"/>
      <c r="J895" s="23"/>
      <c r="K895" s="23"/>
      <c r="L895" s="49" t="s">
        <v>582</v>
      </c>
    </row>
    <row r="896" customFormat="false" ht="15" hidden="true" customHeight="false" outlineLevel="1" collapsed="false">
      <c r="A896" s="20" t="n">
        <v>42</v>
      </c>
      <c r="B896" s="6" t="s">
        <v>359</v>
      </c>
      <c r="C896" s="20" t="s">
        <v>76</v>
      </c>
      <c r="D896" s="23"/>
      <c r="E896" s="9" t="n">
        <f aca="false">План!E16</f>
        <v>0</v>
      </c>
      <c r="F896" s="9" t="n">
        <f aca="false">План!F16</f>
        <v>0</v>
      </c>
      <c r="G896" s="9" t="n">
        <f aca="false">План!G16</f>
        <v>0</v>
      </c>
      <c r="H896" s="9" t="n">
        <f aca="false">План!H16</f>
        <v>1</v>
      </c>
      <c r="I896" s="9" t="n">
        <f aca="false">План!I16</f>
        <v>0</v>
      </c>
      <c r="J896" s="9" t="n">
        <f aca="false">План!J16</f>
        <v>1</v>
      </c>
      <c r="K896" s="51" t="n">
        <f aca="false">SUM(F896:J896)</f>
        <v>2</v>
      </c>
      <c r="L896" s="49" t="s">
        <v>582</v>
      </c>
    </row>
    <row r="897" customFormat="false" ht="15" hidden="true" customHeight="false" outlineLevel="1" collapsed="false">
      <c r="A897" s="20" t="n">
        <v>43</v>
      </c>
      <c r="B897" s="6" t="s">
        <v>361</v>
      </c>
      <c r="C897" s="20" t="s">
        <v>76</v>
      </c>
      <c r="D897" s="23"/>
      <c r="E897" s="9" t="n">
        <f aca="false">План!E17</f>
        <v>0</v>
      </c>
      <c r="F897" s="9" t="n">
        <f aca="false">План!F17</f>
        <v>0</v>
      </c>
      <c r="G897" s="9" t="n">
        <f aca="false">План!G17</f>
        <v>1</v>
      </c>
      <c r="H897" s="9" t="n">
        <f aca="false">План!H17</f>
        <v>2</v>
      </c>
      <c r="I897" s="9" t="n">
        <f aca="false">План!I17</f>
        <v>2</v>
      </c>
      <c r="J897" s="9" t="n">
        <f aca="false">План!J17</f>
        <v>3</v>
      </c>
      <c r="K897" s="51" t="n">
        <f aca="false">SUM(F897:J897)</f>
        <v>8</v>
      </c>
      <c r="L897" s="49" t="s">
        <v>582</v>
      </c>
    </row>
    <row r="898" customFormat="false" ht="15" hidden="true" customHeight="false" outlineLevel="1" collapsed="false">
      <c r="A898" s="20" t="n">
        <v>44</v>
      </c>
      <c r="B898" s="6" t="s">
        <v>588</v>
      </c>
      <c r="C898" s="20" t="s">
        <v>53</v>
      </c>
      <c r="D898" s="23"/>
      <c r="E898" s="9" t="n">
        <f aca="false">План!E18</f>
        <v>2</v>
      </c>
      <c r="F898" s="9" t="n">
        <f aca="false">План!F18</f>
        <v>2</v>
      </c>
      <c r="G898" s="9" t="n">
        <f aca="false">План!G18</f>
        <v>2</v>
      </c>
      <c r="H898" s="9" t="n">
        <f aca="false">План!H18</f>
        <v>2</v>
      </c>
      <c r="I898" s="9" t="n">
        <f aca="false">План!I18</f>
        <v>2</v>
      </c>
      <c r="J898" s="9" t="n">
        <f aca="false">План!J18</f>
        <v>2</v>
      </c>
      <c r="K898" s="23"/>
      <c r="L898" s="49" t="s">
        <v>582</v>
      </c>
    </row>
    <row r="899" customFormat="false" ht="15" hidden="true" customHeight="false" outlineLevel="1" collapsed="false">
      <c r="A899" s="20" t="n">
        <v>45</v>
      </c>
      <c r="B899" s="6" t="s">
        <v>589</v>
      </c>
      <c r="C899" s="20" t="s">
        <v>53</v>
      </c>
      <c r="D899" s="23"/>
      <c r="E899" s="9" t="n">
        <f aca="false">План!E19</f>
        <v>0</v>
      </c>
      <c r="F899" s="9" t="n">
        <f aca="false">План!F19</f>
        <v>1</v>
      </c>
      <c r="G899" s="9" t="n">
        <f aca="false">План!G19</f>
        <v>1</v>
      </c>
      <c r="H899" s="9" t="n">
        <f aca="false">План!H19</f>
        <v>1</v>
      </c>
      <c r="I899" s="9" t="n">
        <f aca="false">План!I19</f>
        <v>2</v>
      </c>
      <c r="J899" s="9" t="n">
        <f aca="false">План!J19</f>
        <v>2</v>
      </c>
      <c r="K899" s="23"/>
      <c r="L899" s="49" t="s">
        <v>582</v>
      </c>
    </row>
    <row r="900" customFormat="false" ht="15" hidden="true" customHeight="false" outlineLevel="1" collapsed="false">
      <c r="A900" s="20" t="n">
        <v>46</v>
      </c>
      <c r="B900" s="6" t="s">
        <v>590</v>
      </c>
      <c r="C900" s="20" t="s">
        <v>53</v>
      </c>
      <c r="D900" s="23"/>
      <c r="E900" s="9" t="n">
        <f aca="false">План!E20</f>
        <v>0</v>
      </c>
      <c r="F900" s="9" t="n">
        <f aca="false">План!F20</f>
        <v>1</v>
      </c>
      <c r="G900" s="9" t="n">
        <f aca="false">План!G20</f>
        <v>1</v>
      </c>
      <c r="H900" s="9" t="n">
        <f aca="false">План!H20</f>
        <v>1</v>
      </c>
      <c r="I900" s="9" t="n">
        <f aca="false">План!I20</f>
        <v>1</v>
      </c>
      <c r="J900" s="9" t="n">
        <f aca="false">План!J20</f>
        <v>1</v>
      </c>
      <c r="K900" s="23"/>
      <c r="L900" s="49" t="s">
        <v>582</v>
      </c>
    </row>
    <row r="901" customFormat="false" ht="15" hidden="true" customHeight="false" outlineLevel="1" collapsed="false">
      <c r="A901" s="20" t="n">
        <v>47</v>
      </c>
      <c r="B901" s="6" t="s">
        <v>591</v>
      </c>
      <c r="C901" s="20" t="s">
        <v>53</v>
      </c>
      <c r="D901" s="23"/>
      <c r="E901" s="9" t="n">
        <f aca="false">План!E21</f>
        <v>0</v>
      </c>
      <c r="F901" s="9" t="n">
        <f aca="false">План!F21</f>
        <v>0</v>
      </c>
      <c r="G901" s="9" t="n">
        <f aca="false">План!G21</f>
        <v>1</v>
      </c>
      <c r="H901" s="9" t="n">
        <f aca="false">План!H21</f>
        <v>1</v>
      </c>
      <c r="I901" s="9" t="n">
        <f aca="false">План!I21</f>
        <v>1</v>
      </c>
      <c r="J901" s="9" t="n">
        <f aca="false">План!J21</f>
        <v>1</v>
      </c>
      <c r="K901" s="23"/>
      <c r="L901" s="49" t="s">
        <v>582</v>
      </c>
    </row>
    <row r="902" customFormat="false" ht="15" hidden="true" customHeight="false" outlineLevel="1" collapsed="false">
      <c r="A902" s="20" t="n">
        <v>48</v>
      </c>
      <c r="B902" s="6" t="s">
        <v>592</v>
      </c>
      <c r="C902" s="20" t="s">
        <v>53</v>
      </c>
      <c r="D902" s="23"/>
      <c r="E902" s="9" t="n">
        <f aca="false">План!E22</f>
        <v>0</v>
      </c>
      <c r="F902" s="9" t="n">
        <f aca="false">План!F22</f>
        <v>0</v>
      </c>
      <c r="G902" s="9" t="n">
        <f aca="false">План!G22</f>
        <v>0</v>
      </c>
      <c r="H902" s="9" t="n">
        <f aca="false">План!H22</f>
        <v>1</v>
      </c>
      <c r="I902" s="9" t="n">
        <f aca="false">План!I22</f>
        <v>1</v>
      </c>
      <c r="J902" s="9" t="n">
        <f aca="false">План!J22</f>
        <v>1</v>
      </c>
      <c r="K902" s="23"/>
      <c r="L902" s="49" t="s">
        <v>582</v>
      </c>
    </row>
    <row r="903" customFormat="false" ht="15" hidden="true" customHeight="false" outlineLevel="1" collapsed="false">
      <c r="A903" s="20" t="n">
        <v>49</v>
      </c>
      <c r="B903" s="6" t="s">
        <v>593</v>
      </c>
      <c r="C903" s="20" t="s">
        <v>53</v>
      </c>
      <c r="D903" s="23"/>
      <c r="E903" s="9" t="n">
        <f aca="false">План!E23</f>
        <v>0</v>
      </c>
      <c r="F903" s="9" t="n">
        <f aca="false">План!F23</f>
        <v>0</v>
      </c>
      <c r="G903" s="9" t="n">
        <f aca="false">План!G23</f>
        <v>0</v>
      </c>
      <c r="H903" s="9" t="n">
        <f aca="false">План!H23</f>
        <v>0</v>
      </c>
      <c r="I903" s="9" t="n">
        <f aca="false">План!I23</f>
        <v>0</v>
      </c>
      <c r="J903" s="9" t="n">
        <f aca="false">План!J23</f>
        <v>1</v>
      </c>
      <c r="K903" s="23"/>
      <c r="L903" s="49" t="s">
        <v>582</v>
      </c>
    </row>
    <row r="904" customFormat="false" ht="15" hidden="true" customHeight="false" outlineLevel="1" collapsed="false">
      <c r="A904" s="19" t="s">
        <v>594</v>
      </c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</row>
    <row r="905" customFormat="false" ht="15" hidden="true" customHeight="false" outlineLevel="1" collapsed="false">
      <c r="A905" s="20" t="n">
        <v>50</v>
      </c>
      <c r="B905" s="6" t="s">
        <v>595</v>
      </c>
      <c r="C905" s="20"/>
      <c r="D905" s="23"/>
      <c r="E905" s="10" t="n">
        <f aca="false">Допущения!$D$3</f>
        <v>2026</v>
      </c>
      <c r="F905" s="52" t="n">
        <f aca="false">E905+1</f>
        <v>2027</v>
      </c>
      <c r="G905" s="52" t="n">
        <f aca="false">F905+1</f>
        <v>2028</v>
      </c>
      <c r="H905" s="52" t="n">
        <f aca="false">G905+1</f>
        <v>2029</v>
      </c>
      <c r="I905" s="52" t="n">
        <f aca="false">H905+1</f>
        <v>2030</v>
      </c>
      <c r="J905" s="52" t="n">
        <f aca="false">I905+1</f>
        <v>2031</v>
      </c>
      <c r="K905" s="23"/>
      <c r="L905" s="49" t="s">
        <v>596</v>
      </c>
    </row>
    <row r="906" customFormat="false" ht="15" hidden="true" customHeight="false" outlineLevel="1" collapsed="false">
      <c r="A906" s="20" t="n">
        <v>51</v>
      </c>
      <c r="B906" s="6" t="s">
        <v>597</v>
      </c>
      <c r="C906" s="20" t="s">
        <v>62</v>
      </c>
      <c r="D906" s="23"/>
      <c r="E906" s="23"/>
      <c r="F906" s="53" t="n">
        <f aca="false">(1+$D$862)^(F$905-$E$905-1)</f>
        <v>1</v>
      </c>
      <c r="G906" s="53" t="n">
        <f aca="false">(1+$D$862)^(G$905-$E$905-1)</f>
        <v>1.05</v>
      </c>
      <c r="H906" s="53" t="n">
        <f aca="false">(1+$D$862)^(H$905-$E$905-1)</f>
        <v>1.1025</v>
      </c>
      <c r="I906" s="53" t="n">
        <f aca="false">(1+$D$862)^(I$905-$E$905-1)</f>
        <v>1.157625</v>
      </c>
      <c r="J906" s="53" t="n">
        <f aca="false">(1+$D$862)^(J$905-$E$905-1)</f>
        <v>1.21550625</v>
      </c>
      <c r="K906" s="23"/>
      <c r="L906" s="49" t="s">
        <v>598</v>
      </c>
    </row>
    <row r="907" customFormat="false" ht="15" hidden="true" customHeight="false" outlineLevel="1" collapsed="false">
      <c r="A907" s="20" t="n">
        <v>52</v>
      </c>
      <c r="B907" s="6" t="s">
        <v>599</v>
      </c>
      <c r="C907" s="20" t="s">
        <v>62</v>
      </c>
      <c r="D907" s="23"/>
      <c r="E907" s="23"/>
      <c r="F907" s="53" t="n">
        <f aca="false">(1+$D$880)^(F$905-$E$905-1)</f>
        <v>1</v>
      </c>
      <c r="G907" s="53" t="n">
        <f aca="false">(1+$D$880)^(G$905-$E$905-1)</f>
        <v>1.05</v>
      </c>
      <c r="H907" s="53" t="n">
        <f aca="false">(1+$D$880)^(H$905-$E$905-1)</f>
        <v>1.1025</v>
      </c>
      <c r="I907" s="53" t="n">
        <f aca="false">(1+$D$880)^(I$905-$E$905-1)</f>
        <v>1.157625</v>
      </c>
      <c r="J907" s="53" t="n">
        <f aca="false">(1+$D$880)^(J$905-$E$905-1)</f>
        <v>1.21550625</v>
      </c>
      <c r="K907" s="23"/>
      <c r="L907" s="49" t="s">
        <v>600</v>
      </c>
    </row>
    <row r="908" customFormat="false" ht="15" hidden="true" customHeight="false" outlineLevel="1" collapsed="false">
      <c r="A908" s="20" t="n">
        <v>53</v>
      </c>
      <c r="B908" s="6" t="s">
        <v>601</v>
      </c>
      <c r="C908" s="20" t="s">
        <v>62</v>
      </c>
      <c r="D908" s="23"/>
      <c r="E908" s="23"/>
      <c r="F908" s="53" t="n">
        <f aca="false">(1+$D$864)^(F$905-$E$905-1)</f>
        <v>1</v>
      </c>
      <c r="G908" s="53" t="n">
        <f aca="false">(1+$D$864)^(G$905-$E$905-1)</f>
        <v>1.07</v>
      </c>
      <c r="H908" s="53" t="n">
        <f aca="false">(1+$D$864)^(H$905-$E$905-1)</f>
        <v>1.1449</v>
      </c>
      <c r="I908" s="53" t="n">
        <f aca="false">(1+$D$864)^(I$905-$E$905-1)</f>
        <v>1.225043</v>
      </c>
      <c r="J908" s="53" t="n">
        <f aca="false">(1+$D$864)^(J$905-$E$905-1)</f>
        <v>1.31079601</v>
      </c>
      <c r="K908" s="23"/>
      <c r="L908" s="49" t="s">
        <v>602</v>
      </c>
    </row>
    <row r="909" customFormat="false" ht="15" hidden="true" customHeight="false" outlineLevel="1" collapsed="false">
      <c r="A909" s="20" t="n">
        <v>54</v>
      </c>
      <c r="B909" s="6" t="s">
        <v>603</v>
      </c>
      <c r="C909" s="20" t="s">
        <v>55</v>
      </c>
      <c r="D909" s="23"/>
      <c r="E909" s="23"/>
      <c r="F909" s="46" t="n">
        <f aca="false">$D$868*(1+$D$869)^(F$905-$E$905)</f>
        <v>3.21732</v>
      </c>
      <c r="G909" s="46" t="n">
        <f aca="false">$D$868*(1+$D$869)^(G$905-$E$905)</f>
        <v>3.4747056</v>
      </c>
      <c r="H909" s="46" t="n">
        <f aca="false">$D$868*(1+$D$869)^(H$905-$E$905)</f>
        <v>3.752682048</v>
      </c>
      <c r="I909" s="46" t="n">
        <f aca="false">$D$868*(1+$D$869)^(I$905-$E$905)</f>
        <v>4.05289661184</v>
      </c>
      <c r="J909" s="46" t="n">
        <f aca="false">$D$868*(1+$D$869)^(J$905-$E$905)</f>
        <v>4.3771283407872</v>
      </c>
      <c r="K909" s="23"/>
      <c r="L909" s="49" t="s">
        <v>604</v>
      </c>
    </row>
    <row r="910" customFormat="false" ht="15" hidden="true" customHeight="false" outlineLevel="1" collapsed="false">
      <c r="A910" s="19" t="s">
        <v>605</v>
      </c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</row>
    <row r="911" customFormat="false" ht="15" hidden="true" customHeight="false" outlineLevel="1" collapsed="false">
      <c r="A911" s="20" t="n">
        <v>55</v>
      </c>
      <c r="B911" s="6" t="s">
        <v>606</v>
      </c>
      <c r="C911" s="20" t="s">
        <v>76</v>
      </c>
      <c r="D911" s="23"/>
      <c r="E911" s="23"/>
      <c r="F911" s="38" t="n">
        <f aca="false">IF(F$905=$D$855,1,0)</f>
        <v>1</v>
      </c>
      <c r="G911" s="38" t="n">
        <f aca="false">IF(G$905=$D$855,1,0)</f>
        <v>0</v>
      </c>
      <c r="H911" s="38" t="n">
        <f aca="false">IF(H$905=$D$855,1,0)</f>
        <v>0</v>
      </c>
      <c r="I911" s="38" t="n">
        <f aca="false">IF(I$905=$D$855,1,0)</f>
        <v>0</v>
      </c>
      <c r="J911" s="38" t="n">
        <f aca="false">IF(J$905=$D$855,1,0)</f>
        <v>0</v>
      </c>
      <c r="K911" s="23"/>
      <c r="L911" s="49" t="s">
        <v>607</v>
      </c>
    </row>
    <row r="912" customFormat="false" ht="15" hidden="true" customHeight="false" outlineLevel="1" collapsed="false">
      <c r="A912" s="20" t="n">
        <v>56</v>
      </c>
      <c r="B912" s="6" t="s">
        <v>608</v>
      </c>
      <c r="C912" s="20" t="s">
        <v>76</v>
      </c>
      <c r="D912" s="23"/>
      <c r="E912" s="38" t="n">
        <f aca="false">0</f>
        <v>0</v>
      </c>
      <c r="F912" s="38" t="n">
        <f aca="false">F911+F896</f>
        <v>1</v>
      </c>
      <c r="G912" s="38" t="n">
        <f aca="false">G911+G896</f>
        <v>0</v>
      </c>
      <c r="H912" s="38" t="n">
        <f aca="false">H911+H896</f>
        <v>1</v>
      </c>
      <c r="I912" s="38" t="n">
        <f aca="false">I911+I896</f>
        <v>0</v>
      </c>
      <c r="J912" s="38" t="n">
        <f aca="false">J911+J896</f>
        <v>1</v>
      </c>
      <c r="K912" s="54" t="n">
        <f aca="false">SUM(F912:J912)</f>
        <v>3</v>
      </c>
      <c r="L912" s="49" t="s">
        <v>609</v>
      </c>
    </row>
    <row r="913" customFormat="false" ht="15" hidden="true" customHeight="false" outlineLevel="1" collapsed="false">
      <c r="A913" s="20" t="n">
        <v>57</v>
      </c>
      <c r="B913" s="6" t="s">
        <v>610</v>
      </c>
      <c r="C913" s="20" t="s">
        <v>76</v>
      </c>
      <c r="D913" s="23"/>
      <c r="E913" s="38" t="n">
        <f aca="false">0</f>
        <v>0</v>
      </c>
      <c r="F913" s="38" t="n">
        <f aca="false">E913+F912</f>
        <v>1</v>
      </c>
      <c r="G913" s="38" t="n">
        <f aca="false">F913+G912</f>
        <v>1</v>
      </c>
      <c r="H913" s="38" t="n">
        <f aca="false">G913+H912</f>
        <v>2</v>
      </c>
      <c r="I913" s="38" t="n">
        <f aca="false">H913+I912</f>
        <v>2</v>
      </c>
      <c r="J913" s="38" t="n">
        <f aca="false">I913+J912</f>
        <v>3</v>
      </c>
      <c r="K913" s="23"/>
      <c r="L913" s="49" t="s">
        <v>611</v>
      </c>
    </row>
    <row r="914" customFormat="false" ht="15" hidden="true" customHeight="false" outlineLevel="1" collapsed="false">
      <c r="A914" s="20" t="n">
        <v>58</v>
      </c>
      <c r="B914" s="6" t="s">
        <v>612</v>
      </c>
      <c r="C914" s="20" t="s">
        <v>76</v>
      </c>
      <c r="D914" s="23"/>
      <c r="E914" s="38" t="n">
        <f aca="false">0</f>
        <v>0</v>
      </c>
      <c r="F914" s="38" t="n">
        <f aca="false">E914+F897</f>
        <v>0</v>
      </c>
      <c r="G914" s="38" t="n">
        <f aca="false">F914+G897</f>
        <v>1</v>
      </c>
      <c r="H914" s="38" t="n">
        <f aca="false">G914+H897</f>
        <v>3</v>
      </c>
      <c r="I914" s="38" t="n">
        <f aca="false">H914+I897</f>
        <v>5</v>
      </c>
      <c r="J914" s="38" t="n">
        <f aca="false">I914+J897</f>
        <v>8</v>
      </c>
      <c r="K914" s="23"/>
      <c r="L914" s="49" t="s">
        <v>611</v>
      </c>
    </row>
    <row r="915" customFormat="false" ht="15" hidden="true" customHeight="false" outlineLevel="1" collapsed="false">
      <c r="A915" s="20" t="n">
        <v>59</v>
      </c>
      <c r="B915" s="6" t="s">
        <v>613</v>
      </c>
      <c r="C915" s="20" t="s">
        <v>76</v>
      </c>
      <c r="D915" s="23"/>
      <c r="E915" s="38" t="n">
        <f aca="false">0</f>
        <v>0</v>
      </c>
      <c r="F915" s="38" t="n">
        <f aca="false">F913+F914</f>
        <v>1</v>
      </c>
      <c r="G915" s="38" t="n">
        <f aca="false">G913+G914</f>
        <v>2</v>
      </c>
      <c r="H915" s="38" t="n">
        <f aca="false">H913+H914</f>
        <v>5</v>
      </c>
      <c r="I915" s="38" t="n">
        <f aca="false">I913+I914</f>
        <v>7</v>
      </c>
      <c r="J915" s="38" t="n">
        <f aca="false">J913+J914</f>
        <v>11</v>
      </c>
      <c r="K915" s="23"/>
      <c r="L915" s="49" t="s">
        <v>614</v>
      </c>
    </row>
    <row r="916" customFormat="false" ht="15" hidden="true" customHeight="false" outlineLevel="1" collapsed="false">
      <c r="A916" s="20" t="n">
        <v>60</v>
      </c>
      <c r="B916" s="6" t="s">
        <v>615</v>
      </c>
      <c r="C916" s="20" t="s">
        <v>76</v>
      </c>
      <c r="D916" s="23"/>
      <c r="E916" s="23"/>
      <c r="F916" s="38" t="n">
        <f aca="false">F912+F897</f>
        <v>1</v>
      </c>
      <c r="G916" s="38" t="n">
        <f aca="false">G912+G897</f>
        <v>1</v>
      </c>
      <c r="H916" s="38" t="n">
        <f aca="false">H912+H897</f>
        <v>3</v>
      </c>
      <c r="I916" s="38" t="n">
        <f aca="false">I912+I897</f>
        <v>2</v>
      </c>
      <c r="J916" s="38" t="n">
        <f aca="false">J912+J897</f>
        <v>4</v>
      </c>
      <c r="K916" s="54" t="n">
        <f aca="false">SUM(F916:J916)</f>
        <v>11</v>
      </c>
      <c r="L916" s="49"/>
    </row>
    <row r="917" customFormat="false" ht="15" hidden="true" customHeight="false" outlineLevel="1" collapsed="false">
      <c r="A917" s="19" t="s">
        <v>616</v>
      </c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</row>
    <row r="918" customFormat="false" ht="15" hidden="true" customHeight="false" outlineLevel="1" collapsed="false">
      <c r="A918" s="20" t="n">
        <v>61</v>
      </c>
      <c r="B918" s="6" t="s">
        <v>617</v>
      </c>
      <c r="C918" s="20" t="s">
        <v>71</v>
      </c>
      <c r="D918" s="23"/>
      <c r="E918" s="23"/>
      <c r="F918" s="40" t="n">
        <f aca="false">IF(F$905&gt;$D$855,($D$857+$D$856*$D$858)*(1+$D$863)^(F$905-$D$855-1)*F906,0)</f>
        <v>0</v>
      </c>
      <c r="G918" s="40" t="n">
        <f aca="false">IF(G$905&gt;$D$855,($D$857+$D$856*$D$858)*(1+$D$863)^(G$905-$D$855-1)*G906,0)</f>
        <v>15.75</v>
      </c>
      <c r="H918" s="40" t="n">
        <f aca="false">IF(H$905&gt;$D$855,($D$857+$D$856*$D$858)*(1+$D$863)^(H$905-$D$855-1)*H906,0)</f>
        <v>19.51425</v>
      </c>
      <c r="I918" s="40" t="n">
        <f aca="false">IF(I$905&gt;$D$855,($D$857+$D$856*$D$858)*(1+$D$863)^(I$905-$D$855-1)*I906,0)</f>
        <v>24.17815575</v>
      </c>
      <c r="J918" s="40" t="n">
        <f aca="false">IF(J$905&gt;$D$855,($D$857+$D$856*$D$858)*(1+$D$863)^(J$905-$D$855-1)*J906,0)</f>
        <v>29.95673497425</v>
      </c>
      <c r="K918" s="51" t="n">
        <f aca="false">SUM(F918:J918)</f>
        <v>89.39914072425</v>
      </c>
      <c r="L918" s="49" t="s">
        <v>618</v>
      </c>
    </row>
    <row r="919" customFormat="false" ht="15" hidden="true" customHeight="false" outlineLevel="1" collapsed="false">
      <c r="A919" s="20" t="n">
        <v>62</v>
      </c>
      <c r="B919" s="6" t="s">
        <v>619</v>
      </c>
      <c r="C919" s="20" t="s">
        <v>71</v>
      </c>
      <c r="D919" s="23"/>
      <c r="E919" s="23"/>
      <c r="F919" s="40" t="n">
        <f aca="false">($D$857+$D$888*$D$858)*F906*SUMPRODUCT($E$896:E$896,(1+$D$863)^(F$905-$E$905:E$905-1))</f>
        <v>0</v>
      </c>
      <c r="G919" s="40" t="n">
        <f aca="false">($D$857+$D$888*$D$858)*G906*SUMPRODUCT($E$896:F$896,(1+$D$863)^(G$905-$E$905:F$905-1))</f>
        <v>0</v>
      </c>
      <c r="H919" s="40" t="n">
        <f aca="false">($D$857+$D$888*$D$858)*H906*SUMPRODUCT($E$896:G$896,(1+$D$863)^(H$905-$E$905:G$905-1))</f>
        <v>0</v>
      </c>
      <c r="I919" s="40" t="n">
        <f aca="false">($D$857+$D$888*$D$858)*I906*SUMPRODUCT($E$896:H$896,(1+$D$863)^(I$905-$E$905:H$905-1))</f>
        <v>9.78719318181818</v>
      </c>
      <c r="J919" s="40" t="n">
        <f aca="false">($D$857+$D$888*$D$858)*J906*SUMPRODUCT($E$896:I$896,(1+$D$863)^(J$905-$E$905:I$905-1))</f>
        <v>12.1263323522727</v>
      </c>
      <c r="K919" s="51" t="n">
        <f aca="false">SUM(F919:J919)</f>
        <v>21.9135255340909</v>
      </c>
      <c r="L919" s="49" t="s">
        <v>620</v>
      </c>
    </row>
    <row r="920" customFormat="false" ht="15" hidden="true" customHeight="false" outlineLevel="1" collapsed="false">
      <c r="A920" s="20" t="n">
        <v>63</v>
      </c>
      <c r="B920" s="6" t="s">
        <v>621</v>
      </c>
      <c r="C920" s="20" t="s">
        <v>71</v>
      </c>
      <c r="D920" s="23"/>
      <c r="E920" s="23"/>
      <c r="F920" s="40" t="n">
        <f aca="false">($D$859+$D$889*$D$858)*F906*SUMPRODUCT($E$897:E$897,(1+$D$863)^(F$905-$E$905:E$905-1))</f>
        <v>0</v>
      </c>
      <c r="G920" s="40" t="n">
        <f aca="false">($D$859+$D$889*$D$858)*G906*SUMPRODUCT($E$897:F$897,(1+$D$863)^(G$905-$E$905:F$905-1))</f>
        <v>0</v>
      </c>
      <c r="H920" s="40" t="n">
        <f aca="false">($D$859+$D$889*$D$858)*H906*SUMPRODUCT($E$897:G$897,(1+$D$863)^(H$905-$E$905:G$905-1))</f>
        <v>1.8087890625</v>
      </c>
      <c r="I920" s="40" t="n">
        <f aca="false">($D$859+$D$889*$D$858)*I906*SUMPRODUCT($E$897:H$897,(1+$D$863)^(I$905-$E$905:H$905-1))</f>
        <v>6.0395466796875</v>
      </c>
      <c r="J920" s="40" t="n">
        <f aca="false">($D$859+$D$889*$D$858)*J906*SUMPRODUCT($E$897:I$897,(1+$D$863)^(J$905-$E$905:I$905-1))</f>
        <v>11.4713782189453</v>
      </c>
      <c r="K920" s="51" t="n">
        <f aca="false">SUM(F920:J920)</f>
        <v>19.3197139611328</v>
      </c>
      <c r="L920" s="49" t="s">
        <v>622</v>
      </c>
    </row>
    <row r="921" customFormat="false" ht="15" hidden="true" customHeight="false" outlineLevel="1" collapsed="false">
      <c r="A921" s="20" t="n">
        <v>64</v>
      </c>
      <c r="B921" s="6" t="s">
        <v>623</v>
      </c>
      <c r="C921" s="20" t="s">
        <v>71</v>
      </c>
      <c r="D921" s="23"/>
      <c r="E921" s="23"/>
      <c r="F921" s="40" t="n">
        <f aca="false">(F912*$D$860+F897*$D$861)*F906</f>
        <v>8</v>
      </c>
      <c r="G921" s="40" t="n">
        <f aca="false">(G912*$D$860+G897*$D$861)*G906</f>
        <v>2.1</v>
      </c>
      <c r="H921" s="40" t="n">
        <f aca="false">(H912*$D$860+H897*$D$861)*H906</f>
        <v>13.23</v>
      </c>
      <c r="I921" s="40" t="n">
        <f aca="false">(I912*$D$860+I897*$D$861)*I906</f>
        <v>4.6305</v>
      </c>
      <c r="J921" s="40" t="n">
        <f aca="false">(J912*$D$860+J897*$D$861)*J906</f>
        <v>17.0170875</v>
      </c>
      <c r="K921" s="51" t="n">
        <f aca="false">SUM(F921:J921)</f>
        <v>44.9775875</v>
      </c>
      <c r="L921" s="49" t="s">
        <v>624</v>
      </c>
    </row>
    <row r="922" customFormat="false" ht="15" hidden="true" customHeight="false" outlineLevel="1" collapsed="false">
      <c r="A922" s="20" t="n">
        <v>65</v>
      </c>
      <c r="B922" s="6" t="s">
        <v>625</v>
      </c>
      <c r="C922" s="20" t="s">
        <v>71</v>
      </c>
      <c r="D922" s="23"/>
      <c r="E922" s="23"/>
      <c r="F922" s="40" t="n">
        <f aca="false">F918+F919+F920</f>
        <v>0</v>
      </c>
      <c r="G922" s="40" t="n">
        <f aca="false">G918+G919+G920</f>
        <v>15.75</v>
      </c>
      <c r="H922" s="40" t="n">
        <f aca="false">H918+H919+H920</f>
        <v>21.3230390625</v>
      </c>
      <c r="I922" s="40" t="n">
        <f aca="false">I918+I919+I920</f>
        <v>40.0048956115057</v>
      </c>
      <c r="J922" s="40" t="n">
        <f aca="false">J918+J919+J920</f>
        <v>53.5544455454681</v>
      </c>
      <c r="K922" s="51" t="n">
        <f aca="false">SUM(F922:J922)</f>
        <v>130.632380219474</v>
      </c>
      <c r="L922" s="49"/>
    </row>
    <row r="923" customFormat="false" ht="15" hidden="true" customHeight="false" outlineLevel="1" collapsed="false">
      <c r="A923" s="20" t="n">
        <v>66</v>
      </c>
      <c r="B923" s="6" t="s">
        <v>91</v>
      </c>
      <c r="C923" s="20" t="s">
        <v>71</v>
      </c>
      <c r="D923" s="23"/>
      <c r="E923" s="23"/>
      <c r="F923" s="40" t="n">
        <f aca="false">F922+F921</f>
        <v>8</v>
      </c>
      <c r="G923" s="40" t="n">
        <f aca="false">G922+G921</f>
        <v>17.85</v>
      </c>
      <c r="H923" s="40" t="n">
        <f aca="false">H922+H921</f>
        <v>34.5530390625</v>
      </c>
      <c r="I923" s="40" t="n">
        <f aca="false">I922+I921</f>
        <v>44.6353956115057</v>
      </c>
      <c r="J923" s="40" t="n">
        <f aca="false">J922+J921</f>
        <v>70.571533045468</v>
      </c>
      <c r="K923" s="51" t="n">
        <f aca="false">SUM(F923:J923)</f>
        <v>175.609967719474</v>
      </c>
      <c r="L923" s="49" t="s">
        <v>626</v>
      </c>
    </row>
    <row r="924" customFormat="false" ht="15" hidden="true" customHeight="false" outlineLevel="1" collapsed="false">
      <c r="A924" s="20" t="n">
        <v>67</v>
      </c>
      <c r="B924" s="6" t="s">
        <v>627</v>
      </c>
      <c r="C924" s="20" t="s">
        <v>55</v>
      </c>
      <c r="D924" s="23"/>
      <c r="E924" s="23"/>
      <c r="F924" s="40" t="n">
        <f aca="false">IF(F$905&gt;=$D$855,($D$857+$D$856*$D$858)*(1+$D$863)^(F$905-$D$855)*F906,0)+($D$857+$D$888*$D$858)*F906*SUMPRODUCT($E$896:F$896,(1+$D$863)^(F$905-$E$905:F$905))+($D$859+$D$889*$D$858)*F906*SUMPRODUCT($E$897:F$897,(1+$D$863)^(F$905-$E$905:F$905))</f>
        <v>15</v>
      </c>
      <c r="G924" s="40" t="n">
        <f aca="false">IF(G$905&gt;=$D$855,($D$857+$D$856*$D$858)*(1+$D$863)^(G$905-$D$855)*G906,0)+($D$857+$D$888*$D$858)*G906*SUMPRODUCT($E$896:G$896,(1+$D$863)^(G$905-$E$905:G$905))+($D$859+$D$889*$D$858)*G906*SUMPRODUCT($E$897:G$897,(1+$D$863)^(G$905-$E$905:G$905))</f>
        <v>20.30765625</v>
      </c>
      <c r="H924" s="40" t="n">
        <f aca="false">IF(H$905&gt;=$D$855,($D$857+$D$856*$D$858)*(1+$D$863)^(H$905-$D$855)*H906,0)+($D$857+$D$888*$D$858)*H906*SUMPRODUCT($E$896:H$896,(1+$D$863)^(H$905-$E$905:H$905))+($D$859+$D$889*$D$858)*H906*SUMPRODUCT($E$897:H$897,(1+$D$863)^(H$905-$E$905:H$905))</f>
        <v>38.0999005823864</v>
      </c>
      <c r="I924" s="40" t="n">
        <f aca="false">IF(I$905&gt;=$D$855,($D$857+$D$856*$D$858)*(1+$D$863)^(I$905-$D$855)*I906,0)+($D$857+$D$888*$D$858)*I906*SUMPRODUCT($E$896:I$896,(1+$D$863)^(I$905-$E$905:I$905))+($D$859+$D$889*$D$858)*I906*SUMPRODUCT($E$897:I$897,(1+$D$863)^(I$905-$E$905:I$905))</f>
        <v>51.0042338528267</v>
      </c>
      <c r="J924" s="40" t="n">
        <f aca="false">IF(J$905&gt;=$D$855,($D$857+$D$856*$D$858)*(1+$D$863)^(J$905-$D$855)*J906,0)+($D$857+$D$888*$D$858)*J906*SUMPRODUCT($E$896:J$896,(1+$D$863)^(J$905-$E$905:J$905))+($D$859+$D$889*$D$858)*J906*SUMPRODUCT($E$897:J$897,(1+$D$863)^(J$905-$E$905:J$905))</f>
        <v>79.4533684087801</v>
      </c>
      <c r="K924" s="23"/>
      <c r="L924" s="49" t="s">
        <v>628</v>
      </c>
    </row>
    <row r="925" customFormat="false" ht="15" hidden="true" customHeight="false" outlineLevel="1" collapsed="false">
      <c r="A925" s="19" t="s">
        <v>629</v>
      </c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</row>
    <row r="926" customFormat="false" ht="15" hidden="true" customHeight="false" outlineLevel="1" collapsed="false">
      <c r="A926" s="20" t="n">
        <v>68</v>
      </c>
      <c r="B926" s="6" t="s">
        <v>630</v>
      </c>
      <c r="C926" s="20" t="s">
        <v>53</v>
      </c>
      <c r="D926" s="23"/>
      <c r="E926" s="40" t="n">
        <f aca="false">E898+E899+E900+E901+E902+E903</f>
        <v>2</v>
      </c>
      <c r="F926" s="40" t="n">
        <f aca="false">F898+F899+F900+F901+F902+F903</f>
        <v>4</v>
      </c>
      <c r="G926" s="40" t="n">
        <f aca="false">G898+G899+G900+G901+G902+G903</f>
        <v>5</v>
      </c>
      <c r="H926" s="40" t="n">
        <f aca="false">H898+H899+H900+H901+H902+H903</f>
        <v>6</v>
      </c>
      <c r="I926" s="40" t="n">
        <f aca="false">I898+I899+I900+I901+I902+I903</f>
        <v>7</v>
      </c>
      <c r="J926" s="40" t="n">
        <f aca="false">J898+J899+J900+J901+J902+J903</f>
        <v>8</v>
      </c>
      <c r="K926" s="23"/>
      <c r="L926" s="49" t="s">
        <v>631</v>
      </c>
    </row>
    <row r="927" customFormat="false" ht="15" hidden="true" customHeight="false" outlineLevel="1" collapsed="false">
      <c r="A927" s="20" t="n">
        <v>69</v>
      </c>
      <c r="B927" s="6" t="s">
        <v>632</v>
      </c>
      <c r="C927" s="20" t="s">
        <v>53</v>
      </c>
      <c r="D927" s="23"/>
      <c r="E927" s="23"/>
      <c r="F927" s="40" t="n">
        <f aca="false">MAX(0,F926-E926)</f>
        <v>2</v>
      </c>
      <c r="G927" s="40" t="n">
        <f aca="false">MAX(0,G926-F926)</f>
        <v>1</v>
      </c>
      <c r="H927" s="40" t="n">
        <f aca="false">MAX(0,H926-G926)</f>
        <v>1</v>
      </c>
      <c r="I927" s="40" t="n">
        <f aca="false">MAX(0,I926-H926)</f>
        <v>1</v>
      </c>
      <c r="J927" s="40" t="n">
        <f aca="false">MAX(0,J926-I926)</f>
        <v>1</v>
      </c>
      <c r="K927" s="23"/>
      <c r="L927" s="49" t="s">
        <v>633</v>
      </c>
    </row>
    <row r="928" customFormat="false" ht="15" hidden="true" customHeight="false" outlineLevel="1" collapsed="false">
      <c r="A928" s="20" t="n">
        <v>70</v>
      </c>
      <c r="B928" s="6" t="s">
        <v>634</v>
      </c>
      <c r="C928" s="20" t="s">
        <v>71</v>
      </c>
      <c r="D928" s="23"/>
      <c r="E928" s="23"/>
      <c r="F928" s="41" t="n">
        <f aca="false">$D$890*12/1000*F908</f>
        <v>2.4</v>
      </c>
      <c r="G928" s="41" t="n">
        <f aca="false">$D$890*12/1000*G908</f>
        <v>2.568</v>
      </c>
      <c r="H928" s="41" t="n">
        <f aca="false">$D$890*12/1000*H908</f>
        <v>2.74776</v>
      </c>
      <c r="I928" s="41" t="n">
        <f aca="false">$D$890*12/1000*I908</f>
        <v>2.9401032</v>
      </c>
      <c r="J928" s="41" t="n">
        <f aca="false">$D$890*12/1000*J908</f>
        <v>3.145910424</v>
      </c>
      <c r="K928" s="23"/>
      <c r="L928" s="49" t="s">
        <v>635</v>
      </c>
    </row>
    <row r="929" customFormat="false" ht="15" hidden="true" customHeight="false" outlineLevel="1" collapsed="false">
      <c r="A929" s="20" t="n">
        <v>71</v>
      </c>
      <c r="B929" s="6" t="s">
        <v>636</v>
      </c>
      <c r="C929" s="20" t="s">
        <v>71</v>
      </c>
      <c r="D929" s="23"/>
      <c r="E929" s="23"/>
      <c r="F929" s="41" t="n">
        <f aca="false">$D$891*12/1000*F908</f>
        <v>3.36</v>
      </c>
      <c r="G929" s="41" t="n">
        <f aca="false">$D$891*12/1000*G908</f>
        <v>3.5952</v>
      </c>
      <c r="H929" s="41" t="n">
        <f aca="false">$D$891*12/1000*H908</f>
        <v>3.846864</v>
      </c>
      <c r="I929" s="41" t="n">
        <f aca="false">$D$891*12/1000*I908</f>
        <v>4.11614448</v>
      </c>
      <c r="J929" s="41" t="n">
        <f aca="false">$D$891*12/1000*J908</f>
        <v>4.4042745936</v>
      </c>
      <c r="K929" s="23"/>
      <c r="L929" s="49" t="s">
        <v>635</v>
      </c>
    </row>
    <row r="930" customFormat="false" ht="15" hidden="true" customHeight="false" outlineLevel="1" collapsed="false">
      <c r="A930" s="20" t="n">
        <v>72</v>
      </c>
      <c r="B930" s="6" t="s">
        <v>637</v>
      </c>
      <c r="C930" s="20" t="s">
        <v>71</v>
      </c>
      <c r="D930" s="23"/>
      <c r="E930" s="23"/>
      <c r="F930" s="41" t="n">
        <f aca="false">$D$892*12/1000*F908</f>
        <v>2.76</v>
      </c>
      <c r="G930" s="41" t="n">
        <f aca="false">$D$892*12/1000*G908</f>
        <v>2.9532</v>
      </c>
      <c r="H930" s="41" t="n">
        <f aca="false">$D$892*12/1000*H908</f>
        <v>3.159924</v>
      </c>
      <c r="I930" s="41" t="n">
        <f aca="false">$D$892*12/1000*I908</f>
        <v>3.38111868</v>
      </c>
      <c r="J930" s="41" t="n">
        <f aca="false">$D$892*12/1000*J908</f>
        <v>3.6177969876</v>
      </c>
      <c r="K930" s="23"/>
      <c r="L930" s="49" t="s">
        <v>635</v>
      </c>
    </row>
    <row r="931" customFormat="false" ht="15" hidden="true" customHeight="false" outlineLevel="1" collapsed="false">
      <c r="A931" s="20" t="n">
        <v>73</v>
      </c>
      <c r="B931" s="6" t="s">
        <v>638</v>
      </c>
      <c r="C931" s="20" t="s">
        <v>71</v>
      </c>
      <c r="D931" s="23"/>
      <c r="E931" s="23"/>
      <c r="F931" s="41" t="n">
        <f aca="false">$D$893*12/1000*F908</f>
        <v>2.64</v>
      </c>
      <c r="G931" s="41" t="n">
        <f aca="false">$D$893*12/1000*G908</f>
        <v>2.8248</v>
      </c>
      <c r="H931" s="41" t="n">
        <f aca="false">$D$893*12/1000*H908</f>
        <v>3.022536</v>
      </c>
      <c r="I931" s="41" t="n">
        <f aca="false">$D$893*12/1000*I908</f>
        <v>3.23411352</v>
      </c>
      <c r="J931" s="41" t="n">
        <f aca="false">$D$893*12/1000*J908</f>
        <v>3.4605014664</v>
      </c>
      <c r="K931" s="23"/>
      <c r="L931" s="49" t="s">
        <v>635</v>
      </c>
    </row>
    <row r="932" customFormat="false" ht="15" hidden="true" customHeight="false" outlineLevel="1" collapsed="false">
      <c r="A932" s="20" t="n">
        <v>74</v>
      </c>
      <c r="B932" s="6" t="s">
        <v>639</v>
      </c>
      <c r="C932" s="20" t="s">
        <v>71</v>
      </c>
      <c r="D932" s="23"/>
      <c r="E932" s="23"/>
      <c r="F932" s="41" t="n">
        <f aca="false">$D$894*12/1000*F908</f>
        <v>3</v>
      </c>
      <c r="G932" s="41" t="n">
        <f aca="false">$D$894*12/1000*G908</f>
        <v>3.21</v>
      </c>
      <c r="H932" s="41" t="n">
        <f aca="false">$D$894*12/1000*H908</f>
        <v>3.4347</v>
      </c>
      <c r="I932" s="41" t="n">
        <f aca="false">$D$894*12/1000*I908</f>
        <v>3.675129</v>
      </c>
      <c r="J932" s="41" t="n">
        <f aca="false">$D$894*12/1000*J908</f>
        <v>3.93238803</v>
      </c>
      <c r="K932" s="23"/>
      <c r="L932" s="49" t="s">
        <v>635</v>
      </c>
    </row>
    <row r="933" customFormat="false" ht="15" hidden="true" customHeight="false" outlineLevel="1" collapsed="false">
      <c r="A933" s="20" t="n">
        <v>75</v>
      </c>
      <c r="B933" s="6" t="s">
        <v>640</v>
      </c>
      <c r="C933" s="20" t="s">
        <v>71</v>
      </c>
      <c r="D933" s="23"/>
      <c r="E933" s="23"/>
      <c r="F933" s="41" t="n">
        <f aca="false">$D$895*12/1000*F908</f>
        <v>2.64</v>
      </c>
      <c r="G933" s="41" t="n">
        <f aca="false">$D$895*12/1000*G908</f>
        <v>2.8248</v>
      </c>
      <c r="H933" s="41" t="n">
        <f aca="false">$D$895*12/1000*H908</f>
        <v>3.022536</v>
      </c>
      <c r="I933" s="41" t="n">
        <f aca="false">$D$895*12/1000*I908</f>
        <v>3.23411352</v>
      </c>
      <c r="J933" s="41" t="n">
        <f aca="false">$D$895*12/1000*J908</f>
        <v>3.4605014664</v>
      </c>
      <c r="K933" s="23"/>
      <c r="L933" s="49" t="s">
        <v>635</v>
      </c>
    </row>
    <row r="934" customFormat="false" ht="15" hidden="true" customHeight="false" outlineLevel="1" collapsed="false">
      <c r="A934" s="20" t="n">
        <v>76</v>
      </c>
      <c r="B934" s="6" t="s">
        <v>641</v>
      </c>
      <c r="C934" s="20" t="s">
        <v>71</v>
      </c>
      <c r="D934" s="23"/>
      <c r="E934" s="23"/>
      <c r="F934" s="40" t="n">
        <f aca="false">F898*F928</f>
        <v>4.8</v>
      </c>
      <c r="G934" s="40" t="n">
        <f aca="false">G898*G928</f>
        <v>5.136</v>
      </c>
      <c r="H934" s="40" t="n">
        <f aca="false">H898*H928</f>
        <v>5.49552</v>
      </c>
      <c r="I934" s="40" t="n">
        <f aca="false">I898*I928</f>
        <v>5.8802064</v>
      </c>
      <c r="J934" s="40" t="n">
        <f aca="false">J898*J928</f>
        <v>6.291820848</v>
      </c>
      <c r="K934" s="51" t="n">
        <f aca="false">SUM(F934:J934)</f>
        <v>27.603547248</v>
      </c>
      <c r="L934" s="49" t="s">
        <v>642</v>
      </c>
    </row>
    <row r="935" customFormat="false" ht="15" hidden="true" customHeight="false" outlineLevel="1" collapsed="false">
      <c r="A935" s="20" t="n">
        <v>77</v>
      </c>
      <c r="B935" s="6" t="s">
        <v>643</v>
      </c>
      <c r="C935" s="20" t="s">
        <v>71</v>
      </c>
      <c r="D935" s="23"/>
      <c r="E935" s="23"/>
      <c r="F935" s="40" t="n">
        <f aca="false">F899*F929</f>
        <v>3.36</v>
      </c>
      <c r="G935" s="40" t="n">
        <f aca="false">G899*G929</f>
        <v>3.5952</v>
      </c>
      <c r="H935" s="40" t="n">
        <f aca="false">H899*H929</f>
        <v>3.846864</v>
      </c>
      <c r="I935" s="40" t="n">
        <f aca="false">I899*I929</f>
        <v>8.23228896</v>
      </c>
      <c r="J935" s="40" t="n">
        <f aca="false">J899*J929</f>
        <v>8.8085491872</v>
      </c>
      <c r="K935" s="51" t="n">
        <f aca="false">SUM(F935:J935)</f>
        <v>27.8429021472</v>
      </c>
      <c r="L935" s="49" t="s">
        <v>642</v>
      </c>
    </row>
    <row r="936" customFormat="false" ht="15" hidden="true" customHeight="false" outlineLevel="1" collapsed="false">
      <c r="A936" s="20" t="n">
        <v>78</v>
      </c>
      <c r="B936" s="6" t="s">
        <v>644</v>
      </c>
      <c r="C936" s="20" t="s">
        <v>71</v>
      </c>
      <c r="D936" s="23"/>
      <c r="E936" s="23"/>
      <c r="F936" s="40" t="n">
        <f aca="false">F900*F930</f>
        <v>2.76</v>
      </c>
      <c r="G936" s="40" t="n">
        <f aca="false">G900*G930</f>
        <v>2.9532</v>
      </c>
      <c r="H936" s="40" t="n">
        <f aca="false">H900*H930</f>
        <v>3.159924</v>
      </c>
      <c r="I936" s="40" t="n">
        <f aca="false">I900*I930</f>
        <v>3.38111868</v>
      </c>
      <c r="J936" s="40" t="n">
        <f aca="false">J900*J930</f>
        <v>3.6177969876</v>
      </c>
      <c r="K936" s="51" t="n">
        <f aca="false">SUM(F936:J936)</f>
        <v>15.8720396676</v>
      </c>
      <c r="L936" s="49" t="s">
        <v>642</v>
      </c>
    </row>
    <row r="937" customFormat="false" ht="15" hidden="true" customHeight="false" outlineLevel="1" collapsed="false">
      <c r="A937" s="20" t="n">
        <v>79</v>
      </c>
      <c r="B937" s="6" t="s">
        <v>645</v>
      </c>
      <c r="C937" s="20" t="s">
        <v>71</v>
      </c>
      <c r="D937" s="23"/>
      <c r="E937" s="23"/>
      <c r="F937" s="40" t="n">
        <f aca="false">F901*F931</f>
        <v>0</v>
      </c>
      <c r="G937" s="40" t="n">
        <f aca="false">G901*G931</f>
        <v>2.8248</v>
      </c>
      <c r="H937" s="40" t="n">
        <f aca="false">H901*H931</f>
        <v>3.022536</v>
      </c>
      <c r="I937" s="40" t="n">
        <f aca="false">I901*I931</f>
        <v>3.23411352</v>
      </c>
      <c r="J937" s="40" t="n">
        <f aca="false">J901*J931</f>
        <v>3.4605014664</v>
      </c>
      <c r="K937" s="51" t="n">
        <f aca="false">SUM(F937:J937)</f>
        <v>12.5419509864</v>
      </c>
      <c r="L937" s="49" t="s">
        <v>642</v>
      </c>
    </row>
    <row r="938" customFormat="false" ht="15" hidden="true" customHeight="false" outlineLevel="1" collapsed="false">
      <c r="A938" s="20" t="n">
        <v>80</v>
      </c>
      <c r="B938" s="6" t="s">
        <v>646</v>
      </c>
      <c r="C938" s="20" t="s">
        <v>71</v>
      </c>
      <c r="D938" s="23"/>
      <c r="E938" s="23"/>
      <c r="F938" s="40" t="n">
        <f aca="false">F902*F932</f>
        <v>0</v>
      </c>
      <c r="G938" s="40" t="n">
        <f aca="false">G902*G932</f>
        <v>0</v>
      </c>
      <c r="H938" s="40" t="n">
        <f aca="false">H902*H932</f>
        <v>3.4347</v>
      </c>
      <c r="I938" s="40" t="n">
        <f aca="false">I902*I932</f>
        <v>3.675129</v>
      </c>
      <c r="J938" s="40" t="n">
        <f aca="false">J902*J932</f>
        <v>3.93238803</v>
      </c>
      <c r="K938" s="51" t="n">
        <f aca="false">SUM(F938:J938)</f>
        <v>11.04221703</v>
      </c>
      <c r="L938" s="49" t="s">
        <v>642</v>
      </c>
    </row>
    <row r="939" customFormat="false" ht="15" hidden="true" customHeight="false" outlineLevel="1" collapsed="false">
      <c r="A939" s="20" t="n">
        <v>81</v>
      </c>
      <c r="B939" s="6" t="s">
        <v>647</v>
      </c>
      <c r="C939" s="20" t="s">
        <v>71</v>
      </c>
      <c r="D939" s="23"/>
      <c r="E939" s="23"/>
      <c r="F939" s="40" t="n">
        <f aca="false">F903*F933</f>
        <v>0</v>
      </c>
      <c r="G939" s="40" t="n">
        <f aca="false">G903*G933</f>
        <v>0</v>
      </c>
      <c r="H939" s="40" t="n">
        <f aca="false">H903*H933</f>
        <v>0</v>
      </c>
      <c r="I939" s="40" t="n">
        <f aca="false">I903*I933</f>
        <v>0</v>
      </c>
      <c r="J939" s="40" t="n">
        <f aca="false">J903*J933</f>
        <v>3.4605014664</v>
      </c>
      <c r="K939" s="51" t="n">
        <f aca="false">SUM(F939:J939)</f>
        <v>3.4605014664</v>
      </c>
      <c r="L939" s="49" t="s">
        <v>642</v>
      </c>
    </row>
    <row r="940" customFormat="false" ht="15" hidden="true" customHeight="false" outlineLevel="1" collapsed="false">
      <c r="A940" s="20" t="n">
        <v>82</v>
      </c>
      <c r="B940" s="6" t="s">
        <v>648</v>
      </c>
      <c r="C940" s="20" t="s">
        <v>71</v>
      </c>
      <c r="D940" s="23"/>
      <c r="E940" s="23"/>
      <c r="F940" s="40" t="n">
        <f aca="false">F934+F935+F936+F937+F938+F939</f>
        <v>10.92</v>
      </c>
      <c r="G940" s="40" t="n">
        <f aca="false">G934+G935+G936+G937+G938+G939</f>
        <v>14.5092</v>
      </c>
      <c r="H940" s="40" t="n">
        <f aca="false">H934+H935+H936+H937+H938+H939</f>
        <v>18.959544</v>
      </c>
      <c r="I940" s="40" t="n">
        <f aca="false">I934+I935+I936+I937+I938+I939</f>
        <v>24.40285656</v>
      </c>
      <c r="J940" s="40" t="n">
        <f aca="false">J934+J935+J936+J937+J938+J939</f>
        <v>29.5715579856</v>
      </c>
      <c r="K940" s="51" t="n">
        <f aca="false">SUM(F940:J940)</f>
        <v>98.3631585456</v>
      </c>
      <c r="L940" s="49"/>
    </row>
    <row r="941" customFormat="false" ht="15" hidden="true" customHeight="false" outlineLevel="1" collapsed="false">
      <c r="A941" s="20" t="n">
        <v>83</v>
      </c>
      <c r="B941" s="6" t="s">
        <v>649</v>
      </c>
      <c r="C941" s="20" t="s">
        <v>71</v>
      </c>
      <c r="D941" s="23"/>
      <c r="E941" s="23"/>
      <c r="F941" s="40" t="n">
        <f aca="false">F898*(MIN(F928,F909)*$D$865+MAX(0,F928-F909)*$D$866+F928*$D$867)+F899*(MIN(F929,F909)*$D$865+MAX(0,F929-F909)*$D$866+F929*$D$867)+F900*(MIN(F930,F909)*$D$865+MAX(0,F930-F909)*$D$866+F930*$D$867)+F901*(MIN(F931,F909)*$D$865+MAX(0,F931-F909)*$D$866+F931*$D$867)+F902*(MIN(F932,F909)*$D$865+MAX(0,F932-F909)*$D$866+F932*$D$867)+F903*(MIN(F933,F909)*$D$865+MAX(0,F933-F909)*$D$866+F933*$D$867)</f>
        <v>1.64928168</v>
      </c>
      <c r="G941" s="40" t="n">
        <f aca="false">G898*(MIN(G928,G909)*$D$865+MAX(0,G928-G909)*$D$866+G928*$D$867)+G899*(MIN(G929,G909)*$D$865+MAX(0,G929-G909)*$D$866+G929*$D$867)+G900*(MIN(G930,G909)*$D$865+MAX(0,G930-G909)*$D$866+G930*$D$867)+G901*(MIN(G931,G909)*$D$865+MAX(0,G931-G909)*$D$866+G931*$D$867)+G902*(MIN(G932,G909)*$D$865+MAX(0,G932-G909)*$D$866+G932*$D$867)+G903*(MIN(G933,G909)*$D$865+MAX(0,G933-G909)*$D$866+G933*$D$867)</f>
        <v>2.1964818144</v>
      </c>
      <c r="H941" s="40" t="n">
        <f aca="false">H898*(MIN(H928,H909)*$D$865+MAX(0,H928-H909)*$D$866+H928*$D$867)+H899*(MIN(H929,H909)*$D$865+MAX(0,H929-H909)*$D$866+H929*$D$867)+H900*(MIN(H930,H909)*$D$865+MAX(0,H930-H909)*$D$866+H930*$D$867)+H901*(MIN(H931,H909)*$D$865+MAX(0,H931-H909)*$D$866+H931*$D$867)+H902*(MIN(H932,H909)*$D$865+MAX(0,H932-H909)*$D$866+H932*$D$867)+H903*(MIN(H933,H909)*$D$865+MAX(0,H933-H909)*$D$866+H933*$D$867)</f>
        <v>2.874881223552</v>
      </c>
      <c r="I941" s="40" t="n">
        <f aca="false">I898*(MIN(I928,I909)*$D$865+MAX(0,I928-I909)*$D$866+I928*$D$867)+I899*(MIN(I929,I909)*$D$865+MAX(0,I929-I909)*$D$866+I929*$D$867)+I900*(MIN(I930,I909)*$D$865+MAX(0,I930-I909)*$D$866+I930*$D$867)+I901*(MIN(I931,I909)*$D$865+MAX(0,I931-I909)*$D$866+I931*$D$867)+I902*(MIN(I932,I909)*$D$865+MAX(0,I932-I909)*$D$866+I932*$D$867)+I903*(MIN(I933,I909)*$D$865+MAX(0,I933-I909)*$D$866+I933*$D$867)</f>
        <v>3.69987351263232</v>
      </c>
      <c r="J941" s="40" t="n">
        <f aca="false">J898*(MIN(J928,J909)*$D$865+MAX(0,J928-J909)*$D$866+J928*$D$867)+J899*(MIN(J929,J909)*$D$865+MAX(0,J929-J909)*$D$866+J929*$D$867)+J900*(MIN(J930,J909)*$D$865+MAX(0,J930-J909)*$D$866+J930*$D$867)+J901*(MIN(J931,J909)*$D$865+MAX(0,J931-J909)*$D$866+J931*$D$867)+J902*(MIN(J932,J909)*$D$865+MAX(0,J932-J909)*$D$866+J932*$D$867)+J903*(MIN(J933,J909)*$D$865+MAX(0,J933-J909)*$D$866+J933*$D$867)</f>
        <v>4.49085916839491</v>
      </c>
      <c r="K941" s="51" t="n">
        <f aca="false">SUM(F941:J941)</f>
        <v>14.9113773989792</v>
      </c>
      <c r="L941" s="49" t="s">
        <v>650</v>
      </c>
    </row>
    <row r="942" customFormat="false" ht="15" hidden="true" customHeight="false" outlineLevel="1" collapsed="false">
      <c r="A942" s="20" t="n">
        <v>84</v>
      </c>
      <c r="B942" s="6" t="s">
        <v>651</v>
      </c>
      <c r="C942" s="20"/>
      <c r="D942" s="23"/>
      <c r="E942" s="23"/>
      <c r="F942" s="38" t="n">
        <f aca="false">IF(AND(F915&gt;0,E915=0),1,0)</f>
        <v>1</v>
      </c>
      <c r="G942" s="38" t="n">
        <f aca="false">IF(AND(G915&gt;0,F915=0),1,0)</f>
        <v>0</v>
      </c>
      <c r="H942" s="38" t="n">
        <f aca="false">IF(AND(H915&gt;0,G915=0),1,0)</f>
        <v>0</v>
      </c>
      <c r="I942" s="38" t="n">
        <f aca="false">IF(AND(I915&gt;0,H915=0),1,0)</f>
        <v>0</v>
      </c>
      <c r="J942" s="38" t="n">
        <f aca="false">IF(AND(J915&gt;0,I915=0),1,0)</f>
        <v>0</v>
      </c>
      <c r="K942" s="23"/>
      <c r="L942" s="49"/>
    </row>
    <row r="943" customFormat="false" ht="15" hidden="true" customHeight="false" outlineLevel="1" collapsed="false">
      <c r="A943" s="20" t="n">
        <v>85</v>
      </c>
      <c r="B943" s="6" t="s">
        <v>652</v>
      </c>
      <c r="C943" s="20" t="s">
        <v>71</v>
      </c>
      <c r="D943" s="23"/>
      <c r="E943" s="23"/>
      <c r="F943" s="40" t="n">
        <f aca="false">(F942*$D$870+IF(E915&gt;0,1,0)*$D$871)*F907</f>
        <v>2.5</v>
      </c>
      <c r="G943" s="40" t="n">
        <f aca="false">(G942*$D$870+IF(F915&gt;0,1,0)*$D$871)*G907</f>
        <v>1.05</v>
      </c>
      <c r="H943" s="40" t="n">
        <f aca="false">(H942*$D$870+IF(G915&gt;0,1,0)*$D$871)*H907</f>
        <v>1.1025</v>
      </c>
      <c r="I943" s="40" t="n">
        <f aca="false">(I942*$D$870+IF(H915&gt;0,1,0)*$D$871)*I907</f>
        <v>1.157625</v>
      </c>
      <c r="J943" s="40" t="n">
        <f aca="false">(J942*$D$870+IF(I915&gt;0,1,0)*$D$871)*J907</f>
        <v>1.21550625</v>
      </c>
      <c r="K943" s="51" t="n">
        <f aca="false">SUM(F943:J943)</f>
        <v>7.02563125</v>
      </c>
      <c r="L943" s="49" t="s">
        <v>653</v>
      </c>
    </row>
    <row r="944" customFormat="false" ht="15" hidden="true" customHeight="false" outlineLevel="1" collapsed="false">
      <c r="A944" s="20" t="n">
        <v>86</v>
      </c>
      <c r="B944" s="6" t="s">
        <v>302</v>
      </c>
      <c r="C944" s="20" t="s">
        <v>71</v>
      </c>
      <c r="D944" s="23"/>
      <c r="E944" s="23"/>
      <c r="F944" s="40" t="n">
        <f aca="false">$D$872*F907</f>
        <v>0.6</v>
      </c>
      <c r="G944" s="40" t="n">
        <f aca="false">$D$872*G907</f>
        <v>0.63</v>
      </c>
      <c r="H944" s="40" t="n">
        <f aca="false">$D$872*H907</f>
        <v>0.6615</v>
      </c>
      <c r="I944" s="40" t="n">
        <f aca="false">$D$872*I907</f>
        <v>0.694575</v>
      </c>
      <c r="J944" s="40" t="n">
        <f aca="false">$D$872*J907</f>
        <v>0.72930375</v>
      </c>
      <c r="K944" s="51" t="n">
        <f aca="false">SUM(F944:J944)</f>
        <v>3.31537875</v>
      </c>
      <c r="L944" s="49"/>
    </row>
    <row r="945" customFormat="false" ht="15" hidden="true" customHeight="false" outlineLevel="1" collapsed="false">
      <c r="A945" s="20" t="n">
        <v>87</v>
      </c>
      <c r="B945" s="6" t="s">
        <v>654</v>
      </c>
      <c r="C945" s="20" t="s">
        <v>71</v>
      </c>
      <c r="D945" s="23"/>
      <c r="E945" s="23"/>
      <c r="F945" s="40" t="n">
        <f aca="false">$D$873*F926*F907</f>
        <v>0.6</v>
      </c>
      <c r="G945" s="40" t="n">
        <f aca="false">$D$873*G926*G907</f>
        <v>0.7875</v>
      </c>
      <c r="H945" s="40" t="n">
        <f aca="false">$D$873*H926*H907</f>
        <v>0.99225</v>
      </c>
      <c r="I945" s="40" t="n">
        <f aca="false">$D$873*I926*I907</f>
        <v>1.21550625</v>
      </c>
      <c r="J945" s="40" t="n">
        <f aca="false">$D$873*J926*J907</f>
        <v>1.4586075</v>
      </c>
      <c r="K945" s="51" t="n">
        <f aca="false">SUM(F945:J945)</f>
        <v>5.05386375</v>
      </c>
      <c r="L945" s="49" t="s">
        <v>655</v>
      </c>
    </row>
    <row r="946" customFormat="false" ht="15" hidden="true" customHeight="false" outlineLevel="1" collapsed="false">
      <c r="A946" s="20" t="n">
        <v>88</v>
      </c>
      <c r="B946" s="6" t="s">
        <v>656</v>
      </c>
      <c r="C946" s="20" t="s">
        <v>71</v>
      </c>
      <c r="D946" s="23"/>
      <c r="E946" s="23"/>
      <c r="F946" s="40" t="n">
        <f aca="false">($D$874+$D$875*F916)*F907</f>
        <v>1.4</v>
      </c>
      <c r="G946" s="40" t="n">
        <f aca="false">($D$874+$D$875*G916)*G907</f>
        <v>1.47</v>
      </c>
      <c r="H946" s="40" t="n">
        <f aca="false">($D$874+$D$875*H916)*H907</f>
        <v>2.4255</v>
      </c>
      <c r="I946" s="40" t="n">
        <f aca="false">($D$874+$D$875*I916)*I907</f>
        <v>2.083725</v>
      </c>
      <c r="J946" s="40" t="n">
        <f aca="false">($D$874+$D$875*J916)*J907</f>
        <v>3.16031625</v>
      </c>
      <c r="K946" s="51" t="n">
        <f aca="false">SUM(F946:J946)</f>
        <v>10.53954125</v>
      </c>
      <c r="L946" s="49" t="s">
        <v>657</v>
      </c>
    </row>
    <row r="947" customFormat="false" ht="15" hidden="true" customHeight="false" outlineLevel="1" collapsed="false">
      <c r="A947" s="20" t="n">
        <v>89</v>
      </c>
      <c r="B947" s="6" t="s">
        <v>658</v>
      </c>
      <c r="C947" s="20" t="s">
        <v>71</v>
      </c>
      <c r="D947" s="23"/>
      <c r="E947" s="23"/>
      <c r="F947" s="40" t="n">
        <f aca="false">($D$876+$D$877*F926)*F907</f>
        <v>1.6</v>
      </c>
      <c r="G947" s="40" t="n">
        <f aca="false">($D$876+$D$877*G926)*G907</f>
        <v>1.785</v>
      </c>
      <c r="H947" s="40" t="n">
        <f aca="false">($D$876+$D$877*H926)*H907</f>
        <v>1.9845</v>
      </c>
      <c r="I947" s="40" t="n">
        <f aca="false">($D$876+$D$877*I926)*I907</f>
        <v>2.1994875</v>
      </c>
      <c r="J947" s="40" t="n">
        <f aca="false">($D$876+$D$877*J926)*J907</f>
        <v>2.4310125</v>
      </c>
      <c r="K947" s="51" t="n">
        <f aca="false">SUM(F947:J947)</f>
        <v>10</v>
      </c>
      <c r="L947" s="49" t="s">
        <v>659</v>
      </c>
    </row>
    <row r="948" customFormat="false" ht="15" hidden="true" customHeight="false" outlineLevel="1" collapsed="false">
      <c r="A948" s="20" t="n">
        <v>90</v>
      </c>
      <c r="B948" s="6" t="s">
        <v>660</v>
      </c>
      <c r="C948" s="20" t="s">
        <v>71</v>
      </c>
      <c r="D948" s="23"/>
      <c r="E948" s="23"/>
      <c r="F948" s="40" t="n">
        <f aca="false">$D$878*F927*F907</f>
        <v>0.5</v>
      </c>
      <c r="G948" s="40" t="n">
        <f aca="false">$D$878*G927*G907</f>
        <v>0.2625</v>
      </c>
      <c r="H948" s="40" t="n">
        <f aca="false">$D$878*H927*H907</f>
        <v>0.275625</v>
      </c>
      <c r="I948" s="40" t="n">
        <f aca="false">$D$878*I927*I907</f>
        <v>0.28940625</v>
      </c>
      <c r="J948" s="40" t="n">
        <f aca="false">$D$878*J927*J907</f>
        <v>0.3038765625</v>
      </c>
      <c r="K948" s="51" t="n">
        <f aca="false">SUM(F948:J948)</f>
        <v>1.6314078125</v>
      </c>
      <c r="L948" s="49" t="s">
        <v>661</v>
      </c>
    </row>
    <row r="949" customFormat="false" ht="15" hidden="true" customHeight="false" outlineLevel="1" collapsed="false">
      <c r="A949" s="20" t="n">
        <v>91</v>
      </c>
      <c r="B949" s="6" t="s">
        <v>570</v>
      </c>
      <c r="C949" s="20" t="s">
        <v>71</v>
      </c>
      <c r="D949" s="23"/>
      <c r="E949" s="23"/>
      <c r="F949" s="40" t="n">
        <f aca="false">IF(F$905=$F$905,$D$879,0)</f>
        <v>0.3</v>
      </c>
      <c r="G949" s="40" t="n">
        <f aca="false">IF(G$905=$F$905,$D$879,0)</f>
        <v>0</v>
      </c>
      <c r="H949" s="40" t="n">
        <f aca="false">IF(H$905=$F$905,$D$879,0)</f>
        <v>0</v>
      </c>
      <c r="I949" s="40" t="n">
        <f aca="false">IF(I$905=$F$905,$D$879,0)</f>
        <v>0</v>
      </c>
      <c r="J949" s="40" t="n">
        <f aca="false">IF(J$905=$F$905,$D$879,0)</f>
        <v>0</v>
      </c>
      <c r="K949" s="51" t="n">
        <f aca="false">SUM(F949:J949)</f>
        <v>0.3</v>
      </c>
      <c r="L949" s="49" t="s">
        <v>662</v>
      </c>
    </row>
    <row r="950" customFormat="false" ht="15" hidden="true" customHeight="false" outlineLevel="1" collapsed="false">
      <c r="A950" s="20" t="n">
        <v>92</v>
      </c>
      <c r="B950" s="6" t="s">
        <v>663</v>
      </c>
      <c r="C950" s="20" t="s">
        <v>71</v>
      </c>
      <c r="D950" s="23"/>
      <c r="E950" s="23"/>
      <c r="F950" s="40" t="n">
        <f aca="false">F940+F941+F943+F944+F945+F946+F947+F948+F949</f>
        <v>20.06928168</v>
      </c>
      <c r="G950" s="40" t="n">
        <f aca="false">G940+G941+G943+G944+G945+G946+G947+G948+G949</f>
        <v>22.6906818144</v>
      </c>
      <c r="H950" s="40" t="n">
        <f aca="false">H940+H941+H943+H944+H945+H946+H947+H948+H949</f>
        <v>29.276300223552</v>
      </c>
      <c r="I950" s="40" t="n">
        <f aca="false">I940+I941+I943+I944+I945+I946+I947+I948+I949</f>
        <v>35.7430550726323</v>
      </c>
      <c r="J950" s="40" t="n">
        <f aca="false">J940+J941+J943+J944+J945+J946+J947+J948+J949</f>
        <v>43.3610399664949</v>
      </c>
      <c r="K950" s="51" t="n">
        <f aca="false">SUM(F950:J950)</f>
        <v>151.140358757079</v>
      </c>
      <c r="L950" s="49"/>
    </row>
    <row r="951" customFormat="false" ht="15" hidden="true" customHeight="false" outlineLevel="1" collapsed="false">
      <c r="A951" s="20" t="n">
        <v>93</v>
      </c>
      <c r="B951" s="6" t="s">
        <v>329</v>
      </c>
      <c r="C951" s="20" t="s">
        <v>71</v>
      </c>
      <c r="D951" s="23"/>
      <c r="E951" s="23"/>
      <c r="F951" s="40" t="n">
        <f aca="false">F950*$D$881</f>
        <v>2.006928168</v>
      </c>
      <c r="G951" s="40" t="n">
        <f aca="false">G950*$D$881</f>
        <v>2.26906818144</v>
      </c>
      <c r="H951" s="40" t="n">
        <f aca="false">H950*$D$881</f>
        <v>2.9276300223552</v>
      </c>
      <c r="I951" s="40" t="n">
        <f aca="false">I950*$D$881</f>
        <v>3.57430550726323</v>
      </c>
      <c r="J951" s="40" t="n">
        <f aca="false">J950*$D$881</f>
        <v>4.33610399664949</v>
      </c>
      <c r="K951" s="51" t="n">
        <f aca="false">SUM(F951:J951)</f>
        <v>15.1140358757079</v>
      </c>
      <c r="L951" s="49"/>
    </row>
    <row r="952" customFormat="false" ht="15" hidden="true" customHeight="false" outlineLevel="1" collapsed="false">
      <c r="A952" s="20" t="n">
        <v>94</v>
      </c>
      <c r="B952" s="6" t="s">
        <v>664</v>
      </c>
      <c r="C952" s="20" t="s">
        <v>71</v>
      </c>
      <c r="D952" s="23"/>
      <c r="E952" s="23"/>
      <c r="F952" s="40" t="n">
        <f aca="false">F950+F951</f>
        <v>22.076209848</v>
      </c>
      <c r="G952" s="40" t="n">
        <f aca="false">G950+G951</f>
        <v>24.95974999584</v>
      </c>
      <c r="H952" s="40" t="n">
        <f aca="false">H950+H951</f>
        <v>32.2039302459072</v>
      </c>
      <c r="I952" s="40" t="n">
        <f aca="false">I950+I951</f>
        <v>39.3173605798956</v>
      </c>
      <c r="J952" s="40" t="n">
        <f aca="false">J950+J951</f>
        <v>47.6971439631444</v>
      </c>
      <c r="K952" s="51" t="n">
        <f aca="false">SUM(F952:J952)</f>
        <v>166.254394632787</v>
      </c>
      <c r="L952" s="49"/>
    </row>
    <row r="953" customFormat="false" ht="15" hidden="true" customHeight="false" outlineLevel="1" collapsed="false">
      <c r="A953" s="19" t="s">
        <v>665</v>
      </c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</row>
    <row r="954" customFormat="false" ht="15" hidden="true" customHeight="false" outlineLevel="1" collapsed="false">
      <c r="A954" s="20" t="n">
        <v>95</v>
      </c>
      <c r="B954" s="6" t="s">
        <v>666</v>
      </c>
      <c r="C954" s="20" t="s">
        <v>71</v>
      </c>
      <c r="D954" s="23"/>
      <c r="E954" s="23"/>
      <c r="F954" s="40" t="n">
        <f aca="false">F923-F952</f>
        <v>-14.076209848</v>
      </c>
      <c r="G954" s="40" t="n">
        <f aca="false">G923-G952</f>
        <v>-7.10974999584</v>
      </c>
      <c r="H954" s="40" t="n">
        <f aca="false">H923-H952</f>
        <v>2.3491088165928</v>
      </c>
      <c r="I954" s="40" t="n">
        <f aca="false">I923-I952</f>
        <v>5.31803503161013</v>
      </c>
      <c r="J954" s="40" t="n">
        <f aca="false">J923-J952</f>
        <v>22.8743890823236</v>
      </c>
      <c r="K954" s="51" t="n">
        <f aca="false">SUM(F954:J954)</f>
        <v>9.35557308668658</v>
      </c>
      <c r="L954" s="49" t="s">
        <v>667</v>
      </c>
    </row>
    <row r="955" customFormat="false" ht="15" hidden="true" customHeight="false" outlineLevel="1" collapsed="false">
      <c r="A955" s="20" t="n">
        <v>96</v>
      </c>
      <c r="B955" s="6" t="s">
        <v>668</v>
      </c>
      <c r="C955" s="20" t="s">
        <v>68</v>
      </c>
      <c r="D955" s="23"/>
      <c r="E955" s="23"/>
      <c r="F955" s="44" t="n">
        <f aca="false">IF(F923&gt;0,F954/F923,0)</f>
        <v>-1.759526231</v>
      </c>
      <c r="G955" s="44" t="n">
        <f aca="false">IF(G923&gt;0,G954/G923,0)</f>
        <v>-0.398305321895798</v>
      </c>
      <c r="H955" s="44" t="n">
        <f aca="false">IF(H923&gt;0,H954/H923,0)</f>
        <v>0.0679855920153276</v>
      </c>
      <c r="I955" s="44" t="n">
        <f aca="false">IF(I923&gt;0,I954/I923,0)</f>
        <v>0.119143898216941</v>
      </c>
      <c r="J955" s="44" t="n">
        <f aca="false">IF(J923&gt;0,J954/J923,0)</f>
        <v>0.324130539541858</v>
      </c>
      <c r="K955" s="23"/>
      <c r="L955" s="49"/>
    </row>
    <row r="956" customFormat="false" ht="15" hidden="true" customHeight="false" outlineLevel="1" collapsed="false">
      <c r="A956" s="20" t="n">
        <v>97</v>
      </c>
      <c r="B956" s="6" t="s">
        <v>669</v>
      </c>
      <c r="C956" s="20" t="s">
        <v>71</v>
      </c>
      <c r="D956" s="23"/>
      <c r="E956" s="23"/>
      <c r="F956" s="40" t="n">
        <f aca="false">E960</f>
        <v>0</v>
      </c>
      <c r="G956" s="40" t="n">
        <f aca="false">F960</f>
        <v>14.076209848</v>
      </c>
      <c r="H956" s="40" t="n">
        <f aca="false">G960</f>
        <v>21.18595984384</v>
      </c>
      <c r="I956" s="40" t="n">
        <f aca="false">H960</f>
        <v>20.0114054355436</v>
      </c>
      <c r="J956" s="40" t="n">
        <f aca="false">I960</f>
        <v>17.3523879197385</v>
      </c>
      <c r="K956" s="23"/>
      <c r="L956" s="49"/>
    </row>
    <row r="957" customFormat="false" ht="15" hidden="true" customHeight="false" outlineLevel="1" collapsed="false">
      <c r="A957" s="20" t="n">
        <v>98</v>
      </c>
      <c r="B957" s="6" t="s">
        <v>670</v>
      </c>
      <c r="C957" s="20" t="s">
        <v>71</v>
      </c>
      <c r="D957" s="23"/>
      <c r="E957" s="23"/>
      <c r="F957" s="40" t="n">
        <f aca="false">MIN(F956,MAX(0,F954)*$D$883)</f>
        <v>0</v>
      </c>
      <c r="G957" s="40" t="n">
        <f aca="false">MIN(G956,MAX(0,G954)*$D$883)</f>
        <v>0</v>
      </c>
      <c r="H957" s="40" t="n">
        <f aca="false">MIN(H956,MAX(0,H954)*$D$883)</f>
        <v>1.1745544082964</v>
      </c>
      <c r="I957" s="40" t="n">
        <f aca="false">MIN(I956,MAX(0,I954)*$D$883)</f>
        <v>2.65901751580507</v>
      </c>
      <c r="J957" s="40" t="n">
        <f aca="false">MIN(J956,MAX(0,J954)*$D$883)</f>
        <v>11.4371945411618</v>
      </c>
      <c r="K957" s="23"/>
      <c r="L957" s="49" t="s">
        <v>671</v>
      </c>
    </row>
    <row r="958" customFormat="false" ht="15" hidden="true" customHeight="false" outlineLevel="1" collapsed="false">
      <c r="A958" s="20" t="n">
        <v>99</v>
      </c>
      <c r="B958" s="6" t="s">
        <v>672</v>
      </c>
      <c r="C958" s="20" t="s">
        <v>71</v>
      </c>
      <c r="D958" s="23"/>
      <c r="E958" s="23"/>
      <c r="F958" s="40" t="n">
        <f aca="false">MAX(0,F954)-F957</f>
        <v>0</v>
      </c>
      <c r="G958" s="40" t="n">
        <f aca="false">MAX(0,G954)-G957</f>
        <v>0</v>
      </c>
      <c r="H958" s="40" t="n">
        <f aca="false">MAX(0,H954)-H957</f>
        <v>1.1745544082964</v>
      </c>
      <c r="I958" s="40" t="n">
        <f aca="false">MAX(0,I954)-I957</f>
        <v>2.65901751580507</v>
      </c>
      <c r="J958" s="40" t="n">
        <f aca="false">MAX(0,J954)-J957</f>
        <v>11.4371945411618</v>
      </c>
      <c r="K958" s="23"/>
      <c r="L958" s="49"/>
    </row>
    <row r="959" customFormat="false" ht="15" hidden="true" customHeight="false" outlineLevel="1" collapsed="false">
      <c r="A959" s="20" t="n">
        <v>100</v>
      </c>
      <c r="B959" s="6" t="s">
        <v>572</v>
      </c>
      <c r="C959" s="20" t="s">
        <v>71</v>
      </c>
      <c r="D959" s="23"/>
      <c r="E959" s="23"/>
      <c r="F959" s="40" t="n">
        <f aca="false">F958*$D$882</f>
        <v>0</v>
      </c>
      <c r="G959" s="40" t="n">
        <f aca="false">G958*$D$882</f>
        <v>0</v>
      </c>
      <c r="H959" s="40" t="n">
        <f aca="false">H958*$D$882</f>
        <v>0.0587277204148201</v>
      </c>
      <c r="I959" s="40" t="n">
        <f aca="false">I958*$D$882</f>
        <v>0.132950875790253</v>
      </c>
      <c r="J959" s="40" t="n">
        <f aca="false">J958*$D$882</f>
        <v>0.571859727058091</v>
      </c>
      <c r="K959" s="51" t="n">
        <f aca="false">SUM(F959:J959)</f>
        <v>0.763538323263164</v>
      </c>
      <c r="L959" s="49"/>
    </row>
    <row r="960" customFormat="false" ht="15" hidden="true" customHeight="false" outlineLevel="1" collapsed="false">
      <c r="A960" s="20" t="n">
        <v>101</v>
      </c>
      <c r="B960" s="6" t="s">
        <v>673</v>
      </c>
      <c r="C960" s="20" t="s">
        <v>71</v>
      </c>
      <c r="D960" s="23"/>
      <c r="E960" s="40" t="n">
        <f aca="false">0</f>
        <v>0</v>
      </c>
      <c r="F960" s="40" t="n">
        <f aca="false">F956-F957+MAX(0,-F954)</f>
        <v>14.076209848</v>
      </c>
      <c r="G960" s="40" t="n">
        <f aca="false">G956-G957+MAX(0,-G954)</f>
        <v>21.18595984384</v>
      </c>
      <c r="H960" s="40" t="n">
        <f aca="false">H956-H957+MAX(0,-H954)</f>
        <v>20.0114054355436</v>
      </c>
      <c r="I960" s="40" t="n">
        <f aca="false">I956-I957+MAX(0,-I954)</f>
        <v>17.3523879197385</v>
      </c>
      <c r="J960" s="40" t="n">
        <f aca="false">J956-J957+MAX(0,-J954)</f>
        <v>5.91519337857671</v>
      </c>
      <c r="K960" s="23"/>
      <c r="L960" s="49"/>
    </row>
    <row r="961" customFormat="false" ht="15" hidden="true" customHeight="false" outlineLevel="1" collapsed="false">
      <c r="A961" s="20" t="n">
        <v>102</v>
      </c>
      <c r="B961" s="6" t="s">
        <v>674</v>
      </c>
      <c r="C961" s="20" t="s">
        <v>71</v>
      </c>
      <c r="D961" s="23"/>
      <c r="E961" s="23"/>
      <c r="F961" s="40" t="n">
        <f aca="false">F954-F959</f>
        <v>-14.076209848</v>
      </c>
      <c r="G961" s="40" t="n">
        <f aca="false">G954-G959</f>
        <v>-7.10974999584</v>
      </c>
      <c r="H961" s="40" t="n">
        <f aca="false">H954-H959</f>
        <v>2.29038109617798</v>
      </c>
      <c r="I961" s="40" t="n">
        <f aca="false">I954-I959</f>
        <v>5.18508415581988</v>
      </c>
      <c r="J961" s="40" t="n">
        <f aca="false">J954-J959</f>
        <v>22.3025293552656</v>
      </c>
      <c r="K961" s="51" t="n">
        <f aca="false">SUM(F961:J961)</f>
        <v>8.59203476342341</v>
      </c>
      <c r="L961" s="49"/>
    </row>
    <row r="962" customFormat="false" ht="15" hidden="true" customHeight="false" outlineLevel="1" collapsed="false">
      <c r="A962" s="19" t="s">
        <v>675</v>
      </c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</row>
    <row r="963" customFormat="false" ht="15" hidden="true" customHeight="false" outlineLevel="1" collapsed="false">
      <c r="A963" s="20" t="n">
        <v>103</v>
      </c>
      <c r="B963" s="6" t="s">
        <v>676</v>
      </c>
      <c r="C963" s="20" t="s">
        <v>71</v>
      </c>
      <c r="D963" s="23"/>
      <c r="E963" s="40" t="n">
        <f aca="false">0</f>
        <v>0</v>
      </c>
      <c r="F963" s="40" t="n">
        <f aca="false">F923*$D$884/365</f>
        <v>1.97260273972603</v>
      </c>
      <c r="G963" s="40" t="n">
        <f aca="false">G923*$D$884/365</f>
        <v>4.4013698630137</v>
      </c>
      <c r="H963" s="40" t="n">
        <f aca="false">H923*$D$884/365</f>
        <v>8.5199274400685</v>
      </c>
      <c r="I963" s="40" t="n">
        <f aca="false">I923*$D$884/365</f>
        <v>11.0059879590014</v>
      </c>
      <c r="J963" s="40" t="n">
        <f aca="false">J923*$D$884/365</f>
        <v>17.4011999290195</v>
      </c>
      <c r="K963" s="23"/>
      <c r="L963" s="49" t="s">
        <v>677</v>
      </c>
    </row>
    <row r="964" customFormat="false" ht="15" hidden="true" customHeight="false" outlineLevel="1" collapsed="false">
      <c r="A964" s="20" t="n">
        <v>104</v>
      </c>
      <c r="B964" s="6" t="s">
        <v>678</v>
      </c>
      <c r="C964" s="20" t="s">
        <v>71</v>
      </c>
      <c r="D964" s="23"/>
      <c r="E964" s="23"/>
      <c r="F964" s="40" t="n">
        <f aca="false">F963-E963</f>
        <v>1.97260273972603</v>
      </c>
      <c r="G964" s="40" t="n">
        <f aca="false">G963-F963</f>
        <v>2.42876712328767</v>
      </c>
      <c r="H964" s="40" t="n">
        <f aca="false">H963-G963</f>
        <v>4.1185575770548</v>
      </c>
      <c r="I964" s="40" t="n">
        <f aca="false">I963-H963</f>
        <v>2.48606051893291</v>
      </c>
      <c r="J964" s="40" t="n">
        <f aca="false">J963-I963</f>
        <v>6.39521197001812</v>
      </c>
      <c r="K964" s="51" t="n">
        <f aca="false">SUM(F964:J964)</f>
        <v>17.4011999290195</v>
      </c>
      <c r="L964" s="49"/>
    </row>
    <row r="965" customFormat="false" ht="15" hidden="true" customHeight="false" outlineLevel="1" collapsed="false">
      <c r="A965" s="20" t="n">
        <v>105</v>
      </c>
      <c r="B965" s="6" t="s">
        <v>679</v>
      </c>
      <c r="C965" s="20" t="s">
        <v>71</v>
      </c>
      <c r="D965" s="23"/>
      <c r="E965" s="23"/>
      <c r="F965" s="40" t="n">
        <f aca="false">F961-F964</f>
        <v>-16.048812587726</v>
      </c>
      <c r="G965" s="40" t="n">
        <f aca="false">G961-G964</f>
        <v>-9.53851711912767</v>
      </c>
      <c r="H965" s="40" t="n">
        <f aca="false">H961-H964</f>
        <v>-1.82817648087681</v>
      </c>
      <c r="I965" s="40" t="n">
        <f aca="false">I961-I964</f>
        <v>2.69902363688697</v>
      </c>
      <c r="J965" s="40" t="n">
        <f aca="false">J961-J964</f>
        <v>15.9073173852474</v>
      </c>
      <c r="K965" s="51" t="n">
        <f aca="false">SUM(F965:J965)</f>
        <v>-8.80916516559611</v>
      </c>
      <c r="L965" s="49" t="s">
        <v>680</v>
      </c>
    </row>
    <row r="966" customFormat="false" ht="15" hidden="true" customHeight="false" outlineLevel="1" collapsed="false">
      <c r="A966" s="20" t="n">
        <v>106</v>
      </c>
      <c r="B966" s="6" t="s">
        <v>93</v>
      </c>
      <c r="C966" s="20" t="s">
        <v>71</v>
      </c>
      <c r="D966" s="23"/>
      <c r="E966" s="40" t="n">
        <f aca="false">0</f>
        <v>0</v>
      </c>
      <c r="F966" s="40" t="n">
        <f aca="false">E966+F965</f>
        <v>-16.048812587726</v>
      </c>
      <c r="G966" s="40" t="n">
        <f aca="false">F966+G965</f>
        <v>-25.5873297068537</v>
      </c>
      <c r="H966" s="40" t="n">
        <f aca="false">G966+H965</f>
        <v>-27.4155061877305</v>
      </c>
      <c r="I966" s="40" t="n">
        <f aca="false">H966+I965</f>
        <v>-24.7164825508435</v>
      </c>
      <c r="J966" s="40" t="n">
        <f aca="false">I966+J965</f>
        <v>-8.80916516559611</v>
      </c>
      <c r="K966" s="23"/>
      <c r="L966" s="49" t="s">
        <v>681</v>
      </c>
    </row>
    <row r="967" customFormat="false" ht="15" hidden="true" customHeight="false" outlineLevel="1" collapsed="false">
      <c r="A967" s="20" t="n">
        <v>107</v>
      </c>
      <c r="B967" s="6" t="s">
        <v>682</v>
      </c>
      <c r="C967" s="20"/>
      <c r="D967" s="23"/>
      <c r="E967" s="23"/>
      <c r="F967" s="53" t="n">
        <f aca="false">1/(1+$D$885)^(F$905-$E$905)</f>
        <v>0.769230769230769</v>
      </c>
      <c r="G967" s="53" t="n">
        <f aca="false">1/(1+$D$885)^(G$905-$E$905)</f>
        <v>0.591715976331361</v>
      </c>
      <c r="H967" s="53" t="n">
        <f aca="false">1/(1+$D$885)^(H$905-$E$905)</f>
        <v>0.455166135639508</v>
      </c>
      <c r="I967" s="53" t="n">
        <f aca="false">1/(1+$D$885)^(I$905-$E$905)</f>
        <v>0.350127796645776</v>
      </c>
      <c r="J967" s="53" t="n">
        <f aca="false">1/(1+$D$885)^(J$905-$E$905)</f>
        <v>0.269329074342904</v>
      </c>
      <c r="K967" s="23"/>
      <c r="L967" s="49" t="s">
        <v>683</v>
      </c>
    </row>
    <row r="968" customFormat="false" ht="15" hidden="true" customHeight="false" outlineLevel="1" collapsed="false">
      <c r="A968" s="20" t="n">
        <v>108</v>
      </c>
      <c r="B968" s="6" t="s">
        <v>684</v>
      </c>
      <c r="C968" s="20" t="s">
        <v>71</v>
      </c>
      <c r="D968" s="23"/>
      <c r="E968" s="23"/>
      <c r="F968" s="40" t="n">
        <f aca="false">F965*F967</f>
        <v>-12.3452404520969</v>
      </c>
      <c r="G968" s="40" t="n">
        <f aca="false">G965*G967</f>
        <v>-5.64409296989803</v>
      </c>
      <c r="H968" s="40" t="n">
        <f aca="false">H965*H967</f>
        <v>-0.832124024067734</v>
      </c>
      <c r="I968" s="40" t="n">
        <f aca="false">I965*I967</f>
        <v>0.945003199078103</v>
      </c>
      <c r="J968" s="40" t="n">
        <f aca="false">J965*J967</f>
        <v>4.28430306664748</v>
      </c>
      <c r="K968" s="51" t="n">
        <f aca="false">SUM(F968:J968)</f>
        <v>-13.5921511803371</v>
      </c>
      <c r="L968" s="49"/>
    </row>
    <row r="969" customFormat="false" ht="15" hidden="true" customHeight="false" outlineLevel="1" collapsed="false">
      <c r="A969" s="20" t="n">
        <v>109</v>
      </c>
      <c r="B969" s="6" t="s">
        <v>685</v>
      </c>
      <c r="C969" s="20" t="s">
        <v>71</v>
      </c>
      <c r="D969" s="23"/>
      <c r="E969" s="23"/>
      <c r="F969" s="40" t="n">
        <f aca="false">IF(F$905=$J$905,MAX(0,F965)*(1+$D$886)/($D$885-$D$886),0)</f>
        <v>0</v>
      </c>
      <c r="G969" s="40" t="n">
        <f aca="false">IF(G$905=$J$905,MAX(0,G965)*(1+$D$886)/($D$885-$D$886),0)</f>
        <v>0</v>
      </c>
      <c r="H969" s="40" t="n">
        <f aca="false">IF(H$905=$J$905,MAX(0,H965)*(1+$D$886)/($D$885-$D$886),0)</f>
        <v>0</v>
      </c>
      <c r="I969" s="40" t="n">
        <f aca="false">IF(I$905=$J$905,MAX(0,I965)*(1+$D$886)/($D$885-$D$886),0)</f>
        <v>0</v>
      </c>
      <c r="J969" s="40" t="n">
        <f aca="false">IF(J$905=$J$905,MAX(0,J965)*(1+$D$886)/($D$885-$D$886),0)</f>
        <v>63.6292695409897</v>
      </c>
      <c r="K969" s="23"/>
      <c r="L969" s="49" t="s">
        <v>686</v>
      </c>
    </row>
    <row r="970" customFormat="false" ht="15" hidden="true" customHeight="false" outlineLevel="1" collapsed="false">
      <c r="A970" s="20" t="n">
        <v>110</v>
      </c>
      <c r="B970" s="6" t="s">
        <v>687</v>
      </c>
      <c r="C970" s="20" t="s">
        <v>71</v>
      </c>
      <c r="D970" s="23"/>
      <c r="E970" s="23"/>
      <c r="F970" s="40" t="n">
        <f aca="false">F969*F967</f>
        <v>0</v>
      </c>
      <c r="G970" s="40" t="n">
        <f aca="false">G969*G967</f>
        <v>0</v>
      </c>
      <c r="H970" s="40" t="n">
        <f aca="false">H969*H967</f>
        <v>0</v>
      </c>
      <c r="I970" s="40" t="n">
        <f aca="false">I969*I967</f>
        <v>0</v>
      </c>
      <c r="J970" s="40" t="n">
        <f aca="false">J969*J967</f>
        <v>17.1372122665899</v>
      </c>
      <c r="K970" s="51" t="n">
        <f aca="false">SUM(F970:J970)</f>
        <v>17.1372122665899</v>
      </c>
      <c r="L970" s="49"/>
    </row>
    <row r="971" customFormat="false" ht="15" hidden="true" customHeight="false" outlineLevel="1" collapsed="false">
      <c r="A971" s="20" t="n">
        <v>111</v>
      </c>
      <c r="B971" s="6" t="s">
        <v>688</v>
      </c>
      <c r="C971" s="20" t="s">
        <v>71</v>
      </c>
      <c r="D971" s="23"/>
      <c r="E971" s="23"/>
      <c r="F971" s="40" t="n">
        <f aca="false">F965+F969</f>
        <v>-16.048812587726</v>
      </c>
      <c r="G971" s="40" t="n">
        <f aca="false">G965+G969</f>
        <v>-9.53851711912767</v>
      </c>
      <c r="H971" s="40" t="n">
        <f aca="false">H965+H969</f>
        <v>-1.82817648087681</v>
      </c>
      <c r="I971" s="40" t="n">
        <f aca="false">I965+I969</f>
        <v>2.69902363688697</v>
      </c>
      <c r="J971" s="40" t="n">
        <f aca="false">J965+J969</f>
        <v>79.5365869262372</v>
      </c>
      <c r="K971" s="23"/>
      <c r="L971" s="49" t="s">
        <v>689</v>
      </c>
    </row>
    <row r="972" customFormat="false" ht="15" hidden="true" customHeight="false" outlineLevel="1" collapsed="false">
      <c r="A972" s="20" t="n">
        <v>112</v>
      </c>
      <c r="B972" s="6" t="s">
        <v>690</v>
      </c>
      <c r="C972" s="20"/>
      <c r="D972" s="23"/>
      <c r="E972" s="23"/>
      <c r="F972" s="52" t="str">
        <f aca="false">IF(AND(F954&gt;0,COUNTIF($F$954:F$954,"&gt;0")=1),F$905,"")</f>
        <v/>
      </c>
      <c r="G972" s="52" t="str">
        <f aca="false">IF(AND(G954&gt;0,COUNTIF($F$954:G$954,"&gt;0")=1),G$905,"")</f>
        <v/>
      </c>
      <c r="H972" s="52" t="n">
        <f aca="false">IF(AND(H954&gt;0,COUNTIF($F$954:H$954,"&gt;0")=1),H$905,"")</f>
        <v>2029</v>
      </c>
      <c r="I972" s="52" t="str">
        <f aca="false">IF(AND(I954&gt;0,COUNTIF($F$954:I$954,"&gt;0")=1),I$905,"")</f>
        <v/>
      </c>
      <c r="J972" s="52" t="str">
        <f aca="false">IF(AND(J954&gt;0,COUNTIF($F$954:J$954,"&gt;0")=1),J$905,"")</f>
        <v/>
      </c>
      <c r="K972" s="23"/>
      <c r="L972" s="49" t="s">
        <v>691</v>
      </c>
    </row>
    <row r="973" customFormat="false" ht="15" hidden="true" customHeight="false" outlineLevel="1" collapsed="false">
      <c r="A973" s="20" t="n">
        <v>113</v>
      </c>
      <c r="B973" s="6" t="s">
        <v>692</v>
      </c>
      <c r="C973" s="20"/>
      <c r="D973" s="23"/>
      <c r="E973" s="23"/>
      <c r="F973" s="52" t="str">
        <f aca="false">IF(AND(F966&gt;0,COUNTIF($F$966:F$966,"&gt;0")=1),F$905,"")</f>
        <v/>
      </c>
      <c r="G973" s="52" t="str">
        <f aca="false">IF(AND(G966&gt;0,COUNTIF($F$966:G$966,"&gt;0")=1),G$905,"")</f>
        <v/>
      </c>
      <c r="H973" s="52" t="str">
        <f aca="false">IF(AND(H966&gt;0,COUNTIF($F$966:H$966,"&gt;0")=1),H$905,"")</f>
        <v/>
      </c>
      <c r="I973" s="52" t="str">
        <f aca="false">IF(AND(I966&gt;0,COUNTIF($F$966:I$966,"&gt;0")=1),I$905,"")</f>
        <v/>
      </c>
      <c r="J973" s="52" t="str">
        <f aca="false">IF(AND(J966&gt;0,COUNTIF($F$966:J$966,"&gt;0")=1),J$905,"")</f>
        <v/>
      </c>
      <c r="K973" s="23"/>
      <c r="L973" s="49" t="s">
        <v>691</v>
      </c>
    </row>
    <row r="974" customFormat="false" ht="15" hidden="true" customHeight="false" outlineLevel="1" collapsed="false">
      <c r="A974" s="19" t="s">
        <v>693</v>
      </c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</row>
    <row r="975" customFormat="false" ht="15" hidden="true" customHeight="false" outlineLevel="1" collapsed="false">
      <c r="A975" s="20" t="n">
        <v>114</v>
      </c>
      <c r="B975" s="6" t="s">
        <v>70</v>
      </c>
      <c r="C975" s="20" t="s">
        <v>71</v>
      </c>
      <c r="D975" s="51" t="n">
        <f aca="false">SUM(F923:J923)</f>
        <v>175.609967719474</v>
      </c>
      <c r="E975" s="23"/>
      <c r="F975" s="23"/>
      <c r="G975" s="23"/>
      <c r="H975" s="23"/>
      <c r="I975" s="23"/>
      <c r="J975" s="23"/>
      <c r="K975" s="23"/>
      <c r="L975" s="49"/>
    </row>
    <row r="976" customFormat="false" ht="15" hidden="true" customHeight="false" outlineLevel="1" collapsed="false">
      <c r="A976" s="20" t="n">
        <v>115</v>
      </c>
      <c r="B976" s="6" t="s">
        <v>694</v>
      </c>
      <c r="C976" s="20" t="s">
        <v>71</v>
      </c>
      <c r="D976" s="51" t="n">
        <f aca="false">J923</f>
        <v>70.571533045468</v>
      </c>
      <c r="E976" s="23"/>
      <c r="F976" s="23"/>
      <c r="G976" s="23"/>
      <c r="H976" s="23"/>
      <c r="I976" s="23"/>
      <c r="J976" s="23"/>
      <c r="K976" s="23"/>
      <c r="L976" s="49"/>
    </row>
    <row r="977" customFormat="false" ht="15" hidden="true" customHeight="false" outlineLevel="1" collapsed="false">
      <c r="A977" s="20" t="n">
        <v>116</v>
      </c>
      <c r="B977" s="6" t="s">
        <v>695</v>
      </c>
      <c r="C977" s="20" t="s">
        <v>71</v>
      </c>
      <c r="D977" s="51" t="n">
        <f aca="false">J924</f>
        <v>79.4533684087801</v>
      </c>
      <c r="E977" s="23"/>
      <c r="F977" s="23"/>
      <c r="G977" s="23"/>
      <c r="H977" s="23"/>
      <c r="I977" s="23"/>
      <c r="J977" s="23"/>
      <c r="K977" s="23"/>
      <c r="L977" s="49"/>
    </row>
    <row r="978" customFormat="false" ht="15" hidden="true" customHeight="false" outlineLevel="1" collapsed="false">
      <c r="A978" s="20" t="n">
        <v>117</v>
      </c>
      <c r="B978" s="6" t="s">
        <v>696</v>
      </c>
      <c r="C978" s="20" t="s">
        <v>71</v>
      </c>
      <c r="D978" s="51" t="n">
        <f aca="false">J954</f>
        <v>22.8743890823236</v>
      </c>
      <c r="E978" s="23"/>
      <c r="F978" s="23"/>
      <c r="G978" s="23"/>
      <c r="H978" s="23"/>
      <c r="I978" s="23"/>
      <c r="J978" s="23"/>
      <c r="K978" s="23"/>
      <c r="L978" s="49"/>
    </row>
    <row r="979" customFormat="false" ht="15" hidden="true" customHeight="false" outlineLevel="1" collapsed="false">
      <c r="A979" s="20" t="n">
        <v>118</v>
      </c>
      <c r="B979" s="6" t="s">
        <v>697</v>
      </c>
      <c r="C979" s="20" t="s">
        <v>76</v>
      </c>
      <c r="D979" s="54" t="n">
        <f aca="false">J915</f>
        <v>11</v>
      </c>
      <c r="E979" s="23"/>
      <c r="F979" s="23"/>
      <c r="G979" s="23"/>
      <c r="H979" s="23"/>
      <c r="I979" s="23"/>
      <c r="J979" s="23"/>
      <c r="K979" s="23"/>
      <c r="L979" s="49"/>
    </row>
    <row r="980" customFormat="false" ht="15" hidden="true" customHeight="false" outlineLevel="1" collapsed="false">
      <c r="A980" s="20" t="n">
        <v>119</v>
      </c>
      <c r="B980" s="6" t="s">
        <v>698</v>
      </c>
      <c r="C980" s="20" t="s">
        <v>53</v>
      </c>
      <c r="D980" s="51" t="n">
        <f aca="false">J926</f>
        <v>8</v>
      </c>
      <c r="E980" s="23"/>
      <c r="F980" s="23"/>
      <c r="G980" s="23"/>
      <c r="H980" s="23"/>
      <c r="I980" s="23"/>
      <c r="J980" s="23"/>
      <c r="K980" s="23"/>
      <c r="L980" s="49"/>
    </row>
    <row r="981" customFormat="false" ht="15" hidden="true" customHeight="false" outlineLevel="1" collapsed="false">
      <c r="A981" s="20" t="n">
        <v>120</v>
      </c>
      <c r="B981" s="6" t="s">
        <v>699</v>
      </c>
      <c r="C981" s="20" t="s">
        <v>71</v>
      </c>
      <c r="D981" s="51" t="n">
        <f aca="false">MIN(0,MIN(F966:J966))</f>
        <v>-27.4155061877305</v>
      </c>
      <c r="E981" s="23"/>
      <c r="F981" s="23"/>
      <c r="G981" s="23"/>
      <c r="H981" s="23"/>
      <c r="I981" s="23"/>
      <c r="J981" s="23"/>
      <c r="K981" s="23"/>
      <c r="L981" s="49"/>
    </row>
    <row r="982" customFormat="false" ht="15" hidden="true" customHeight="false" outlineLevel="1" collapsed="false">
      <c r="A982" s="20" t="n">
        <v>121</v>
      </c>
      <c r="B982" s="6" t="s">
        <v>700</v>
      </c>
      <c r="C982" s="20" t="s">
        <v>71</v>
      </c>
      <c r="D982" s="51" t="n">
        <f aca="false">-$D$981*(1+$D$887)</f>
        <v>32.8986074252766</v>
      </c>
      <c r="E982" s="23"/>
      <c r="F982" s="23"/>
      <c r="G982" s="23"/>
      <c r="H982" s="23"/>
      <c r="I982" s="23"/>
      <c r="J982" s="23"/>
      <c r="K982" s="23"/>
      <c r="L982" s="49"/>
    </row>
    <row r="983" customFormat="false" ht="15" hidden="true" customHeight="false" outlineLevel="1" collapsed="false">
      <c r="A983" s="20" t="n">
        <v>122</v>
      </c>
      <c r="B983" s="6" t="s">
        <v>701</v>
      </c>
      <c r="C983" s="20" t="s">
        <v>71</v>
      </c>
      <c r="D983" s="51" t="n">
        <f aca="false">J966</f>
        <v>-8.80916516559611</v>
      </c>
      <c r="E983" s="23"/>
      <c r="F983" s="23"/>
      <c r="G983" s="23"/>
      <c r="H983" s="23"/>
      <c r="I983" s="23"/>
      <c r="J983" s="23"/>
      <c r="K983" s="23"/>
      <c r="L983" s="49"/>
    </row>
    <row r="984" customFormat="false" ht="15" hidden="true" customHeight="false" outlineLevel="1" collapsed="false">
      <c r="A984" s="20" t="n">
        <v>123</v>
      </c>
      <c r="B984" s="6" t="s">
        <v>702</v>
      </c>
      <c r="C984" s="20" t="s">
        <v>71</v>
      </c>
      <c r="D984" s="51" t="n">
        <f aca="false">SUM(F968:J968)</f>
        <v>-13.5921511803371</v>
      </c>
      <c r="E984" s="23"/>
      <c r="F984" s="23"/>
      <c r="G984" s="23"/>
      <c r="H984" s="23"/>
      <c r="I984" s="23"/>
      <c r="J984" s="23"/>
      <c r="K984" s="23"/>
      <c r="L984" s="49"/>
    </row>
    <row r="985" customFormat="false" ht="15" hidden="true" customHeight="false" outlineLevel="1" collapsed="false">
      <c r="A985" s="20" t="n">
        <v>124</v>
      </c>
      <c r="B985" s="6" t="s">
        <v>82</v>
      </c>
      <c r="C985" s="20" t="s">
        <v>71</v>
      </c>
      <c r="D985" s="51" t="n">
        <f aca="false">SUM(F968:J968)+SUM(F970:J970)</f>
        <v>3.5450610862528</v>
      </c>
      <c r="E985" s="23"/>
      <c r="F985" s="23"/>
      <c r="G985" s="23"/>
      <c r="H985" s="23"/>
      <c r="I985" s="23"/>
      <c r="J985" s="23"/>
      <c r="K985" s="23"/>
      <c r="L985" s="49"/>
    </row>
    <row r="986" customFormat="false" ht="15" hidden="true" customHeight="false" outlineLevel="1" collapsed="false">
      <c r="A986" s="20" t="n">
        <v>125</v>
      </c>
      <c r="B986" s="6" t="s">
        <v>83</v>
      </c>
      <c r="C986" s="20" t="s">
        <v>68</v>
      </c>
      <c r="D986" s="55" t="n">
        <f aca="false">IFERROR(IRR(F971:J971),"н/д")</f>
        <v>0.36426819507485</v>
      </c>
      <c r="E986" s="23"/>
      <c r="F986" s="23"/>
      <c r="G986" s="23"/>
      <c r="H986" s="23"/>
      <c r="I986" s="23"/>
      <c r="J986" s="23"/>
      <c r="K986" s="23"/>
      <c r="L986" s="49"/>
    </row>
    <row r="987" customFormat="false" ht="15" hidden="true" customHeight="false" outlineLevel="1" collapsed="false">
      <c r="A987" s="20" t="n">
        <v>126</v>
      </c>
      <c r="B987" s="6" t="s">
        <v>13</v>
      </c>
      <c r="C987" s="20" t="s">
        <v>79</v>
      </c>
      <c r="D987" s="56" t="n">
        <f aca="false">IF(COUNT(F972:J972)=0,"после 2031",MIN(F972:J972))</f>
        <v>2029</v>
      </c>
      <c r="E987" s="23"/>
      <c r="F987" s="23"/>
      <c r="G987" s="23"/>
      <c r="H987" s="23"/>
      <c r="I987" s="23"/>
      <c r="J987" s="23"/>
      <c r="K987" s="23"/>
      <c r="L987" s="49"/>
    </row>
    <row r="988" customFormat="false" ht="15" hidden="true" customHeight="false" outlineLevel="1" collapsed="false">
      <c r="A988" s="20" t="n">
        <v>127</v>
      </c>
      <c r="B988" s="6" t="s">
        <v>703</v>
      </c>
      <c r="C988" s="20" t="s">
        <v>79</v>
      </c>
      <c r="D988" s="56" t="str">
        <f aca="false">IF(COUNT(F973:J973)=0,"после 2031",MIN(F973:J973))</f>
        <v>после 2031</v>
      </c>
      <c r="E988" s="23"/>
      <c r="F988" s="23"/>
      <c r="G988" s="23"/>
      <c r="H988" s="23"/>
      <c r="I988" s="23"/>
      <c r="J988" s="23"/>
      <c r="K988" s="23"/>
      <c r="L988" s="49"/>
    </row>
    <row r="991" customFormat="false" ht="15" hidden="true" customHeight="false" outlineLevel="1" collapsed="false">
      <c r="A991" s="57" t="s">
        <v>730</v>
      </c>
    </row>
    <row r="992" customFormat="false" ht="30" hidden="true" customHeight="true" outlineLevel="1" collapsed="false">
      <c r="A992" s="4" t="s">
        <v>49</v>
      </c>
      <c r="B992" s="4" t="s">
        <v>3</v>
      </c>
      <c r="C992" s="5" t="s">
        <v>50</v>
      </c>
      <c r="D992" s="5" t="s">
        <v>551</v>
      </c>
      <c r="E992" s="5" t="s">
        <v>356</v>
      </c>
      <c r="F992" s="5" t="s">
        <v>86</v>
      </c>
      <c r="G992" s="5" t="s">
        <v>87</v>
      </c>
      <c r="H992" s="5" t="s">
        <v>88</v>
      </c>
      <c r="I992" s="5" t="s">
        <v>89</v>
      </c>
      <c r="J992" s="5" t="s">
        <v>90</v>
      </c>
      <c r="K992" s="5" t="s">
        <v>552</v>
      </c>
      <c r="L992" s="5" t="s">
        <v>393</v>
      </c>
    </row>
    <row r="993" customFormat="false" ht="15" hidden="true" customHeight="false" outlineLevel="1" collapsed="false">
      <c r="A993" s="19" t="s">
        <v>553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</row>
    <row r="994" customFormat="false" ht="15" hidden="true" customHeight="false" outlineLevel="1" collapsed="false">
      <c r="A994" s="20" t="n">
        <v>1</v>
      </c>
      <c r="B994" s="6" t="s">
        <v>554</v>
      </c>
      <c r="C994" s="20" t="s">
        <v>79</v>
      </c>
      <c r="D994" s="10" t="n">
        <f aca="false">Допущения!$E$49</f>
        <v>2027</v>
      </c>
      <c r="E994" s="23"/>
      <c r="F994" s="23"/>
      <c r="G994" s="23"/>
      <c r="H994" s="23"/>
      <c r="I994" s="23"/>
      <c r="J994" s="23"/>
      <c r="K994" s="23"/>
      <c r="L994" s="49"/>
    </row>
    <row r="995" customFormat="false" ht="15" hidden="true" customHeight="false" outlineLevel="1" collapsed="false">
      <c r="A995" s="20" t="n">
        <v>2</v>
      </c>
      <c r="B995" s="6" t="s">
        <v>555</v>
      </c>
      <c r="C995" s="20" t="s">
        <v>105</v>
      </c>
      <c r="D995" s="45" t="n">
        <f aca="false">Допущения!$E$7</f>
        <v>1.8</v>
      </c>
      <c r="E995" s="23"/>
      <c r="F995" s="23"/>
      <c r="G995" s="23"/>
      <c r="H995" s="23"/>
      <c r="I995" s="23"/>
      <c r="J995" s="23"/>
      <c r="K995" s="23"/>
      <c r="L995" s="49"/>
    </row>
    <row r="996" customFormat="false" ht="15" hidden="true" customHeight="false" outlineLevel="1" collapsed="false">
      <c r="A996" s="20" t="n">
        <v>3</v>
      </c>
      <c r="B996" s="6" t="s">
        <v>556</v>
      </c>
      <c r="C996" s="20" t="s">
        <v>55</v>
      </c>
      <c r="D996" s="9" t="n">
        <f aca="false">Допущения!$E$42</f>
        <v>6</v>
      </c>
      <c r="E996" s="23"/>
      <c r="F996" s="23"/>
      <c r="G996" s="23"/>
      <c r="H996" s="23"/>
      <c r="I996" s="23"/>
      <c r="J996" s="23"/>
      <c r="K996" s="23"/>
      <c r="L996" s="49"/>
    </row>
    <row r="997" customFormat="false" ht="15" hidden="true" customHeight="false" outlineLevel="1" collapsed="false">
      <c r="A997" s="20" t="n">
        <v>4</v>
      </c>
      <c r="B997" s="6" t="s">
        <v>557</v>
      </c>
      <c r="C997" s="20" t="s">
        <v>244</v>
      </c>
      <c r="D997" s="9" t="n">
        <f aca="false">Допущения!$E$43</f>
        <v>5</v>
      </c>
      <c r="E997" s="23"/>
      <c r="F997" s="23"/>
      <c r="G997" s="23"/>
      <c r="H997" s="23"/>
      <c r="I997" s="23"/>
      <c r="J997" s="23"/>
      <c r="K997" s="23"/>
      <c r="L997" s="49"/>
    </row>
    <row r="998" customFormat="false" ht="15" hidden="true" customHeight="false" outlineLevel="1" collapsed="false">
      <c r="A998" s="20" t="n">
        <v>5</v>
      </c>
      <c r="B998" s="6" t="s">
        <v>558</v>
      </c>
      <c r="C998" s="20" t="s">
        <v>55</v>
      </c>
      <c r="D998" s="9" t="n">
        <f aca="false">Допущения!$E$44</f>
        <v>1.5</v>
      </c>
      <c r="E998" s="23"/>
      <c r="F998" s="23"/>
      <c r="G998" s="23"/>
      <c r="H998" s="23"/>
      <c r="I998" s="23"/>
      <c r="J998" s="23"/>
      <c r="K998" s="23"/>
      <c r="L998" s="49"/>
    </row>
    <row r="999" customFormat="false" ht="15" hidden="true" customHeight="false" outlineLevel="1" collapsed="false">
      <c r="A999" s="20" t="n">
        <v>6</v>
      </c>
      <c r="B999" s="6" t="s">
        <v>559</v>
      </c>
      <c r="C999" s="20" t="s">
        <v>71</v>
      </c>
      <c r="D999" s="9" t="n">
        <f aca="false">Допущения!$E$45*0.8</f>
        <v>6.4</v>
      </c>
      <c r="E999" s="23"/>
      <c r="F999" s="23"/>
      <c r="G999" s="23"/>
      <c r="H999" s="23"/>
      <c r="I999" s="23"/>
      <c r="J999" s="23"/>
      <c r="K999" s="23"/>
      <c r="L999" s="49"/>
    </row>
    <row r="1000" customFormat="false" ht="15" hidden="true" customHeight="false" outlineLevel="1" collapsed="false">
      <c r="A1000" s="20" t="n">
        <v>7</v>
      </c>
      <c r="B1000" s="6" t="s">
        <v>560</v>
      </c>
      <c r="C1000" s="20" t="s">
        <v>71</v>
      </c>
      <c r="D1000" s="9" t="n">
        <f aca="false">Допущения!$E$46*0.8</f>
        <v>1.6</v>
      </c>
      <c r="E1000" s="23"/>
      <c r="F1000" s="23"/>
      <c r="G1000" s="23"/>
      <c r="H1000" s="23"/>
      <c r="I1000" s="23"/>
      <c r="J1000" s="23"/>
      <c r="K1000" s="23"/>
      <c r="L1000" s="49"/>
    </row>
    <row r="1001" customFormat="false" ht="15" hidden="true" customHeight="false" outlineLevel="1" collapsed="false">
      <c r="A1001" s="20" t="n">
        <v>8</v>
      </c>
      <c r="B1001" s="6" t="s">
        <v>260</v>
      </c>
      <c r="C1001" s="20" t="s">
        <v>261</v>
      </c>
      <c r="D1001" s="22" t="n">
        <f aca="false">Допущения!$E$47</f>
        <v>0.05</v>
      </c>
      <c r="E1001" s="23"/>
      <c r="F1001" s="23"/>
      <c r="G1001" s="23"/>
      <c r="H1001" s="23"/>
      <c r="I1001" s="23"/>
      <c r="J1001" s="23"/>
      <c r="K1001" s="23"/>
      <c r="L1001" s="49"/>
    </row>
    <row r="1002" customFormat="false" ht="15" hidden="true" customHeight="false" outlineLevel="1" collapsed="false">
      <c r="A1002" s="20" t="n">
        <v>9</v>
      </c>
      <c r="B1002" s="6" t="s">
        <v>561</v>
      </c>
      <c r="C1002" s="20" t="s">
        <v>261</v>
      </c>
      <c r="D1002" s="22" t="n">
        <f aca="false">Допущения!$E$48</f>
        <v>0.15</v>
      </c>
      <c r="E1002" s="23"/>
      <c r="F1002" s="23"/>
      <c r="G1002" s="23"/>
      <c r="H1002" s="23"/>
      <c r="I1002" s="23"/>
      <c r="J1002" s="23"/>
      <c r="K1002" s="23"/>
      <c r="L1002" s="49"/>
    </row>
    <row r="1003" customFormat="false" ht="15" hidden="true" customHeight="false" outlineLevel="1" collapsed="false">
      <c r="A1003" s="20" t="n">
        <v>10</v>
      </c>
      <c r="B1003" s="6" t="s">
        <v>274</v>
      </c>
      <c r="C1003" s="20" t="s">
        <v>261</v>
      </c>
      <c r="D1003" s="22" t="n">
        <f aca="false">Допущения!$E$51</f>
        <v>0.07</v>
      </c>
      <c r="E1003" s="23"/>
      <c r="F1003" s="23"/>
      <c r="G1003" s="23"/>
      <c r="H1003" s="23"/>
      <c r="I1003" s="23"/>
      <c r="J1003" s="23"/>
      <c r="K1003" s="23"/>
      <c r="L1003" s="49"/>
    </row>
    <row r="1004" customFormat="false" ht="15" hidden="true" customHeight="false" outlineLevel="1" collapsed="false">
      <c r="A1004" s="20" t="n">
        <v>11</v>
      </c>
      <c r="B1004" s="6" t="s">
        <v>562</v>
      </c>
      <c r="C1004" s="20" t="s">
        <v>68</v>
      </c>
      <c r="D1004" s="22" t="n">
        <f aca="false">Допущения!$E$52</f>
        <v>0.15</v>
      </c>
      <c r="E1004" s="23"/>
      <c r="F1004" s="23"/>
      <c r="G1004" s="23"/>
      <c r="H1004" s="23"/>
      <c r="I1004" s="23"/>
      <c r="J1004" s="23"/>
      <c r="K1004" s="23"/>
      <c r="L1004" s="49"/>
    </row>
    <row r="1005" customFormat="false" ht="15" hidden="true" customHeight="false" outlineLevel="1" collapsed="false">
      <c r="A1005" s="20" t="n">
        <v>12</v>
      </c>
      <c r="B1005" s="6" t="s">
        <v>563</v>
      </c>
      <c r="C1005" s="20" t="s">
        <v>68</v>
      </c>
      <c r="D1005" s="22" t="n">
        <f aca="false">Допущения!$E$53</f>
        <v>0.076</v>
      </c>
      <c r="E1005" s="23"/>
      <c r="F1005" s="23"/>
      <c r="G1005" s="23"/>
      <c r="H1005" s="23"/>
      <c r="I1005" s="23"/>
      <c r="J1005" s="23"/>
      <c r="K1005" s="23"/>
      <c r="L1005" s="49"/>
    </row>
    <row r="1006" customFormat="false" ht="15" hidden="true" customHeight="false" outlineLevel="1" collapsed="false">
      <c r="A1006" s="20" t="n">
        <v>13</v>
      </c>
      <c r="B1006" s="6" t="s">
        <v>284</v>
      </c>
      <c r="C1006" s="20" t="s">
        <v>68</v>
      </c>
      <c r="D1006" s="22" t="n">
        <f aca="false">Допущения!$E$54</f>
        <v>0.002</v>
      </c>
      <c r="E1006" s="23"/>
      <c r="F1006" s="23"/>
      <c r="G1006" s="23"/>
      <c r="H1006" s="23"/>
      <c r="I1006" s="23"/>
      <c r="J1006" s="23"/>
      <c r="K1006" s="23"/>
      <c r="L1006" s="49"/>
    </row>
    <row r="1007" customFormat="false" ht="15" hidden="true" customHeight="false" outlineLevel="1" collapsed="false">
      <c r="A1007" s="20" t="n">
        <v>14</v>
      </c>
      <c r="B1007" s="6" t="s">
        <v>564</v>
      </c>
      <c r="C1007" s="20" t="s">
        <v>55</v>
      </c>
      <c r="D1007" s="50" t="n">
        <f aca="false">Допущения!$E$55</f>
        <v>2.979</v>
      </c>
      <c r="E1007" s="23"/>
      <c r="F1007" s="23"/>
      <c r="G1007" s="23"/>
      <c r="H1007" s="23"/>
      <c r="I1007" s="23"/>
      <c r="J1007" s="23"/>
      <c r="K1007" s="23"/>
      <c r="L1007" s="49"/>
    </row>
    <row r="1008" customFormat="false" ht="15" hidden="true" customHeight="false" outlineLevel="1" collapsed="false">
      <c r="A1008" s="20" t="n">
        <v>15</v>
      </c>
      <c r="B1008" s="6" t="s">
        <v>565</v>
      </c>
      <c r="C1008" s="20" t="s">
        <v>261</v>
      </c>
      <c r="D1008" s="22" t="n">
        <f aca="false">Допущения!$E$56</f>
        <v>0.08</v>
      </c>
      <c r="E1008" s="23"/>
      <c r="F1008" s="23"/>
      <c r="G1008" s="23"/>
      <c r="H1008" s="23"/>
      <c r="I1008" s="23"/>
      <c r="J1008" s="23"/>
      <c r="K1008" s="23"/>
      <c r="L1008" s="49"/>
    </row>
    <row r="1009" customFormat="false" ht="15" hidden="true" customHeight="false" outlineLevel="1" collapsed="false">
      <c r="A1009" s="20" t="n">
        <v>16</v>
      </c>
      <c r="B1009" s="6" t="s">
        <v>566</v>
      </c>
      <c r="C1009" s="20" t="s">
        <v>71</v>
      </c>
      <c r="D1009" s="9" t="n">
        <f aca="false">Допущения!$E$58</f>
        <v>2.5</v>
      </c>
      <c r="E1009" s="23"/>
      <c r="F1009" s="23"/>
      <c r="G1009" s="23"/>
      <c r="H1009" s="23"/>
      <c r="I1009" s="23"/>
      <c r="J1009" s="23"/>
      <c r="K1009" s="23"/>
      <c r="L1009" s="49"/>
    </row>
    <row r="1010" customFormat="false" ht="15" hidden="true" customHeight="false" outlineLevel="1" collapsed="false">
      <c r="A1010" s="20" t="n">
        <v>17</v>
      </c>
      <c r="B1010" s="6" t="s">
        <v>299</v>
      </c>
      <c r="C1010" s="20" t="s">
        <v>55</v>
      </c>
      <c r="D1010" s="9" t="n">
        <f aca="false">Допущения!$E$59</f>
        <v>1</v>
      </c>
      <c r="E1010" s="23"/>
      <c r="F1010" s="23"/>
      <c r="G1010" s="23"/>
      <c r="H1010" s="23"/>
      <c r="I1010" s="23"/>
      <c r="J1010" s="23"/>
      <c r="K1010" s="23"/>
      <c r="L1010" s="49"/>
    </row>
    <row r="1011" customFormat="false" ht="15" hidden="true" customHeight="false" outlineLevel="1" collapsed="false">
      <c r="A1011" s="20" t="n">
        <v>18</v>
      </c>
      <c r="B1011" s="6" t="s">
        <v>302</v>
      </c>
      <c r="C1011" s="20" t="s">
        <v>55</v>
      </c>
      <c r="D1011" s="9" t="n">
        <f aca="false">Допущения!$E$60</f>
        <v>0.6</v>
      </c>
      <c r="E1011" s="23"/>
      <c r="F1011" s="23"/>
      <c r="G1011" s="23"/>
      <c r="H1011" s="23"/>
      <c r="I1011" s="23"/>
      <c r="J1011" s="23"/>
      <c r="K1011" s="23"/>
      <c r="L1011" s="49"/>
    </row>
    <row r="1012" customFormat="false" ht="15" hidden="true" customHeight="false" outlineLevel="1" collapsed="false">
      <c r="A1012" s="20" t="n">
        <v>19</v>
      </c>
      <c r="B1012" s="6" t="s">
        <v>567</v>
      </c>
      <c r="C1012" s="20" t="s">
        <v>55</v>
      </c>
      <c r="D1012" s="45" t="n">
        <f aca="false">Допущения!$E$61</f>
        <v>0.15</v>
      </c>
      <c r="E1012" s="23"/>
      <c r="F1012" s="23"/>
      <c r="G1012" s="23"/>
      <c r="H1012" s="23"/>
      <c r="I1012" s="23"/>
      <c r="J1012" s="23"/>
      <c r="K1012" s="23"/>
      <c r="L1012" s="49"/>
    </row>
    <row r="1013" customFormat="false" ht="15" hidden="true" customHeight="false" outlineLevel="1" collapsed="false">
      <c r="A1013" s="20" t="n">
        <v>20</v>
      </c>
      <c r="B1013" s="6" t="s">
        <v>568</v>
      </c>
      <c r="C1013" s="20" t="s">
        <v>55</v>
      </c>
      <c r="D1013" s="9" t="n">
        <f aca="false">Допущения!$E$62</f>
        <v>1</v>
      </c>
      <c r="E1013" s="23"/>
      <c r="F1013" s="23"/>
      <c r="G1013" s="23"/>
      <c r="H1013" s="23"/>
      <c r="I1013" s="23"/>
      <c r="J1013" s="23"/>
      <c r="K1013" s="23"/>
      <c r="L1013" s="49"/>
    </row>
    <row r="1014" customFormat="false" ht="15" hidden="true" customHeight="false" outlineLevel="1" collapsed="false">
      <c r="A1014" s="20" t="n">
        <v>21</v>
      </c>
      <c r="B1014" s="6" t="s">
        <v>569</v>
      </c>
      <c r="C1014" s="20" t="s">
        <v>71</v>
      </c>
      <c r="D1014" s="9" t="n">
        <f aca="false">Допущения!$E$63</f>
        <v>0.4</v>
      </c>
      <c r="E1014" s="23"/>
      <c r="F1014" s="23"/>
      <c r="G1014" s="23"/>
      <c r="H1014" s="23"/>
      <c r="I1014" s="23"/>
      <c r="J1014" s="23"/>
      <c r="K1014" s="23"/>
      <c r="L1014" s="49"/>
    </row>
    <row r="1015" customFormat="false" ht="15" hidden="true" customHeight="false" outlineLevel="1" collapsed="false">
      <c r="A1015" s="20" t="n">
        <v>22</v>
      </c>
      <c r="B1015" s="6" t="s">
        <v>314</v>
      </c>
      <c r="C1015" s="20" t="s">
        <v>55</v>
      </c>
      <c r="D1015" s="9" t="n">
        <f aca="false">Допущения!$E$64</f>
        <v>1.2</v>
      </c>
      <c r="E1015" s="23"/>
      <c r="F1015" s="23"/>
      <c r="G1015" s="23"/>
      <c r="H1015" s="23"/>
      <c r="I1015" s="23"/>
      <c r="J1015" s="23"/>
      <c r="K1015" s="23"/>
      <c r="L1015" s="49"/>
    </row>
    <row r="1016" customFormat="false" ht="15" hidden="true" customHeight="false" outlineLevel="1" collapsed="false">
      <c r="A1016" s="20" t="n">
        <v>23</v>
      </c>
      <c r="B1016" s="6" t="s">
        <v>317</v>
      </c>
      <c r="C1016" s="20" t="s">
        <v>55</v>
      </c>
      <c r="D1016" s="45" t="n">
        <f aca="false">Допущения!$E$65</f>
        <v>0.1</v>
      </c>
      <c r="E1016" s="23"/>
      <c r="F1016" s="23"/>
      <c r="G1016" s="23"/>
      <c r="H1016" s="23"/>
      <c r="I1016" s="23"/>
      <c r="J1016" s="23"/>
      <c r="K1016" s="23"/>
      <c r="L1016" s="49"/>
    </row>
    <row r="1017" customFormat="false" ht="15" hidden="true" customHeight="false" outlineLevel="1" collapsed="false">
      <c r="A1017" s="20" t="n">
        <v>24</v>
      </c>
      <c r="B1017" s="6" t="s">
        <v>320</v>
      </c>
      <c r="C1017" s="20" t="s">
        <v>71</v>
      </c>
      <c r="D1017" s="45" t="n">
        <f aca="false">Допущения!$E$66</f>
        <v>0.25</v>
      </c>
      <c r="E1017" s="23"/>
      <c r="F1017" s="23"/>
      <c r="G1017" s="23"/>
      <c r="H1017" s="23"/>
      <c r="I1017" s="23"/>
      <c r="J1017" s="23"/>
      <c r="K1017" s="23"/>
      <c r="L1017" s="49"/>
    </row>
    <row r="1018" customFormat="false" ht="15" hidden="true" customHeight="false" outlineLevel="1" collapsed="false">
      <c r="A1018" s="20" t="n">
        <v>25</v>
      </c>
      <c r="B1018" s="6" t="s">
        <v>570</v>
      </c>
      <c r="C1018" s="20" t="s">
        <v>71</v>
      </c>
      <c r="D1018" s="9" t="n">
        <f aca="false">Допущения!$E$67</f>
        <v>0.3</v>
      </c>
      <c r="E1018" s="23"/>
      <c r="F1018" s="23"/>
      <c r="G1018" s="23"/>
      <c r="H1018" s="23"/>
      <c r="I1018" s="23"/>
      <c r="J1018" s="23"/>
      <c r="K1018" s="23"/>
      <c r="L1018" s="49"/>
    </row>
    <row r="1019" customFormat="false" ht="15" hidden="true" customHeight="false" outlineLevel="1" collapsed="false">
      <c r="A1019" s="20" t="n">
        <v>26</v>
      </c>
      <c r="B1019" s="6" t="s">
        <v>326</v>
      </c>
      <c r="C1019" s="20" t="s">
        <v>261</v>
      </c>
      <c r="D1019" s="22" t="n">
        <f aca="false">Допущения!$E$68</f>
        <v>0.05</v>
      </c>
      <c r="E1019" s="23"/>
      <c r="F1019" s="23"/>
      <c r="G1019" s="23"/>
      <c r="H1019" s="23"/>
      <c r="I1019" s="23"/>
      <c r="J1019" s="23"/>
      <c r="K1019" s="23"/>
      <c r="L1019" s="49"/>
    </row>
    <row r="1020" customFormat="false" ht="15" hidden="true" customHeight="false" outlineLevel="1" collapsed="false">
      <c r="A1020" s="20" t="n">
        <v>27</v>
      </c>
      <c r="B1020" s="6" t="s">
        <v>571</v>
      </c>
      <c r="C1020" s="20" t="s">
        <v>330</v>
      </c>
      <c r="D1020" s="22" t="n">
        <f aca="false">Допущения!$E$69</f>
        <v>0.1</v>
      </c>
      <c r="E1020" s="23"/>
      <c r="F1020" s="23"/>
      <c r="G1020" s="23"/>
      <c r="H1020" s="23"/>
      <c r="I1020" s="23"/>
      <c r="J1020" s="23"/>
      <c r="K1020" s="23"/>
      <c r="L1020" s="49"/>
    </row>
    <row r="1021" customFormat="false" ht="15" hidden="true" customHeight="false" outlineLevel="1" collapsed="false">
      <c r="A1021" s="20" t="n">
        <v>28</v>
      </c>
      <c r="B1021" s="6" t="s">
        <v>572</v>
      </c>
      <c r="C1021" s="20" t="s">
        <v>68</v>
      </c>
      <c r="D1021" s="22" t="n">
        <f aca="false">Допущения!$E$71</f>
        <v>0.05</v>
      </c>
      <c r="E1021" s="23"/>
      <c r="F1021" s="23"/>
      <c r="G1021" s="23"/>
      <c r="H1021" s="23"/>
      <c r="I1021" s="23"/>
      <c r="J1021" s="23"/>
      <c r="K1021" s="23"/>
      <c r="L1021" s="49"/>
    </row>
    <row r="1022" customFormat="false" ht="15" hidden="true" customHeight="false" outlineLevel="1" collapsed="false">
      <c r="A1022" s="20" t="n">
        <v>29</v>
      </c>
      <c r="B1022" s="6" t="s">
        <v>573</v>
      </c>
      <c r="C1022" s="20" t="s">
        <v>68</v>
      </c>
      <c r="D1022" s="22" t="n">
        <f aca="false">Допущения!$E$72</f>
        <v>0.5</v>
      </c>
      <c r="E1022" s="23"/>
      <c r="F1022" s="23"/>
      <c r="G1022" s="23"/>
      <c r="H1022" s="23"/>
      <c r="I1022" s="23"/>
      <c r="J1022" s="23"/>
      <c r="K1022" s="23"/>
      <c r="L1022" s="49"/>
    </row>
    <row r="1023" customFormat="false" ht="15" hidden="true" customHeight="false" outlineLevel="1" collapsed="false">
      <c r="A1023" s="20" t="n">
        <v>30</v>
      </c>
      <c r="B1023" s="6" t="s">
        <v>574</v>
      </c>
      <c r="C1023" s="20" t="s">
        <v>575</v>
      </c>
      <c r="D1023" s="7" t="n">
        <f aca="false">Допущения!$E$73</f>
        <v>90</v>
      </c>
      <c r="E1023" s="23"/>
      <c r="F1023" s="23"/>
      <c r="G1023" s="23"/>
      <c r="H1023" s="23"/>
      <c r="I1023" s="23"/>
      <c r="J1023" s="23"/>
      <c r="K1023" s="23"/>
      <c r="L1023" s="49"/>
    </row>
    <row r="1024" customFormat="false" ht="15" hidden="true" customHeight="false" outlineLevel="1" collapsed="false">
      <c r="A1024" s="20" t="n">
        <v>31</v>
      </c>
      <c r="B1024" s="6" t="s">
        <v>345</v>
      </c>
      <c r="C1024" s="20" t="s">
        <v>68</v>
      </c>
      <c r="D1024" s="22" t="n">
        <f aca="false">Допущения!$E$74</f>
        <v>0.3</v>
      </c>
      <c r="E1024" s="23"/>
      <c r="F1024" s="23"/>
      <c r="G1024" s="23"/>
      <c r="H1024" s="23"/>
      <c r="I1024" s="23"/>
      <c r="J1024" s="23"/>
      <c r="K1024" s="23"/>
      <c r="L1024" s="49"/>
    </row>
    <row r="1025" customFormat="false" ht="15" hidden="true" customHeight="false" outlineLevel="1" collapsed="false">
      <c r="A1025" s="20" t="n">
        <v>32</v>
      </c>
      <c r="B1025" s="6" t="s">
        <v>576</v>
      </c>
      <c r="C1025" s="20" t="s">
        <v>261</v>
      </c>
      <c r="D1025" s="22" t="n">
        <f aca="false">Допущения!$E$75</f>
        <v>0.04</v>
      </c>
      <c r="E1025" s="23"/>
      <c r="F1025" s="23"/>
      <c r="G1025" s="23"/>
      <c r="H1025" s="23"/>
      <c r="I1025" s="23"/>
      <c r="J1025" s="23"/>
      <c r="K1025" s="23"/>
      <c r="L1025" s="49"/>
    </row>
    <row r="1026" customFormat="false" ht="15" hidden="true" customHeight="false" outlineLevel="1" collapsed="false">
      <c r="A1026" s="20" t="n">
        <v>33</v>
      </c>
      <c r="B1026" s="6" t="s">
        <v>577</v>
      </c>
      <c r="C1026" s="20" t="s">
        <v>68</v>
      </c>
      <c r="D1026" s="22" t="n">
        <f aca="false">Допущения!$E$76</f>
        <v>0.2</v>
      </c>
      <c r="E1026" s="23"/>
      <c r="F1026" s="23"/>
      <c r="G1026" s="23"/>
      <c r="H1026" s="23"/>
      <c r="I1026" s="23"/>
      <c r="J1026" s="23"/>
      <c r="K1026" s="23"/>
      <c r="L1026" s="49"/>
    </row>
    <row r="1027" customFormat="false" ht="15" hidden="true" customHeight="false" outlineLevel="1" collapsed="false">
      <c r="A1027" s="20" t="n">
        <v>34</v>
      </c>
      <c r="B1027" s="6" t="s">
        <v>578</v>
      </c>
      <c r="C1027" s="20" t="s">
        <v>105</v>
      </c>
      <c r="D1027" s="50" t="n">
        <f aca="false">Рынок!$E$30</f>
        <v>0.490909090909091</v>
      </c>
      <c r="E1027" s="23"/>
      <c r="F1027" s="23"/>
      <c r="G1027" s="23"/>
      <c r="H1027" s="23"/>
      <c r="I1027" s="23"/>
      <c r="J1027" s="23"/>
      <c r="K1027" s="23"/>
      <c r="L1027" s="49" t="s">
        <v>579</v>
      </c>
    </row>
    <row r="1028" customFormat="false" ht="15" hidden="true" customHeight="false" outlineLevel="1" collapsed="false">
      <c r="A1028" s="20" t="n">
        <v>35</v>
      </c>
      <c r="B1028" s="6" t="s">
        <v>580</v>
      </c>
      <c r="C1028" s="20" t="s">
        <v>105</v>
      </c>
      <c r="D1028" s="50" t="n">
        <f aca="false">Рынок!$E$31</f>
        <v>0.028125</v>
      </c>
      <c r="E1028" s="23"/>
      <c r="F1028" s="23"/>
      <c r="G1028" s="23"/>
      <c r="H1028" s="23"/>
      <c r="I1028" s="23"/>
      <c r="J1028" s="23"/>
      <c r="K1028" s="23"/>
      <c r="L1028" s="49" t="s">
        <v>579</v>
      </c>
    </row>
    <row r="1029" customFormat="false" ht="15" hidden="true" customHeight="false" outlineLevel="1" collapsed="false">
      <c r="A1029" s="20" t="n">
        <v>36</v>
      </c>
      <c r="B1029" s="6" t="s">
        <v>581</v>
      </c>
      <c r="C1029" s="20" t="s">
        <v>142</v>
      </c>
      <c r="D1029" s="7" t="n">
        <f aca="false">План!$D$18</f>
        <v>200</v>
      </c>
      <c r="E1029" s="23"/>
      <c r="F1029" s="23"/>
      <c r="G1029" s="23"/>
      <c r="H1029" s="23"/>
      <c r="I1029" s="23"/>
      <c r="J1029" s="23"/>
      <c r="K1029" s="23"/>
      <c r="L1029" s="49" t="s">
        <v>582</v>
      </c>
    </row>
    <row r="1030" customFormat="false" ht="15" hidden="true" customHeight="false" outlineLevel="1" collapsed="false">
      <c r="A1030" s="20" t="n">
        <v>37</v>
      </c>
      <c r="B1030" s="6" t="s">
        <v>583</v>
      </c>
      <c r="C1030" s="20" t="s">
        <v>142</v>
      </c>
      <c r="D1030" s="7" t="n">
        <f aca="false">План!$D$19</f>
        <v>280</v>
      </c>
      <c r="E1030" s="23"/>
      <c r="F1030" s="23"/>
      <c r="G1030" s="23"/>
      <c r="H1030" s="23"/>
      <c r="I1030" s="23"/>
      <c r="J1030" s="23"/>
      <c r="K1030" s="23"/>
      <c r="L1030" s="49" t="s">
        <v>582</v>
      </c>
    </row>
    <row r="1031" customFormat="false" ht="15" hidden="true" customHeight="false" outlineLevel="1" collapsed="false">
      <c r="A1031" s="20" t="n">
        <v>38</v>
      </c>
      <c r="B1031" s="6" t="s">
        <v>584</v>
      </c>
      <c r="C1031" s="20" t="s">
        <v>142</v>
      </c>
      <c r="D1031" s="7" t="n">
        <f aca="false">План!$D$20</f>
        <v>230</v>
      </c>
      <c r="E1031" s="23"/>
      <c r="F1031" s="23"/>
      <c r="G1031" s="23"/>
      <c r="H1031" s="23"/>
      <c r="I1031" s="23"/>
      <c r="J1031" s="23"/>
      <c r="K1031" s="23"/>
      <c r="L1031" s="49" t="s">
        <v>582</v>
      </c>
    </row>
    <row r="1032" customFormat="false" ht="15" hidden="true" customHeight="false" outlineLevel="1" collapsed="false">
      <c r="A1032" s="20" t="n">
        <v>39</v>
      </c>
      <c r="B1032" s="6" t="s">
        <v>585</v>
      </c>
      <c r="C1032" s="20" t="s">
        <v>142</v>
      </c>
      <c r="D1032" s="7" t="n">
        <f aca="false">План!$D$21</f>
        <v>220</v>
      </c>
      <c r="E1032" s="23"/>
      <c r="F1032" s="23"/>
      <c r="G1032" s="23"/>
      <c r="H1032" s="23"/>
      <c r="I1032" s="23"/>
      <c r="J1032" s="23"/>
      <c r="K1032" s="23"/>
      <c r="L1032" s="49" t="s">
        <v>582</v>
      </c>
    </row>
    <row r="1033" customFormat="false" ht="15" hidden="true" customHeight="false" outlineLevel="1" collapsed="false">
      <c r="A1033" s="20" t="n">
        <v>40</v>
      </c>
      <c r="B1033" s="6" t="s">
        <v>586</v>
      </c>
      <c r="C1033" s="20" t="s">
        <v>142</v>
      </c>
      <c r="D1033" s="7" t="n">
        <f aca="false">План!$D$22</f>
        <v>250</v>
      </c>
      <c r="E1033" s="23"/>
      <c r="F1033" s="23"/>
      <c r="G1033" s="23"/>
      <c r="H1033" s="23"/>
      <c r="I1033" s="23"/>
      <c r="J1033" s="23"/>
      <c r="K1033" s="23"/>
      <c r="L1033" s="49" t="s">
        <v>582</v>
      </c>
    </row>
    <row r="1034" customFormat="false" ht="15" hidden="true" customHeight="false" outlineLevel="1" collapsed="false">
      <c r="A1034" s="20" t="n">
        <v>41</v>
      </c>
      <c r="B1034" s="6" t="s">
        <v>587</v>
      </c>
      <c r="C1034" s="20" t="s">
        <v>142</v>
      </c>
      <c r="D1034" s="7" t="n">
        <f aca="false">План!$D$23</f>
        <v>220</v>
      </c>
      <c r="E1034" s="23"/>
      <c r="F1034" s="23"/>
      <c r="G1034" s="23"/>
      <c r="H1034" s="23"/>
      <c r="I1034" s="23"/>
      <c r="J1034" s="23"/>
      <c r="K1034" s="23"/>
      <c r="L1034" s="49" t="s">
        <v>582</v>
      </c>
    </row>
    <row r="1035" customFormat="false" ht="15" hidden="true" customHeight="false" outlineLevel="1" collapsed="false">
      <c r="A1035" s="20" t="n">
        <v>42</v>
      </c>
      <c r="B1035" s="6" t="s">
        <v>359</v>
      </c>
      <c r="C1035" s="20" t="s">
        <v>76</v>
      </c>
      <c r="D1035" s="23"/>
      <c r="E1035" s="9" t="n">
        <f aca="false">План!E16</f>
        <v>0</v>
      </c>
      <c r="F1035" s="9" t="n">
        <f aca="false">План!F16</f>
        <v>0</v>
      </c>
      <c r="G1035" s="9" t="n">
        <f aca="false">План!G16</f>
        <v>0</v>
      </c>
      <c r="H1035" s="9" t="n">
        <f aca="false">План!H16</f>
        <v>1</v>
      </c>
      <c r="I1035" s="9" t="n">
        <f aca="false">План!I16</f>
        <v>0</v>
      </c>
      <c r="J1035" s="9" t="n">
        <f aca="false">План!J16</f>
        <v>1</v>
      </c>
      <c r="K1035" s="51" t="n">
        <f aca="false">SUM(F1035:J1035)</f>
        <v>2</v>
      </c>
      <c r="L1035" s="49" t="s">
        <v>582</v>
      </c>
    </row>
    <row r="1036" customFormat="false" ht="15" hidden="true" customHeight="false" outlineLevel="1" collapsed="false">
      <c r="A1036" s="20" t="n">
        <v>43</v>
      </c>
      <c r="B1036" s="6" t="s">
        <v>361</v>
      </c>
      <c r="C1036" s="20" t="s">
        <v>76</v>
      </c>
      <c r="D1036" s="23"/>
      <c r="E1036" s="9" t="n">
        <f aca="false">План!E17</f>
        <v>0</v>
      </c>
      <c r="F1036" s="9" t="n">
        <f aca="false">План!F17</f>
        <v>0</v>
      </c>
      <c r="G1036" s="9" t="n">
        <f aca="false">План!G17</f>
        <v>1</v>
      </c>
      <c r="H1036" s="9" t="n">
        <f aca="false">План!H17</f>
        <v>2</v>
      </c>
      <c r="I1036" s="9" t="n">
        <f aca="false">План!I17</f>
        <v>2</v>
      </c>
      <c r="J1036" s="9" t="n">
        <f aca="false">План!J17</f>
        <v>3</v>
      </c>
      <c r="K1036" s="51" t="n">
        <f aca="false">SUM(F1036:J1036)</f>
        <v>8</v>
      </c>
      <c r="L1036" s="49" t="s">
        <v>582</v>
      </c>
    </row>
    <row r="1037" customFormat="false" ht="15" hidden="true" customHeight="false" outlineLevel="1" collapsed="false">
      <c r="A1037" s="20" t="n">
        <v>44</v>
      </c>
      <c r="B1037" s="6" t="s">
        <v>588</v>
      </c>
      <c r="C1037" s="20" t="s">
        <v>53</v>
      </c>
      <c r="D1037" s="23"/>
      <c r="E1037" s="9" t="n">
        <f aca="false">План!E18</f>
        <v>2</v>
      </c>
      <c r="F1037" s="9" t="n">
        <f aca="false">План!F18</f>
        <v>2</v>
      </c>
      <c r="G1037" s="9" t="n">
        <f aca="false">План!G18</f>
        <v>2</v>
      </c>
      <c r="H1037" s="9" t="n">
        <f aca="false">План!H18</f>
        <v>2</v>
      </c>
      <c r="I1037" s="9" t="n">
        <f aca="false">План!I18</f>
        <v>2</v>
      </c>
      <c r="J1037" s="9" t="n">
        <f aca="false">План!J18</f>
        <v>2</v>
      </c>
      <c r="K1037" s="23"/>
      <c r="L1037" s="49" t="s">
        <v>582</v>
      </c>
    </row>
    <row r="1038" customFormat="false" ht="15" hidden="true" customHeight="false" outlineLevel="1" collapsed="false">
      <c r="A1038" s="20" t="n">
        <v>45</v>
      </c>
      <c r="B1038" s="6" t="s">
        <v>589</v>
      </c>
      <c r="C1038" s="20" t="s">
        <v>53</v>
      </c>
      <c r="D1038" s="23"/>
      <c r="E1038" s="9" t="n">
        <f aca="false">План!E19</f>
        <v>0</v>
      </c>
      <c r="F1038" s="9" t="n">
        <f aca="false">План!F19</f>
        <v>1</v>
      </c>
      <c r="G1038" s="9" t="n">
        <f aca="false">План!G19</f>
        <v>1</v>
      </c>
      <c r="H1038" s="9" t="n">
        <f aca="false">План!H19</f>
        <v>1</v>
      </c>
      <c r="I1038" s="9" t="n">
        <f aca="false">План!I19</f>
        <v>2</v>
      </c>
      <c r="J1038" s="9" t="n">
        <f aca="false">План!J19</f>
        <v>2</v>
      </c>
      <c r="K1038" s="23"/>
      <c r="L1038" s="49" t="s">
        <v>582</v>
      </c>
    </row>
    <row r="1039" customFormat="false" ht="15" hidden="true" customHeight="false" outlineLevel="1" collapsed="false">
      <c r="A1039" s="20" t="n">
        <v>46</v>
      </c>
      <c r="B1039" s="6" t="s">
        <v>590</v>
      </c>
      <c r="C1039" s="20" t="s">
        <v>53</v>
      </c>
      <c r="D1039" s="23"/>
      <c r="E1039" s="9" t="n">
        <f aca="false">План!E20</f>
        <v>0</v>
      </c>
      <c r="F1039" s="9" t="n">
        <f aca="false">План!F20</f>
        <v>1</v>
      </c>
      <c r="G1039" s="9" t="n">
        <f aca="false">План!G20</f>
        <v>1</v>
      </c>
      <c r="H1039" s="9" t="n">
        <f aca="false">План!H20</f>
        <v>1</v>
      </c>
      <c r="I1039" s="9" t="n">
        <f aca="false">План!I20</f>
        <v>1</v>
      </c>
      <c r="J1039" s="9" t="n">
        <f aca="false">План!J20</f>
        <v>1</v>
      </c>
      <c r="K1039" s="23"/>
      <c r="L1039" s="49" t="s">
        <v>582</v>
      </c>
    </row>
    <row r="1040" customFormat="false" ht="15" hidden="true" customHeight="false" outlineLevel="1" collapsed="false">
      <c r="A1040" s="20" t="n">
        <v>47</v>
      </c>
      <c r="B1040" s="6" t="s">
        <v>591</v>
      </c>
      <c r="C1040" s="20" t="s">
        <v>53</v>
      </c>
      <c r="D1040" s="23"/>
      <c r="E1040" s="9" t="n">
        <f aca="false">План!E21</f>
        <v>0</v>
      </c>
      <c r="F1040" s="9" t="n">
        <f aca="false">План!F21</f>
        <v>0</v>
      </c>
      <c r="G1040" s="9" t="n">
        <f aca="false">План!G21</f>
        <v>1</v>
      </c>
      <c r="H1040" s="9" t="n">
        <f aca="false">План!H21</f>
        <v>1</v>
      </c>
      <c r="I1040" s="9" t="n">
        <f aca="false">План!I21</f>
        <v>1</v>
      </c>
      <c r="J1040" s="9" t="n">
        <f aca="false">План!J21</f>
        <v>1</v>
      </c>
      <c r="K1040" s="23"/>
      <c r="L1040" s="49" t="s">
        <v>582</v>
      </c>
    </row>
    <row r="1041" customFormat="false" ht="15" hidden="true" customHeight="false" outlineLevel="1" collapsed="false">
      <c r="A1041" s="20" t="n">
        <v>48</v>
      </c>
      <c r="B1041" s="6" t="s">
        <v>592</v>
      </c>
      <c r="C1041" s="20" t="s">
        <v>53</v>
      </c>
      <c r="D1041" s="23"/>
      <c r="E1041" s="9" t="n">
        <f aca="false">План!E22</f>
        <v>0</v>
      </c>
      <c r="F1041" s="9" t="n">
        <f aca="false">План!F22</f>
        <v>0</v>
      </c>
      <c r="G1041" s="9" t="n">
        <f aca="false">План!G22</f>
        <v>0</v>
      </c>
      <c r="H1041" s="9" t="n">
        <f aca="false">План!H22</f>
        <v>1</v>
      </c>
      <c r="I1041" s="9" t="n">
        <f aca="false">План!I22</f>
        <v>1</v>
      </c>
      <c r="J1041" s="9" t="n">
        <f aca="false">План!J22</f>
        <v>1</v>
      </c>
      <c r="K1041" s="23"/>
      <c r="L1041" s="49" t="s">
        <v>582</v>
      </c>
    </row>
    <row r="1042" customFormat="false" ht="15" hidden="true" customHeight="false" outlineLevel="1" collapsed="false">
      <c r="A1042" s="20" t="n">
        <v>49</v>
      </c>
      <c r="B1042" s="6" t="s">
        <v>593</v>
      </c>
      <c r="C1042" s="20" t="s">
        <v>53</v>
      </c>
      <c r="D1042" s="23"/>
      <c r="E1042" s="9" t="n">
        <f aca="false">План!E23</f>
        <v>0</v>
      </c>
      <c r="F1042" s="9" t="n">
        <f aca="false">План!F23</f>
        <v>0</v>
      </c>
      <c r="G1042" s="9" t="n">
        <f aca="false">План!G23</f>
        <v>0</v>
      </c>
      <c r="H1042" s="9" t="n">
        <f aca="false">План!H23</f>
        <v>0</v>
      </c>
      <c r="I1042" s="9" t="n">
        <f aca="false">План!I23</f>
        <v>0</v>
      </c>
      <c r="J1042" s="9" t="n">
        <f aca="false">План!J23</f>
        <v>1</v>
      </c>
      <c r="K1042" s="23"/>
      <c r="L1042" s="49" t="s">
        <v>582</v>
      </c>
    </row>
    <row r="1043" customFormat="false" ht="15" hidden="true" customHeight="false" outlineLevel="1" collapsed="false">
      <c r="A1043" s="19" t="s">
        <v>594</v>
      </c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</row>
    <row r="1044" customFormat="false" ht="15" hidden="true" customHeight="false" outlineLevel="1" collapsed="false">
      <c r="A1044" s="20" t="n">
        <v>50</v>
      </c>
      <c r="B1044" s="6" t="s">
        <v>595</v>
      </c>
      <c r="C1044" s="20"/>
      <c r="D1044" s="23"/>
      <c r="E1044" s="10" t="n">
        <f aca="false">Допущения!$D$3</f>
        <v>2026</v>
      </c>
      <c r="F1044" s="52" t="n">
        <f aca="false">E1044+1</f>
        <v>2027</v>
      </c>
      <c r="G1044" s="52" t="n">
        <f aca="false">F1044+1</f>
        <v>2028</v>
      </c>
      <c r="H1044" s="52" t="n">
        <f aca="false">G1044+1</f>
        <v>2029</v>
      </c>
      <c r="I1044" s="52" t="n">
        <f aca="false">H1044+1</f>
        <v>2030</v>
      </c>
      <c r="J1044" s="52" t="n">
        <f aca="false">I1044+1</f>
        <v>2031</v>
      </c>
      <c r="K1044" s="23"/>
      <c r="L1044" s="49" t="s">
        <v>596</v>
      </c>
    </row>
    <row r="1045" customFormat="false" ht="15" hidden="true" customHeight="false" outlineLevel="1" collapsed="false">
      <c r="A1045" s="20" t="n">
        <v>51</v>
      </c>
      <c r="B1045" s="6" t="s">
        <v>597</v>
      </c>
      <c r="C1045" s="20" t="s">
        <v>62</v>
      </c>
      <c r="D1045" s="23"/>
      <c r="E1045" s="23"/>
      <c r="F1045" s="53" t="n">
        <f aca="false">(1+$D$1001)^(F$1044-$E$1044-1)</f>
        <v>1</v>
      </c>
      <c r="G1045" s="53" t="n">
        <f aca="false">(1+$D$1001)^(G$1044-$E$1044-1)</f>
        <v>1.05</v>
      </c>
      <c r="H1045" s="53" t="n">
        <f aca="false">(1+$D$1001)^(H$1044-$E$1044-1)</f>
        <v>1.1025</v>
      </c>
      <c r="I1045" s="53" t="n">
        <f aca="false">(1+$D$1001)^(I$1044-$E$1044-1)</f>
        <v>1.157625</v>
      </c>
      <c r="J1045" s="53" t="n">
        <f aca="false">(1+$D$1001)^(J$1044-$E$1044-1)</f>
        <v>1.21550625</v>
      </c>
      <c r="K1045" s="23"/>
      <c r="L1045" s="49" t="s">
        <v>598</v>
      </c>
    </row>
    <row r="1046" customFormat="false" ht="15" hidden="true" customHeight="false" outlineLevel="1" collapsed="false">
      <c r="A1046" s="20" t="n">
        <v>52</v>
      </c>
      <c r="B1046" s="6" t="s">
        <v>599</v>
      </c>
      <c r="C1046" s="20" t="s">
        <v>62</v>
      </c>
      <c r="D1046" s="23"/>
      <c r="E1046" s="23"/>
      <c r="F1046" s="53" t="n">
        <f aca="false">(1+$D$1019)^(F$1044-$E$1044-1)</f>
        <v>1</v>
      </c>
      <c r="G1046" s="53" t="n">
        <f aca="false">(1+$D$1019)^(G$1044-$E$1044-1)</f>
        <v>1.05</v>
      </c>
      <c r="H1046" s="53" t="n">
        <f aca="false">(1+$D$1019)^(H$1044-$E$1044-1)</f>
        <v>1.1025</v>
      </c>
      <c r="I1046" s="53" t="n">
        <f aca="false">(1+$D$1019)^(I$1044-$E$1044-1)</f>
        <v>1.157625</v>
      </c>
      <c r="J1046" s="53" t="n">
        <f aca="false">(1+$D$1019)^(J$1044-$E$1044-1)</f>
        <v>1.21550625</v>
      </c>
      <c r="K1046" s="23"/>
      <c r="L1046" s="49" t="s">
        <v>600</v>
      </c>
    </row>
    <row r="1047" customFormat="false" ht="15" hidden="true" customHeight="false" outlineLevel="1" collapsed="false">
      <c r="A1047" s="20" t="n">
        <v>53</v>
      </c>
      <c r="B1047" s="6" t="s">
        <v>601</v>
      </c>
      <c r="C1047" s="20" t="s">
        <v>62</v>
      </c>
      <c r="D1047" s="23"/>
      <c r="E1047" s="23"/>
      <c r="F1047" s="53" t="n">
        <f aca="false">(1+$D$1003)^(F$1044-$E$1044-1)</f>
        <v>1</v>
      </c>
      <c r="G1047" s="53" t="n">
        <f aca="false">(1+$D$1003)^(G$1044-$E$1044-1)</f>
        <v>1.07</v>
      </c>
      <c r="H1047" s="53" t="n">
        <f aca="false">(1+$D$1003)^(H$1044-$E$1044-1)</f>
        <v>1.1449</v>
      </c>
      <c r="I1047" s="53" t="n">
        <f aca="false">(1+$D$1003)^(I$1044-$E$1044-1)</f>
        <v>1.225043</v>
      </c>
      <c r="J1047" s="53" t="n">
        <f aca="false">(1+$D$1003)^(J$1044-$E$1044-1)</f>
        <v>1.31079601</v>
      </c>
      <c r="K1047" s="23"/>
      <c r="L1047" s="49" t="s">
        <v>602</v>
      </c>
    </row>
    <row r="1048" customFormat="false" ht="15" hidden="true" customHeight="false" outlineLevel="1" collapsed="false">
      <c r="A1048" s="20" t="n">
        <v>54</v>
      </c>
      <c r="B1048" s="6" t="s">
        <v>603</v>
      </c>
      <c r="C1048" s="20" t="s">
        <v>55</v>
      </c>
      <c r="D1048" s="23"/>
      <c r="E1048" s="23"/>
      <c r="F1048" s="46" t="n">
        <f aca="false">$D$1007*(1+$D$1008)^(F$1044-$E$1044)</f>
        <v>3.21732</v>
      </c>
      <c r="G1048" s="46" t="n">
        <f aca="false">$D$1007*(1+$D$1008)^(G$1044-$E$1044)</f>
        <v>3.4747056</v>
      </c>
      <c r="H1048" s="46" t="n">
        <f aca="false">$D$1007*(1+$D$1008)^(H$1044-$E$1044)</f>
        <v>3.752682048</v>
      </c>
      <c r="I1048" s="46" t="n">
        <f aca="false">$D$1007*(1+$D$1008)^(I$1044-$E$1044)</f>
        <v>4.05289661184</v>
      </c>
      <c r="J1048" s="46" t="n">
        <f aca="false">$D$1007*(1+$D$1008)^(J$1044-$E$1044)</f>
        <v>4.3771283407872</v>
      </c>
      <c r="K1048" s="23"/>
      <c r="L1048" s="49" t="s">
        <v>604</v>
      </c>
    </row>
    <row r="1049" customFormat="false" ht="15" hidden="true" customHeight="false" outlineLevel="1" collapsed="false">
      <c r="A1049" s="19" t="s">
        <v>605</v>
      </c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</row>
    <row r="1050" customFormat="false" ht="15" hidden="true" customHeight="false" outlineLevel="1" collapsed="false">
      <c r="A1050" s="20" t="n">
        <v>55</v>
      </c>
      <c r="B1050" s="6" t="s">
        <v>606</v>
      </c>
      <c r="C1050" s="20" t="s">
        <v>76</v>
      </c>
      <c r="D1050" s="23"/>
      <c r="E1050" s="23"/>
      <c r="F1050" s="38" t="n">
        <f aca="false">IF(F$1044=$D$994,1,0)</f>
        <v>1</v>
      </c>
      <c r="G1050" s="38" t="n">
        <f aca="false">IF(G$1044=$D$994,1,0)</f>
        <v>0</v>
      </c>
      <c r="H1050" s="38" t="n">
        <f aca="false">IF(H$1044=$D$994,1,0)</f>
        <v>0</v>
      </c>
      <c r="I1050" s="38" t="n">
        <f aca="false">IF(I$1044=$D$994,1,0)</f>
        <v>0</v>
      </c>
      <c r="J1050" s="38" t="n">
        <f aca="false">IF(J$1044=$D$994,1,0)</f>
        <v>0</v>
      </c>
      <c r="K1050" s="23"/>
      <c r="L1050" s="49" t="s">
        <v>607</v>
      </c>
    </row>
    <row r="1051" customFormat="false" ht="15" hidden="true" customHeight="false" outlineLevel="1" collapsed="false">
      <c r="A1051" s="20" t="n">
        <v>56</v>
      </c>
      <c r="B1051" s="6" t="s">
        <v>608</v>
      </c>
      <c r="C1051" s="20" t="s">
        <v>76</v>
      </c>
      <c r="D1051" s="23"/>
      <c r="E1051" s="38" t="n">
        <f aca="false">0</f>
        <v>0</v>
      </c>
      <c r="F1051" s="38" t="n">
        <f aca="false">F1050+F1035</f>
        <v>1</v>
      </c>
      <c r="G1051" s="38" t="n">
        <f aca="false">G1050+G1035</f>
        <v>0</v>
      </c>
      <c r="H1051" s="38" t="n">
        <f aca="false">H1050+H1035</f>
        <v>1</v>
      </c>
      <c r="I1051" s="38" t="n">
        <f aca="false">I1050+I1035</f>
        <v>0</v>
      </c>
      <c r="J1051" s="38" t="n">
        <f aca="false">J1050+J1035</f>
        <v>1</v>
      </c>
      <c r="K1051" s="54" t="n">
        <f aca="false">SUM(F1051:J1051)</f>
        <v>3</v>
      </c>
      <c r="L1051" s="49" t="s">
        <v>609</v>
      </c>
    </row>
    <row r="1052" customFormat="false" ht="15" hidden="true" customHeight="false" outlineLevel="1" collapsed="false">
      <c r="A1052" s="20" t="n">
        <v>57</v>
      </c>
      <c r="B1052" s="6" t="s">
        <v>610</v>
      </c>
      <c r="C1052" s="20" t="s">
        <v>76</v>
      </c>
      <c r="D1052" s="23"/>
      <c r="E1052" s="38" t="n">
        <f aca="false">0</f>
        <v>0</v>
      </c>
      <c r="F1052" s="38" t="n">
        <f aca="false">E1052+F1051</f>
        <v>1</v>
      </c>
      <c r="G1052" s="38" t="n">
        <f aca="false">F1052+G1051</f>
        <v>1</v>
      </c>
      <c r="H1052" s="38" t="n">
        <f aca="false">G1052+H1051</f>
        <v>2</v>
      </c>
      <c r="I1052" s="38" t="n">
        <f aca="false">H1052+I1051</f>
        <v>2</v>
      </c>
      <c r="J1052" s="38" t="n">
        <f aca="false">I1052+J1051</f>
        <v>3</v>
      </c>
      <c r="K1052" s="23"/>
      <c r="L1052" s="49" t="s">
        <v>611</v>
      </c>
    </row>
    <row r="1053" customFormat="false" ht="15" hidden="true" customHeight="false" outlineLevel="1" collapsed="false">
      <c r="A1053" s="20" t="n">
        <v>58</v>
      </c>
      <c r="B1053" s="6" t="s">
        <v>612</v>
      </c>
      <c r="C1053" s="20" t="s">
        <v>76</v>
      </c>
      <c r="D1053" s="23"/>
      <c r="E1053" s="38" t="n">
        <f aca="false">0</f>
        <v>0</v>
      </c>
      <c r="F1053" s="38" t="n">
        <f aca="false">E1053+F1036</f>
        <v>0</v>
      </c>
      <c r="G1053" s="38" t="n">
        <f aca="false">F1053+G1036</f>
        <v>1</v>
      </c>
      <c r="H1053" s="38" t="n">
        <f aca="false">G1053+H1036</f>
        <v>3</v>
      </c>
      <c r="I1053" s="38" t="n">
        <f aca="false">H1053+I1036</f>
        <v>5</v>
      </c>
      <c r="J1053" s="38" t="n">
        <f aca="false">I1053+J1036</f>
        <v>8</v>
      </c>
      <c r="K1053" s="23"/>
      <c r="L1053" s="49" t="s">
        <v>611</v>
      </c>
    </row>
    <row r="1054" customFormat="false" ht="15" hidden="true" customHeight="false" outlineLevel="1" collapsed="false">
      <c r="A1054" s="20" t="n">
        <v>59</v>
      </c>
      <c r="B1054" s="6" t="s">
        <v>613</v>
      </c>
      <c r="C1054" s="20" t="s">
        <v>76</v>
      </c>
      <c r="D1054" s="23"/>
      <c r="E1054" s="38" t="n">
        <f aca="false">0</f>
        <v>0</v>
      </c>
      <c r="F1054" s="38" t="n">
        <f aca="false">F1052+F1053</f>
        <v>1</v>
      </c>
      <c r="G1054" s="38" t="n">
        <f aca="false">G1052+G1053</f>
        <v>2</v>
      </c>
      <c r="H1054" s="38" t="n">
        <f aca="false">H1052+H1053</f>
        <v>5</v>
      </c>
      <c r="I1054" s="38" t="n">
        <f aca="false">I1052+I1053</f>
        <v>7</v>
      </c>
      <c r="J1054" s="38" t="n">
        <f aca="false">J1052+J1053</f>
        <v>11</v>
      </c>
      <c r="K1054" s="23"/>
      <c r="L1054" s="49" t="s">
        <v>614</v>
      </c>
    </row>
    <row r="1055" customFormat="false" ht="15" hidden="true" customHeight="false" outlineLevel="1" collapsed="false">
      <c r="A1055" s="20" t="n">
        <v>60</v>
      </c>
      <c r="B1055" s="6" t="s">
        <v>615</v>
      </c>
      <c r="C1055" s="20" t="s">
        <v>76</v>
      </c>
      <c r="D1055" s="23"/>
      <c r="E1055" s="23"/>
      <c r="F1055" s="38" t="n">
        <f aca="false">F1051+F1036</f>
        <v>1</v>
      </c>
      <c r="G1055" s="38" t="n">
        <f aca="false">G1051+G1036</f>
        <v>1</v>
      </c>
      <c r="H1055" s="38" t="n">
        <f aca="false">H1051+H1036</f>
        <v>3</v>
      </c>
      <c r="I1055" s="38" t="n">
        <f aca="false">I1051+I1036</f>
        <v>2</v>
      </c>
      <c r="J1055" s="38" t="n">
        <f aca="false">J1051+J1036</f>
        <v>4</v>
      </c>
      <c r="K1055" s="54" t="n">
        <f aca="false">SUM(F1055:J1055)</f>
        <v>11</v>
      </c>
      <c r="L1055" s="49"/>
    </row>
    <row r="1056" customFormat="false" ht="15" hidden="true" customHeight="false" outlineLevel="1" collapsed="false">
      <c r="A1056" s="19" t="s">
        <v>616</v>
      </c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</row>
    <row r="1057" customFormat="false" ht="15" hidden="true" customHeight="false" outlineLevel="1" collapsed="false">
      <c r="A1057" s="20" t="n">
        <v>61</v>
      </c>
      <c r="B1057" s="6" t="s">
        <v>617</v>
      </c>
      <c r="C1057" s="20" t="s">
        <v>71</v>
      </c>
      <c r="D1057" s="23"/>
      <c r="E1057" s="23"/>
      <c r="F1057" s="40" t="n">
        <f aca="false">IF(F$1044&gt;$D$994,($D$996+$D$995*$D$997)*(1+$D$1002)^(F$1044-$D$994-1)*F1045,0)</f>
        <v>0</v>
      </c>
      <c r="G1057" s="40" t="n">
        <f aca="false">IF(G$1044&gt;$D$994,($D$996+$D$995*$D$997)*(1+$D$1002)^(G$1044-$D$994-1)*G1045,0)</f>
        <v>15.75</v>
      </c>
      <c r="H1057" s="40" t="n">
        <f aca="false">IF(H$1044&gt;$D$994,($D$996+$D$995*$D$997)*(1+$D$1002)^(H$1044-$D$994-1)*H1045,0)</f>
        <v>19.018125</v>
      </c>
      <c r="I1057" s="40" t="n">
        <f aca="false">IF(I$1044&gt;$D$994,($D$996+$D$995*$D$997)*(1+$D$1002)^(I$1044-$D$994-1)*I1045,0)</f>
        <v>22.9643859375</v>
      </c>
      <c r="J1057" s="40" t="n">
        <f aca="false">IF(J$1044&gt;$D$994,($D$996+$D$995*$D$997)*(1+$D$1002)^(J$1044-$D$994-1)*J1045,0)</f>
        <v>27.7294960195313</v>
      </c>
      <c r="K1057" s="51" t="n">
        <f aca="false">SUM(F1057:J1057)</f>
        <v>85.4620069570313</v>
      </c>
      <c r="L1057" s="49" t="s">
        <v>618</v>
      </c>
    </row>
    <row r="1058" customFormat="false" ht="15" hidden="true" customHeight="false" outlineLevel="1" collapsed="false">
      <c r="A1058" s="20" t="n">
        <v>62</v>
      </c>
      <c r="B1058" s="6" t="s">
        <v>619</v>
      </c>
      <c r="C1058" s="20" t="s">
        <v>71</v>
      </c>
      <c r="D1058" s="23"/>
      <c r="E1058" s="23"/>
      <c r="F1058" s="40" t="n">
        <f aca="false">($D$996+$D$1027*$D$997)*F1045*SUMPRODUCT($E$1035:E$1035,(1+$D$1002)^(F$1044-$E$1044:E$1044-1))</f>
        <v>0</v>
      </c>
      <c r="G1058" s="40" t="n">
        <f aca="false">($D$996+$D$1027*$D$997)*G1045*SUMPRODUCT($E$1035:F$1035,(1+$D$1002)^(G$1044-$E$1044:F$1044-1))</f>
        <v>0</v>
      </c>
      <c r="H1058" s="40" t="n">
        <f aca="false">($D$996+$D$1027*$D$997)*H1045*SUMPRODUCT($E$1035:G$1035,(1+$D$1002)^(H$1044-$E$1044:G$1044-1))</f>
        <v>0</v>
      </c>
      <c r="I1058" s="40" t="n">
        <f aca="false">($D$996+$D$1027*$D$997)*I1045*SUMPRODUCT($E$1035:H$1035,(1+$D$1002)^(I$1044-$E$1044:H$1044-1))</f>
        <v>9.78719318181818</v>
      </c>
      <c r="J1058" s="40" t="n">
        <f aca="false">($D$996+$D$1027*$D$997)*J1045*SUMPRODUCT($E$1035:I$1035,(1+$D$1002)^(J$1044-$E$1044:I$1044-1))</f>
        <v>11.8180357670455</v>
      </c>
      <c r="K1058" s="51" t="n">
        <f aca="false">SUM(F1058:J1058)</f>
        <v>21.6052289488636</v>
      </c>
      <c r="L1058" s="49" t="s">
        <v>620</v>
      </c>
    </row>
    <row r="1059" customFormat="false" ht="15" hidden="true" customHeight="false" outlineLevel="1" collapsed="false">
      <c r="A1059" s="20" t="n">
        <v>63</v>
      </c>
      <c r="B1059" s="6" t="s">
        <v>621</v>
      </c>
      <c r="C1059" s="20" t="s">
        <v>71</v>
      </c>
      <c r="D1059" s="23"/>
      <c r="E1059" s="23"/>
      <c r="F1059" s="40" t="n">
        <f aca="false">($D$998+$D$1028*$D$997)*F1045*SUMPRODUCT($E$1036:E$1036,(1+$D$1002)^(F$1044-$E$1044:E$1044-1))</f>
        <v>0</v>
      </c>
      <c r="G1059" s="40" t="n">
        <f aca="false">($D$998+$D$1028*$D$997)*G1045*SUMPRODUCT($E$1036:F$1036,(1+$D$1002)^(G$1044-$E$1044:F$1044-1))</f>
        <v>0</v>
      </c>
      <c r="H1059" s="40" t="n">
        <f aca="false">($D$998+$D$1028*$D$997)*H1045*SUMPRODUCT($E$1036:G$1036,(1+$D$1002)^(H$1044-$E$1044:G$1044-1))</f>
        <v>1.8087890625</v>
      </c>
      <c r="I1059" s="40" t="n">
        <f aca="false">($D$998+$D$1028*$D$997)*I1045*SUMPRODUCT($E$1036:H$1036,(1+$D$1002)^(I$1044-$E$1044:H$1044-1))</f>
        <v>5.98256982421875</v>
      </c>
      <c r="J1059" s="40" t="n">
        <f aca="false">($D$998+$D$1028*$D$997)*J1045*SUMPRODUCT($E$1036:I$1036,(1+$D$1002)^(J$1044-$E$1044:I$1044-1))</f>
        <v>11.2123329455566</v>
      </c>
      <c r="K1059" s="51" t="n">
        <f aca="false">SUM(F1059:J1059)</f>
        <v>19.0036918322754</v>
      </c>
      <c r="L1059" s="49" t="s">
        <v>622</v>
      </c>
    </row>
    <row r="1060" customFormat="false" ht="15" hidden="true" customHeight="false" outlineLevel="1" collapsed="false">
      <c r="A1060" s="20" t="n">
        <v>64</v>
      </c>
      <c r="B1060" s="6" t="s">
        <v>623</v>
      </c>
      <c r="C1060" s="20" t="s">
        <v>71</v>
      </c>
      <c r="D1060" s="23"/>
      <c r="E1060" s="23"/>
      <c r="F1060" s="40" t="n">
        <f aca="false">(F1051*$D$999+F1036*$D$1000)*F1045</f>
        <v>6.4</v>
      </c>
      <c r="G1060" s="40" t="n">
        <f aca="false">(G1051*$D$999+G1036*$D$1000)*G1045</f>
        <v>1.68</v>
      </c>
      <c r="H1060" s="40" t="n">
        <f aca="false">(H1051*$D$999+H1036*$D$1000)*H1045</f>
        <v>10.584</v>
      </c>
      <c r="I1060" s="40" t="n">
        <f aca="false">(I1051*$D$999+I1036*$D$1000)*I1045</f>
        <v>3.7044</v>
      </c>
      <c r="J1060" s="40" t="n">
        <f aca="false">(J1051*$D$999+J1036*$D$1000)*J1045</f>
        <v>13.61367</v>
      </c>
      <c r="K1060" s="51" t="n">
        <f aca="false">SUM(F1060:J1060)</f>
        <v>35.98207</v>
      </c>
      <c r="L1060" s="49" t="s">
        <v>624</v>
      </c>
    </row>
    <row r="1061" customFormat="false" ht="15" hidden="true" customHeight="false" outlineLevel="1" collapsed="false">
      <c r="A1061" s="20" t="n">
        <v>65</v>
      </c>
      <c r="B1061" s="6" t="s">
        <v>625</v>
      </c>
      <c r="C1061" s="20" t="s">
        <v>71</v>
      </c>
      <c r="D1061" s="23"/>
      <c r="E1061" s="23"/>
      <c r="F1061" s="40" t="n">
        <f aca="false">F1057+F1058+F1059</f>
        <v>0</v>
      </c>
      <c r="G1061" s="40" t="n">
        <f aca="false">G1057+G1058+G1059</f>
        <v>15.75</v>
      </c>
      <c r="H1061" s="40" t="n">
        <f aca="false">H1057+H1058+H1059</f>
        <v>20.8269140625</v>
      </c>
      <c r="I1061" s="40" t="n">
        <f aca="false">I1057+I1058+I1059</f>
        <v>38.7341489435369</v>
      </c>
      <c r="J1061" s="40" t="n">
        <f aca="false">J1057+J1058+J1059</f>
        <v>50.7598647321333</v>
      </c>
      <c r="K1061" s="51" t="n">
        <f aca="false">SUM(F1061:J1061)</f>
        <v>126.07092773817</v>
      </c>
      <c r="L1061" s="49"/>
    </row>
    <row r="1062" customFormat="false" ht="15" hidden="true" customHeight="false" outlineLevel="1" collapsed="false">
      <c r="A1062" s="20" t="n">
        <v>66</v>
      </c>
      <c r="B1062" s="6" t="s">
        <v>91</v>
      </c>
      <c r="C1062" s="20" t="s">
        <v>71</v>
      </c>
      <c r="D1062" s="23"/>
      <c r="E1062" s="23"/>
      <c r="F1062" s="40" t="n">
        <f aca="false">F1061+F1060</f>
        <v>6.4</v>
      </c>
      <c r="G1062" s="40" t="n">
        <f aca="false">G1061+G1060</f>
        <v>17.43</v>
      </c>
      <c r="H1062" s="40" t="n">
        <f aca="false">H1061+H1060</f>
        <v>31.4109140625</v>
      </c>
      <c r="I1062" s="40" t="n">
        <f aca="false">I1061+I1060</f>
        <v>42.4385489435369</v>
      </c>
      <c r="J1062" s="40" t="n">
        <f aca="false">J1061+J1060</f>
        <v>64.3735347321334</v>
      </c>
      <c r="K1062" s="51" t="n">
        <f aca="false">SUM(F1062:J1062)</f>
        <v>162.05299773817</v>
      </c>
      <c r="L1062" s="49" t="s">
        <v>626</v>
      </c>
    </row>
    <row r="1063" customFormat="false" ht="15" hidden="true" customHeight="false" outlineLevel="1" collapsed="false">
      <c r="A1063" s="20" t="n">
        <v>67</v>
      </c>
      <c r="B1063" s="6" t="s">
        <v>627</v>
      </c>
      <c r="C1063" s="20" t="s">
        <v>55</v>
      </c>
      <c r="D1063" s="23"/>
      <c r="E1063" s="23"/>
      <c r="F1063" s="40" t="n">
        <f aca="false">IF(F$1044&gt;=$D$994,($D$996+$D$995*$D$997)*(1+$D$1002)^(F$1044-$D$994)*F1045,0)+($D$996+$D$1027*$D$997)*F1045*SUMPRODUCT($E$1035:F$1035,(1+$D$1002)^(F$1044-$E$1044:F$1044))+($D$998+$D$1028*$D$997)*F1045*SUMPRODUCT($E$1036:F$1036,(1+$D$1002)^(F$1044-$E$1044:F$1044))</f>
        <v>15</v>
      </c>
      <c r="G1063" s="40" t="n">
        <f aca="false">IF(G$1044&gt;=$D$994,($D$996+$D$995*$D$997)*(1+$D$1002)^(G$1044-$D$994)*G1045,0)+($D$996+$D$1027*$D$997)*G1045*SUMPRODUCT($E$1035:G$1035,(1+$D$1002)^(G$1044-$E$1044:G$1044))+($D$998+$D$1028*$D$997)*G1045*SUMPRODUCT($E$1036:G$1036,(1+$D$1002)^(G$1044-$E$1044:G$1044))</f>
        <v>19.83515625</v>
      </c>
      <c r="H1063" s="40" t="n">
        <f aca="false">IF(H$1044&gt;=$D$994,($D$996+$D$995*$D$997)*(1+$D$1002)^(H$1044-$D$994)*H1045,0)+($D$996+$D$1027*$D$997)*H1045*SUMPRODUCT($E$1035:H$1035,(1+$D$1002)^(H$1044-$E$1044:H$1044))+($D$998+$D$1028*$D$997)*H1045*SUMPRODUCT($E$1036:H$1036,(1+$D$1002)^(H$1044-$E$1044:H$1044))</f>
        <v>36.8896656605114</v>
      </c>
      <c r="I1063" s="40" t="n">
        <f aca="false">IF(I$1044&gt;=$D$994,($D$996+$D$995*$D$997)*(1+$D$1002)^(I$1044-$D$994)*I1045,0)+($D$996+$D$1027*$D$997)*I1045*SUMPRODUCT($E$1035:I$1035,(1+$D$1002)^(I$1044-$E$1044:I$1044))+($D$998+$D$1028*$D$997)*I1045*SUMPRODUCT($E$1036:I$1036,(1+$D$1002)^(I$1044-$E$1044:I$1044))</f>
        <v>48.3427283163175</v>
      </c>
      <c r="J1063" s="40" t="n">
        <f aca="false">IF(J$1044&gt;=$D$994,($D$996+$D$995*$D$997)*(1+$D$1002)^(J$1044-$D$994)*J1045,0)+($D$996+$D$1027*$D$997)*J1045*SUMPRODUCT($E$1035:J$1035,(1+$D$1002)^(J$1044-$E$1044:J$1044))+($D$998+$D$1028*$D$997)*J1045*SUMPRODUCT($E$1036:J$1036,(1+$D$1002)^(J$1044-$E$1044:J$1044))</f>
        <v>74.6329671070812</v>
      </c>
      <c r="K1063" s="23"/>
      <c r="L1063" s="49" t="s">
        <v>628</v>
      </c>
    </row>
    <row r="1064" customFormat="false" ht="15" hidden="true" customHeight="false" outlineLevel="1" collapsed="false">
      <c r="A1064" s="19" t="s">
        <v>629</v>
      </c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</row>
    <row r="1065" customFormat="false" ht="15" hidden="true" customHeight="false" outlineLevel="1" collapsed="false">
      <c r="A1065" s="20" t="n">
        <v>68</v>
      </c>
      <c r="B1065" s="6" t="s">
        <v>630</v>
      </c>
      <c r="C1065" s="20" t="s">
        <v>53</v>
      </c>
      <c r="D1065" s="23"/>
      <c r="E1065" s="40" t="n">
        <f aca="false">E1037+E1038+E1039+E1040+E1041+E1042</f>
        <v>2</v>
      </c>
      <c r="F1065" s="40" t="n">
        <f aca="false">F1037+F1038+F1039+F1040+F1041+F1042</f>
        <v>4</v>
      </c>
      <c r="G1065" s="40" t="n">
        <f aca="false">G1037+G1038+G1039+G1040+G1041+G1042</f>
        <v>5</v>
      </c>
      <c r="H1065" s="40" t="n">
        <f aca="false">H1037+H1038+H1039+H1040+H1041+H1042</f>
        <v>6</v>
      </c>
      <c r="I1065" s="40" t="n">
        <f aca="false">I1037+I1038+I1039+I1040+I1041+I1042</f>
        <v>7</v>
      </c>
      <c r="J1065" s="40" t="n">
        <f aca="false">J1037+J1038+J1039+J1040+J1041+J1042</f>
        <v>8</v>
      </c>
      <c r="K1065" s="23"/>
      <c r="L1065" s="49" t="s">
        <v>631</v>
      </c>
    </row>
    <row r="1066" customFormat="false" ht="15" hidden="true" customHeight="false" outlineLevel="1" collapsed="false">
      <c r="A1066" s="20" t="n">
        <v>69</v>
      </c>
      <c r="B1066" s="6" t="s">
        <v>632</v>
      </c>
      <c r="C1066" s="20" t="s">
        <v>53</v>
      </c>
      <c r="D1066" s="23"/>
      <c r="E1066" s="23"/>
      <c r="F1066" s="40" t="n">
        <f aca="false">MAX(0,F1065-E1065)</f>
        <v>2</v>
      </c>
      <c r="G1066" s="40" t="n">
        <f aca="false">MAX(0,G1065-F1065)</f>
        <v>1</v>
      </c>
      <c r="H1066" s="40" t="n">
        <f aca="false">MAX(0,H1065-G1065)</f>
        <v>1</v>
      </c>
      <c r="I1066" s="40" t="n">
        <f aca="false">MAX(0,I1065-H1065)</f>
        <v>1</v>
      </c>
      <c r="J1066" s="40" t="n">
        <f aca="false">MAX(0,J1065-I1065)</f>
        <v>1</v>
      </c>
      <c r="K1066" s="23"/>
      <c r="L1066" s="49" t="s">
        <v>633</v>
      </c>
    </row>
    <row r="1067" customFormat="false" ht="15" hidden="true" customHeight="false" outlineLevel="1" collapsed="false">
      <c r="A1067" s="20" t="n">
        <v>70</v>
      </c>
      <c r="B1067" s="6" t="s">
        <v>634</v>
      </c>
      <c r="C1067" s="20" t="s">
        <v>71</v>
      </c>
      <c r="D1067" s="23"/>
      <c r="E1067" s="23"/>
      <c r="F1067" s="41" t="n">
        <f aca="false">$D$1029*12/1000*F1047</f>
        <v>2.4</v>
      </c>
      <c r="G1067" s="41" t="n">
        <f aca="false">$D$1029*12/1000*G1047</f>
        <v>2.568</v>
      </c>
      <c r="H1067" s="41" t="n">
        <f aca="false">$D$1029*12/1000*H1047</f>
        <v>2.74776</v>
      </c>
      <c r="I1067" s="41" t="n">
        <f aca="false">$D$1029*12/1000*I1047</f>
        <v>2.9401032</v>
      </c>
      <c r="J1067" s="41" t="n">
        <f aca="false">$D$1029*12/1000*J1047</f>
        <v>3.145910424</v>
      </c>
      <c r="K1067" s="23"/>
      <c r="L1067" s="49" t="s">
        <v>635</v>
      </c>
    </row>
    <row r="1068" customFormat="false" ht="15" hidden="true" customHeight="false" outlineLevel="1" collapsed="false">
      <c r="A1068" s="20" t="n">
        <v>71</v>
      </c>
      <c r="B1068" s="6" t="s">
        <v>636</v>
      </c>
      <c r="C1068" s="20" t="s">
        <v>71</v>
      </c>
      <c r="D1068" s="23"/>
      <c r="E1068" s="23"/>
      <c r="F1068" s="41" t="n">
        <f aca="false">$D$1030*12/1000*F1047</f>
        <v>3.36</v>
      </c>
      <c r="G1068" s="41" t="n">
        <f aca="false">$D$1030*12/1000*G1047</f>
        <v>3.5952</v>
      </c>
      <c r="H1068" s="41" t="n">
        <f aca="false">$D$1030*12/1000*H1047</f>
        <v>3.846864</v>
      </c>
      <c r="I1068" s="41" t="n">
        <f aca="false">$D$1030*12/1000*I1047</f>
        <v>4.11614448</v>
      </c>
      <c r="J1068" s="41" t="n">
        <f aca="false">$D$1030*12/1000*J1047</f>
        <v>4.4042745936</v>
      </c>
      <c r="K1068" s="23"/>
      <c r="L1068" s="49" t="s">
        <v>635</v>
      </c>
    </row>
    <row r="1069" customFormat="false" ht="15" hidden="true" customHeight="false" outlineLevel="1" collapsed="false">
      <c r="A1069" s="20" t="n">
        <v>72</v>
      </c>
      <c r="B1069" s="6" t="s">
        <v>637</v>
      </c>
      <c r="C1069" s="20" t="s">
        <v>71</v>
      </c>
      <c r="D1069" s="23"/>
      <c r="E1069" s="23"/>
      <c r="F1069" s="41" t="n">
        <f aca="false">$D$1031*12/1000*F1047</f>
        <v>2.76</v>
      </c>
      <c r="G1069" s="41" t="n">
        <f aca="false">$D$1031*12/1000*G1047</f>
        <v>2.9532</v>
      </c>
      <c r="H1069" s="41" t="n">
        <f aca="false">$D$1031*12/1000*H1047</f>
        <v>3.159924</v>
      </c>
      <c r="I1069" s="41" t="n">
        <f aca="false">$D$1031*12/1000*I1047</f>
        <v>3.38111868</v>
      </c>
      <c r="J1069" s="41" t="n">
        <f aca="false">$D$1031*12/1000*J1047</f>
        <v>3.6177969876</v>
      </c>
      <c r="K1069" s="23"/>
      <c r="L1069" s="49" t="s">
        <v>635</v>
      </c>
    </row>
    <row r="1070" customFormat="false" ht="15" hidden="true" customHeight="false" outlineLevel="1" collapsed="false">
      <c r="A1070" s="20" t="n">
        <v>73</v>
      </c>
      <c r="B1070" s="6" t="s">
        <v>638</v>
      </c>
      <c r="C1070" s="20" t="s">
        <v>71</v>
      </c>
      <c r="D1070" s="23"/>
      <c r="E1070" s="23"/>
      <c r="F1070" s="41" t="n">
        <f aca="false">$D$1032*12/1000*F1047</f>
        <v>2.64</v>
      </c>
      <c r="G1070" s="41" t="n">
        <f aca="false">$D$1032*12/1000*G1047</f>
        <v>2.8248</v>
      </c>
      <c r="H1070" s="41" t="n">
        <f aca="false">$D$1032*12/1000*H1047</f>
        <v>3.022536</v>
      </c>
      <c r="I1070" s="41" t="n">
        <f aca="false">$D$1032*12/1000*I1047</f>
        <v>3.23411352</v>
      </c>
      <c r="J1070" s="41" t="n">
        <f aca="false">$D$1032*12/1000*J1047</f>
        <v>3.4605014664</v>
      </c>
      <c r="K1070" s="23"/>
      <c r="L1070" s="49" t="s">
        <v>635</v>
      </c>
    </row>
    <row r="1071" customFormat="false" ht="15" hidden="true" customHeight="false" outlineLevel="1" collapsed="false">
      <c r="A1071" s="20" t="n">
        <v>74</v>
      </c>
      <c r="B1071" s="6" t="s">
        <v>639</v>
      </c>
      <c r="C1071" s="20" t="s">
        <v>71</v>
      </c>
      <c r="D1071" s="23"/>
      <c r="E1071" s="23"/>
      <c r="F1071" s="41" t="n">
        <f aca="false">$D$1033*12/1000*F1047</f>
        <v>3</v>
      </c>
      <c r="G1071" s="41" t="n">
        <f aca="false">$D$1033*12/1000*G1047</f>
        <v>3.21</v>
      </c>
      <c r="H1071" s="41" t="n">
        <f aca="false">$D$1033*12/1000*H1047</f>
        <v>3.4347</v>
      </c>
      <c r="I1071" s="41" t="n">
        <f aca="false">$D$1033*12/1000*I1047</f>
        <v>3.675129</v>
      </c>
      <c r="J1071" s="41" t="n">
        <f aca="false">$D$1033*12/1000*J1047</f>
        <v>3.93238803</v>
      </c>
      <c r="K1071" s="23"/>
      <c r="L1071" s="49" t="s">
        <v>635</v>
      </c>
    </row>
    <row r="1072" customFormat="false" ht="15" hidden="true" customHeight="false" outlineLevel="1" collapsed="false">
      <c r="A1072" s="20" t="n">
        <v>75</v>
      </c>
      <c r="B1072" s="6" t="s">
        <v>640</v>
      </c>
      <c r="C1072" s="20" t="s">
        <v>71</v>
      </c>
      <c r="D1072" s="23"/>
      <c r="E1072" s="23"/>
      <c r="F1072" s="41" t="n">
        <f aca="false">$D$1034*12/1000*F1047</f>
        <v>2.64</v>
      </c>
      <c r="G1072" s="41" t="n">
        <f aca="false">$D$1034*12/1000*G1047</f>
        <v>2.8248</v>
      </c>
      <c r="H1072" s="41" t="n">
        <f aca="false">$D$1034*12/1000*H1047</f>
        <v>3.022536</v>
      </c>
      <c r="I1072" s="41" t="n">
        <f aca="false">$D$1034*12/1000*I1047</f>
        <v>3.23411352</v>
      </c>
      <c r="J1072" s="41" t="n">
        <f aca="false">$D$1034*12/1000*J1047</f>
        <v>3.4605014664</v>
      </c>
      <c r="K1072" s="23"/>
      <c r="L1072" s="49" t="s">
        <v>635</v>
      </c>
    </row>
    <row r="1073" customFormat="false" ht="15" hidden="true" customHeight="false" outlineLevel="1" collapsed="false">
      <c r="A1073" s="20" t="n">
        <v>76</v>
      </c>
      <c r="B1073" s="6" t="s">
        <v>641</v>
      </c>
      <c r="C1073" s="20" t="s">
        <v>71</v>
      </c>
      <c r="D1073" s="23"/>
      <c r="E1073" s="23"/>
      <c r="F1073" s="40" t="n">
        <f aca="false">F1037*F1067</f>
        <v>4.8</v>
      </c>
      <c r="G1073" s="40" t="n">
        <f aca="false">G1037*G1067</f>
        <v>5.136</v>
      </c>
      <c r="H1073" s="40" t="n">
        <f aca="false">H1037*H1067</f>
        <v>5.49552</v>
      </c>
      <c r="I1073" s="40" t="n">
        <f aca="false">I1037*I1067</f>
        <v>5.8802064</v>
      </c>
      <c r="J1073" s="40" t="n">
        <f aca="false">J1037*J1067</f>
        <v>6.291820848</v>
      </c>
      <c r="K1073" s="51" t="n">
        <f aca="false">SUM(F1073:J1073)</f>
        <v>27.603547248</v>
      </c>
      <c r="L1073" s="49" t="s">
        <v>642</v>
      </c>
    </row>
    <row r="1074" customFormat="false" ht="15" hidden="true" customHeight="false" outlineLevel="1" collapsed="false">
      <c r="A1074" s="20" t="n">
        <v>77</v>
      </c>
      <c r="B1074" s="6" t="s">
        <v>643</v>
      </c>
      <c r="C1074" s="20" t="s">
        <v>71</v>
      </c>
      <c r="D1074" s="23"/>
      <c r="E1074" s="23"/>
      <c r="F1074" s="40" t="n">
        <f aca="false">F1038*F1068</f>
        <v>3.36</v>
      </c>
      <c r="G1074" s="40" t="n">
        <f aca="false">G1038*G1068</f>
        <v>3.5952</v>
      </c>
      <c r="H1074" s="40" t="n">
        <f aca="false">H1038*H1068</f>
        <v>3.846864</v>
      </c>
      <c r="I1074" s="40" t="n">
        <f aca="false">I1038*I1068</f>
        <v>8.23228896</v>
      </c>
      <c r="J1074" s="40" t="n">
        <f aca="false">J1038*J1068</f>
        <v>8.8085491872</v>
      </c>
      <c r="K1074" s="51" t="n">
        <f aca="false">SUM(F1074:J1074)</f>
        <v>27.8429021472</v>
      </c>
      <c r="L1074" s="49" t="s">
        <v>642</v>
      </c>
    </row>
    <row r="1075" customFormat="false" ht="15" hidden="true" customHeight="false" outlineLevel="1" collapsed="false">
      <c r="A1075" s="20" t="n">
        <v>78</v>
      </c>
      <c r="B1075" s="6" t="s">
        <v>644</v>
      </c>
      <c r="C1075" s="20" t="s">
        <v>71</v>
      </c>
      <c r="D1075" s="23"/>
      <c r="E1075" s="23"/>
      <c r="F1075" s="40" t="n">
        <f aca="false">F1039*F1069</f>
        <v>2.76</v>
      </c>
      <c r="G1075" s="40" t="n">
        <f aca="false">G1039*G1069</f>
        <v>2.9532</v>
      </c>
      <c r="H1075" s="40" t="n">
        <f aca="false">H1039*H1069</f>
        <v>3.159924</v>
      </c>
      <c r="I1075" s="40" t="n">
        <f aca="false">I1039*I1069</f>
        <v>3.38111868</v>
      </c>
      <c r="J1075" s="40" t="n">
        <f aca="false">J1039*J1069</f>
        <v>3.6177969876</v>
      </c>
      <c r="K1075" s="51" t="n">
        <f aca="false">SUM(F1075:J1075)</f>
        <v>15.8720396676</v>
      </c>
      <c r="L1075" s="49" t="s">
        <v>642</v>
      </c>
    </row>
    <row r="1076" customFormat="false" ht="15" hidden="true" customHeight="false" outlineLevel="1" collapsed="false">
      <c r="A1076" s="20" t="n">
        <v>79</v>
      </c>
      <c r="B1076" s="6" t="s">
        <v>645</v>
      </c>
      <c r="C1076" s="20" t="s">
        <v>71</v>
      </c>
      <c r="D1076" s="23"/>
      <c r="E1076" s="23"/>
      <c r="F1076" s="40" t="n">
        <f aca="false">F1040*F1070</f>
        <v>0</v>
      </c>
      <c r="G1076" s="40" t="n">
        <f aca="false">G1040*G1070</f>
        <v>2.8248</v>
      </c>
      <c r="H1076" s="40" t="n">
        <f aca="false">H1040*H1070</f>
        <v>3.022536</v>
      </c>
      <c r="I1076" s="40" t="n">
        <f aca="false">I1040*I1070</f>
        <v>3.23411352</v>
      </c>
      <c r="J1076" s="40" t="n">
        <f aca="false">J1040*J1070</f>
        <v>3.4605014664</v>
      </c>
      <c r="K1076" s="51" t="n">
        <f aca="false">SUM(F1076:J1076)</f>
        <v>12.5419509864</v>
      </c>
      <c r="L1076" s="49" t="s">
        <v>642</v>
      </c>
    </row>
    <row r="1077" customFormat="false" ht="15" hidden="true" customHeight="false" outlineLevel="1" collapsed="false">
      <c r="A1077" s="20" t="n">
        <v>80</v>
      </c>
      <c r="B1077" s="6" t="s">
        <v>646</v>
      </c>
      <c r="C1077" s="20" t="s">
        <v>71</v>
      </c>
      <c r="D1077" s="23"/>
      <c r="E1077" s="23"/>
      <c r="F1077" s="40" t="n">
        <f aca="false">F1041*F1071</f>
        <v>0</v>
      </c>
      <c r="G1077" s="40" t="n">
        <f aca="false">G1041*G1071</f>
        <v>0</v>
      </c>
      <c r="H1077" s="40" t="n">
        <f aca="false">H1041*H1071</f>
        <v>3.4347</v>
      </c>
      <c r="I1077" s="40" t="n">
        <f aca="false">I1041*I1071</f>
        <v>3.675129</v>
      </c>
      <c r="J1077" s="40" t="n">
        <f aca="false">J1041*J1071</f>
        <v>3.93238803</v>
      </c>
      <c r="K1077" s="51" t="n">
        <f aca="false">SUM(F1077:J1077)</f>
        <v>11.04221703</v>
      </c>
      <c r="L1077" s="49" t="s">
        <v>642</v>
      </c>
    </row>
    <row r="1078" customFormat="false" ht="15" hidden="true" customHeight="false" outlineLevel="1" collapsed="false">
      <c r="A1078" s="20" t="n">
        <v>81</v>
      </c>
      <c r="B1078" s="6" t="s">
        <v>647</v>
      </c>
      <c r="C1078" s="20" t="s">
        <v>71</v>
      </c>
      <c r="D1078" s="23"/>
      <c r="E1078" s="23"/>
      <c r="F1078" s="40" t="n">
        <f aca="false">F1042*F1072</f>
        <v>0</v>
      </c>
      <c r="G1078" s="40" t="n">
        <f aca="false">G1042*G1072</f>
        <v>0</v>
      </c>
      <c r="H1078" s="40" t="n">
        <f aca="false">H1042*H1072</f>
        <v>0</v>
      </c>
      <c r="I1078" s="40" t="n">
        <f aca="false">I1042*I1072</f>
        <v>0</v>
      </c>
      <c r="J1078" s="40" t="n">
        <f aca="false">J1042*J1072</f>
        <v>3.4605014664</v>
      </c>
      <c r="K1078" s="51" t="n">
        <f aca="false">SUM(F1078:J1078)</f>
        <v>3.4605014664</v>
      </c>
      <c r="L1078" s="49" t="s">
        <v>642</v>
      </c>
    </row>
    <row r="1079" customFormat="false" ht="15" hidden="true" customHeight="false" outlineLevel="1" collapsed="false">
      <c r="A1079" s="20" t="n">
        <v>82</v>
      </c>
      <c r="B1079" s="6" t="s">
        <v>648</v>
      </c>
      <c r="C1079" s="20" t="s">
        <v>71</v>
      </c>
      <c r="D1079" s="23"/>
      <c r="E1079" s="23"/>
      <c r="F1079" s="40" t="n">
        <f aca="false">F1073+F1074+F1075+F1076+F1077+F1078</f>
        <v>10.92</v>
      </c>
      <c r="G1079" s="40" t="n">
        <f aca="false">G1073+G1074+G1075+G1076+G1077+G1078</f>
        <v>14.5092</v>
      </c>
      <c r="H1079" s="40" t="n">
        <f aca="false">H1073+H1074+H1075+H1076+H1077+H1078</f>
        <v>18.959544</v>
      </c>
      <c r="I1079" s="40" t="n">
        <f aca="false">I1073+I1074+I1075+I1076+I1077+I1078</f>
        <v>24.40285656</v>
      </c>
      <c r="J1079" s="40" t="n">
        <f aca="false">J1073+J1074+J1075+J1076+J1077+J1078</f>
        <v>29.5715579856</v>
      </c>
      <c r="K1079" s="51" t="n">
        <f aca="false">SUM(F1079:J1079)</f>
        <v>98.3631585456</v>
      </c>
      <c r="L1079" s="49"/>
    </row>
    <row r="1080" customFormat="false" ht="15" hidden="true" customHeight="false" outlineLevel="1" collapsed="false">
      <c r="A1080" s="20" t="n">
        <v>83</v>
      </c>
      <c r="B1080" s="6" t="s">
        <v>649</v>
      </c>
      <c r="C1080" s="20" t="s">
        <v>71</v>
      </c>
      <c r="D1080" s="23"/>
      <c r="E1080" s="23"/>
      <c r="F1080" s="40" t="n">
        <f aca="false">F1037*(MIN(F1067,F1048)*$D$1004+MAX(0,F1067-F1048)*$D$1005+F1067*$D$1006)+F1038*(MIN(F1068,F1048)*$D$1004+MAX(0,F1068-F1048)*$D$1005+F1068*$D$1006)+F1039*(MIN(F1069,F1048)*$D$1004+MAX(0,F1069-F1048)*$D$1005+F1069*$D$1006)+F1040*(MIN(F1070,F1048)*$D$1004+MAX(0,F1070-F1048)*$D$1005+F1070*$D$1006)+F1041*(MIN(F1071,F1048)*$D$1004+MAX(0,F1071-F1048)*$D$1005+F1071*$D$1006)+F1042*(MIN(F1072,F1048)*$D$1004+MAX(0,F1072-F1048)*$D$1005+F1072*$D$1006)</f>
        <v>1.64928168</v>
      </c>
      <c r="G1080" s="40" t="n">
        <f aca="false">G1037*(MIN(G1067,G1048)*$D$1004+MAX(0,G1067-G1048)*$D$1005+G1067*$D$1006)+G1038*(MIN(G1068,G1048)*$D$1004+MAX(0,G1068-G1048)*$D$1005+G1068*$D$1006)+G1039*(MIN(G1069,G1048)*$D$1004+MAX(0,G1069-G1048)*$D$1005+G1069*$D$1006)+G1040*(MIN(G1070,G1048)*$D$1004+MAX(0,G1070-G1048)*$D$1005+G1070*$D$1006)+G1041*(MIN(G1071,G1048)*$D$1004+MAX(0,G1071-G1048)*$D$1005+G1071*$D$1006)+G1042*(MIN(G1072,G1048)*$D$1004+MAX(0,G1072-G1048)*$D$1005+G1072*$D$1006)</f>
        <v>2.1964818144</v>
      </c>
      <c r="H1080" s="40" t="n">
        <f aca="false">H1037*(MIN(H1067,H1048)*$D$1004+MAX(0,H1067-H1048)*$D$1005+H1067*$D$1006)+H1038*(MIN(H1068,H1048)*$D$1004+MAX(0,H1068-H1048)*$D$1005+H1068*$D$1006)+H1039*(MIN(H1069,H1048)*$D$1004+MAX(0,H1069-H1048)*$D$1005+H1069*$D$1006)+H1040*(MIN(H1070,H1048)*$D$1004+MAX(0,H1070-H1048)*$D$1005+H1070*$D$1006)+H1041*(MIN(H1071,H1048)*$D$1004+MAX(0,H1071-H1048)*$D$1005+H1071*$D$1006)+H1042*(MIN(H1072,H1048)*$D$1004+MAX(0,H1072-H1048)*$D$1005+H1072*$D$1006)</f>
        <v>2.874881223552</v>
      </c>
      <c r="I1080" s="40" t="n">
        <f aca="false">I1037*(MIN(I1067,I1048)*$D$1004+MAX(0,I1067-I1048)*$D$1005+I1067*$D$1006)+I1038*(MIN(I1068,I1048)*$D$1004+MAX(0,I1068-I1048)*$D$1005+I1068*$D$1006)+I1039*(MIN(I1069,I1048)*$D$1004+MAX(0,I1069-I1048)*$D$1005+I1069*$D$1006)+I1040*(MIN(I1070,I1048)*$D$1004+MAX(0,I1070-I1048)*$D$1005+I1070*$D$1006)+I1041*(MIN(I1071,I1048)*$D$1004+MAX(0,I1071-I1048)*$D$1005+I1071*$D$1006)+I1042*(MIN(I1072,I1048)*$D$1004+MAX(0,I1072-I1048)*$D$1005+I1072*$D$1006)</f>
        <v>3.69987351263232</v>
      </c>
      <c r="J1080" s="40" t="n">
        <f aca="false">J1037*(MIN(J1067,J1048)*$D$1004+MAX(0,J1067-J1048)*$D$1005+J1067*$D$1006)+J1038*(MIN(J1068,J1048)*$D$1004+MAX(0,J1068-J1048)*$D$1005+J1068*$D$1006)+J1039*(MIN(J1069,J1048)*$D$1004+MAX(0,J1069-J1048)*$D$1005+J1069*$D$1006)+J1040*(MIN(J1070,J1048)*$D$1004+MAX(0,J1070-J1048)*$D$1005+J1070*$D$1006)+J1041*(MIN(J1071,J1048)*$D$1004+MAX(0,J1071-J1048)*$D$1005+J1071*$D$1006)+J1042*(MIN(J1072,J1048)*$D$1004+MAX(0,J1072-J1048)*$D$1005+J1072*$D$1006)</f>
        <v>4.49085916839491</v>
      </c>
      <c r="K1080" s="51" t="n">
        <f aca="false">SUM(F1080:J1080)</f>
        <v>14.9113773989792</v>
      </c>
      <c r="L1080" s="49" t="s">
        <v>650</v>
      </c>
    </row>
    <row r="1081" customFormat="false" ht="15" hidden="true" customHeight="false" outlineLevel="1" collapsed="false">
      <c r="A1081" s="20" t="n">
        <v>84</v>
      </c>
      <c r="B1081" s="6" t="s">
        <v>651</v>
      </c>
      <c r="C1081" s="20"/>
      <c r="D1081" s="23"/>
      <c r="E1081" s="23"/>
      <c r="F1081" s="38" t="n">
        <f aca="false">IF(AND(F1054&gt;0,E1054=0),1,0)</f>
        <v>1</v>
      </c>
      <c r="G1081" s="38" t="n">
        <f aca="false">IF(AND(G1054&gt;0,F1054=0),1,0)</f>
        <v>0</v>
      </c>
      <c r="H1081" s="38" t="n">
        <f aca="false">IF(AND(H1054&gt;0,G1054=0),1,0)</f>
        <v>0</v>
      </c>
      <c r="I1081" s="38" t="n">
        <f aca="false">IF(AND(I1054&gt;0,H1054=0),1,0)</f>
        <v>0</v>
      </c>
      <c r="J1081" s="38" t="n">
        <f aca="false">IF(AND(J1054&gt;0,I1054=0),1,0)</f>
        <v>0</v>
      </c>
      <c r="K1081" s="23"/>
      <c r="L1081" s="49"/>
    </row>
    <row r="1082" customFormat="false" ht="15" hidden="true" customHeight="false" outlineLevel="1" collapsed="false">
      <c r="A1082" s="20" t="n">
        <v>85</v>
      </c>
      <c r="B1082" s="6" t="s">
        <v>652</v>
      </c>
      <c r="C1082" s="20" t="s">
        <v>71</v>
      </c>
      <c r="D1082" s="23"/>
      <c r="E1082" s="23"/>
      <c r="F1082" s="40" t="n">
        <f aca="false">(F1081*$D$1009+IF(E1054&gt;0,1,0)*$D$1010)*F1046</f>
        <v>2.5</v>
      </c>
      <c r="G1082" s="40" t="n">
        <f aca="false">(G1081*$D$1009+IF(F1054&gt;0,1,0)*$D$1010)*G1046</f>
        <v>1.05</v>
      </c>
      <c r="H1082" s="40" t="n">
        <f aca="false">(H1081*$D$1009+IF(G1054&gt;0,1,0)*$D$1010)*H1046</f>
        <v>1.1025</v>
      </c>
      <c r="I1082" s="40" t="n">
        <f aca="false">(I1081*$D$1009+IF(H1054&gt;0,1,0)*$D$1010)*I1046</f>
        <v>1.157625</v>
      </c>
      <c r="J1082" s="40" t="n">
        <f aca="false">(J1081*$D$1009+IF(I1054&gt;0,1,0)*$D$1010)*J1046</f>
        <v>1.21550625</v>
      </c>
      <c r="K1082" s="51" t="n">
        <f aca="false">SUM(F1082:J1082)</f>
        <v>7.02563125</v>
      </c>
      <c r="L1082" s="49" t="s">
        <v>653</v>
      </c>
    </row>
    <row r="1083" customFormat="false" ht="15" hidden="true" customHeight="false" outlineLevel="1" collapsed="false">
      <c r="A1083" s="20" t="n">
        <v>86</v>
      </c>
      <c r="B1083" s="6" t="s">
        <v>302</v>
      </c>
      <c r="C1083" s="20" t="s">
        <v>71</v>
      </c>
      <c r="D1083" s="23"/>
      <c r="E1083" s="23"/>
      <c r="F1083" s="40" t="n">
        <f aca="false">$D$1011*F1046</f>
        <v>0.6</v>
      </c>
      <c r="G1083" s="40" t="n">
        <f aca="false">$D$1011*G1046</f>
        <v>0.63</v>
      </c>
      <c r="H1083" s="40" t="n">
        <f aca="false">$D$1011*H1046</f>
        <v>0.6615</v>
      </c>
      <c r="I1083" s="40" t="n">
        <f aca="false">$D$1011*I1046</f>
        <v>0.694575</v>
      </c>
      <c r="J1083" s="40" t="n">
        <f aca="false">$D$1011*J1046</f>
        <v>0.72930375</v>
      </c>
      <c r="K1083" s="51" t="n">
        <f aca="false">SUM(F1083:J1083)</f>
        <v>3.31537875</v>
      </c>
      <c r="L1083" s="49"/>
    </row>
    <row r="1084" customFormat="false" ht="15" hidden="true" customHeight="false" outlineLevel="1" collapsed="false">
      <c r="A1084" s="20" t="n">
        <v>87</v>
      </c>
      <c r="B1084" s="6" t="s">
        <v>654</v>
      </c>
      <c r="C1084" s="20" t="s">
        <v>71</v>
      </c>
      <c r="D1084" s="23"/>
      <c r="E1084" s="23"/>
      <c r="F1084" s="40" t="n">
        <f aca="false">$D$1012*F1065*F1046</f>
        <v>0.6</v>
      </c>
      <c r="G1084" s="40" t="n">
        <f aca="false">$D$1012*G1065*G1046</f>
        <v>0.7875</v>
      </c>
      <c r="H1084" s="40" t="n">
        <f aca="false">$D$1012*H1065*H1046</f>
        <v>0.99225</v>
      </c>
      <c r="I1084" s="40" t="n">
        <f aca="false">$D$1012*I1065*I1046</f>
        <v>1.21550625</v>
      </c>
      <c r="J1084" s="40" t="n">
        <f aca="false">$D$1012*J1065*J1046</f>
        <v>1.4586075</v>
      </c>
      <c r="K1084" s="51" t="n">
        <f aca="false">SUM(F1084:J1084)</f>
        <v>5.05386375</v>
      </c>
      <c r="L1084" s="49" t="s">
        <v>655</v>
      </c>
    </row>
    <row r="1085" customFormat="false" ht="15" hidden="true" customHeight="false" outlineLevel="1" collapsed="false">
      <c r="A1085" s="20" t="n">
        <v>88</v>
      </c>
      <c r="B1085" s="6" t="s">
        <v>656</v>
      </c>
      <c r="C1085" s="20" t="s">
        <v>71</v>
      </c>
      <c r="D1085" s="23"/>
      <c r="E1085" s="23"/>
      <c r="F1085" s="40" t="n">
        <f aca="false">($D$1013+$D$1014*F1055)*F1046</f>
        <v>1.4</v>
      </c>
      <c r="G1085" s="40" t="n">
        <f aca="false">($D$1013+$D$1014*G1055)*G1046</f>
        <v>1.47</v>
      </c>
      <c r="H1085" s="40" t="n">
        <f aca="false">($D$1013+$D$1014*H1055)*H1046</f>
        <v>2.4255</v>
      </c>
      <c r="I1085" s="40" t="n">
        <f aca="false">($D$1013+$D$1014*I1055)*I1046</f>
        <v>2.083725</v>
      </c>
      <c r="J1085" s="40" t="n">
        <f aca="false">($D$1013+$D$1014*J1055)*J1046</f>
        <v>3.16031625</v>
      </c>
      <c r="K1085" s="51" t="n">
        <f aca="false">SUM(F1085:J1085)</f>
        <v>10.53954125</v>
      </c>
      <c r="L1085" s="49" t="s">
        <v>657</v>
      </c>
    </row>
    <row r="1086" customFormat="false" ht="15" hidden="true" customHeight="false" outlineLevel="1" collapsed="false">
      <c r="A1086" s="20" t="n">
        <v>89</v>
      </c>
      <c r="B1086" s="6" t="s">
        <v>658</v>
      </c>
      <c r="C1086" s="20" t="s">
        <v>71</v>
      </c>
      <c r="D1086" s="23"/>
      <c r="E1086" s="23"/>
      <c r="F1086" s="40" t="n">
        <f aca="false">($D$1015+$D$1016*F1065)*F1046</f>
        <v>1.6</v>
      </c>
      <c r="G1086" s="40" t="n">
        <f aca="false">($D$1015+$D$1016*G1065)*G1046</f>
        <v>1.785</v>
      </c>
      <c r="H1086" s="40" t="n">
        <f aca="false">($D$1015+$D$1016*H1065)*H1046</f>
        <v>1.9845</v>
      </c>
      <c r="I1086" s="40" t="n">
        <f aca="false">($D$1015+$D$1016*I1065)*I1046</f>
        <v>2.1994875</v>
      </c>
      <c r="J1086" s="40" t="n">
        <f aca="false">($D$1015+$D$1016*J1065)*J1046</f>
        <v>2.4310125</v>
      </c>
      <c r="K1086" s="51" t="n">
        <f aca="false">SUM(F1086:J1086)</f>
        <v>10</v>
      </c>
      <c r="L1086" s="49" t="s">
        <v>659</v>
      </c>
    </row>
    <row r="1087" customFormat="false" ht="15" hidden="true" customHeight="false" outlineLevel="1" collapsed="false">
      <c r="A1087" s="20" t="n">
        <v>90</v>
      </c>
      <c r="B1087" s="6" t="s">
        <v>660</v>
      </c>
      <c r="C1087" s="20" t="s">
        <v>71</v>
      </c>
      <c r="D1087" s="23"/>
      <c r="E1087" s="23"/>
      <c r="F1087" s="40" t="n">
        <f aca="false">$D$1017*F1066*F1046</f>
        <v>0.5</v>
      </c>
      <c r="G1087" s="40" t="n">
        <f aca="false">$D$1017*G1066*G1046</f>
        <v>0.2625</v>
      </c>
      <c r="H1087" s="40" t="n">
        <f aca="false">$D$1017*H1066*H1046</f>
        <v>0.275625</v>
      </c>
      <c r="I1087" s="40" t="n">
        <f aca="false">$D$1017*I1066*I1046</f>
        <v>0.28940625</v>
      </c>
      <c r="J1087" s="40" t="n">
        <f aca="false">$D$1017*J1066*J1046</f>
        <v>0.3038765625</v>
      </c>
      <c r="K1087" s="51" t="n">
        <f aca="false">SUM(F1087:J1087)</f>
        <v>1.6314078125</v>
      </c>
      <c r="L1087" s="49" t="s">
        <v>661</v>
      </c>
    </row>
    <row r="1088" customFormat="false" ht="15" hidden="true" customHeight="false" outlineLevel="1" collapsed="false">
      <c r="A1088" s="20" t="n">
        <v>91</v>
      </c>
      <c r="B1088" s="6" t="s">
        <v>570</v>
      </c>
      <c r="C1088" s="20" t="s">
        <v>71</v>
      </c>
      <c r="D1088" s="23"/>
      <c r="E1088" s="23"/>
      <c r="F1088" s="40" t="n">
        <f aca="false">IF(F$1044=$F$1044,$D$1018,0)</f>
        <v>0.3</v>
      </c>
      <c r="G1088" s="40" t="n">
        <f aca="false">IF(G$1044=$F$1044,$D$1018,0)</f>
        <v>0</v>
      </c>
      <c r="H1088" s="40" t="n">
        <f aca="false">IF(H$1044=$F$1044,$D$1018,0)</f>
        <v>0</v>
      </c>
      <c r="I1088" s="40" t="n">
        <f aca="false">IF(I$1044=$F$1044,$D$1018,0)</f>
        <v>0</v>
      </c>
      <c r="J1088" s="40" t="n">
        <f aca="false">IF(J$1044=$F$1044,$D$1018,0)</f>
        <v>0</v>
      </c>
      <c r="K1088" s="51" t="n">
        <f aca="false">SUM(F1088:J1088)</f>
        <v>0.3</v>
      </c>
      <c r="L1088" s="49" t="s">
        <v>662</v>
      </c>
    </row>
    <row r="1089" customFormat="false" ht="15" hidden="true" customHeight="false" outlineLevel="1" collapsed="false">
      <c r="A1089" s="20" t="n">
        <v>92</v>
      </c>
      <c r="B1089" s="6" t="s">
        <v>663</v>
      </c>
      <c r="C1089" s="20" t="s">
        <v>71</v>
      </c>
      <c r="D1089" s="23"/>
      <c r="E1089" s="23"/>
      <c r="F1089" s="40" t="n">
        <f aca="false">F1079+F1080+F1082+F1083+F1084+F1085+F1086+F1087+F1088</f>
        <v>20.06928168</v>
      </c>
      <c r="G1089" s="40" t="n">
        <f aca="false">G1079+G1080+G1082+G1083+G1084+G1085+G1086+G1087+G1088</f>
        <v>22.6906818144</v>
      </c>
      <c r="H1089" s="40" t="n">
        <f aca="false">H1079+H1080+H1082+H1083+H1084+H1085+H1086+H1087+H1088</f>
        <v>29.276300223552</v>
      </c>
      <c r="I1089" s="40" t="n">
        <f aca="false">I1079+I1080+I1082+I1083+I1084+I1085+I1086+I1087+I1088</f>
        <v>35.7430550726323</v>
      </c>
      <c r="J1089" s="40" t="n">
        <f aca="false">J1079+J1080+J1082+J1083+J1084+J1085+J1086+J1087+J1088</f>
        <v>43.3610399664949</v>
      </c>
      <c r="K1089" s="51" t="n">
        <f aca="false">SUM(F1089:J1089)</f>
        <v>151.140358757079</v>
      </c>
      <c r="L1089" s="49"/>
    </row>
    <row r="1090" customFormat="false" ht="15" hidden="true" customHeight="false" outlineLevel="1" collapsed="false">
      <c r="A1090" s="20" t="n">
        <v>93</v>
      </c>
      <c r="B1090" s="6" t="s">
        <v>329</v>
      </c>
      <c r="C1090" s="20" t="s">
        <v>71</v>
      </c>
      <c r="D1090" s="23"/>
      <c r="E1090" s="23"/>
      <c r="F1090" s="40" t="n">
        <f aca="false">F1089*$D$1020</f>
        <v>2.006928168</v>
      </c>
      <c r="G1090" s="40" t="n">
        <f aca="false">G1089*$D$1020</f>
        <v>2.26906818144</v>
      </c>
      <c r="H1090" s="40" t="n">
        <f aca="false">H1089*$D$1020</f>
        <v>2.9276300223552</v>
      </c>
      <c r="I1090" s="40" t="n">
        <f aca="false">I1089*$D$1020</f>
        <v>3.57430550726323</v>
      </c>
      <c r="J1090" s="40" t="n">
        <f aca="false">J1089*$D$1020</f>
        <v>4.33610399664949</v>
      </c>
      <c r="K1090" s="51" t="n">
        <f aca="false">SUM(F1090:J1090)</f>
        <v>15.1140358757079</v>
      </c>
      <c r="L1090" s="49"/>
    </row>
    <row r="1091" customFormat="false" ht="15" hidden="true" customHeight="false" outlineLevel="1" collapsed="false">
      <c r="A1091" s="20" t="n">
        <v>94</v>
      </c>
      <c r="B1091" s="6" t="s">
        <v>664</v>
      </c>
      <c r="C1091" s="20" t="s">
        <v>71</v>
      </c>
      <c r="D1091" s="23"/>
      <c r="E1091" s="23"/>
      <c r="F1091" s="40" t="n">
        <f aca="false">F1089+F1090</f>
        <v>22.076209848</v>
      </c>
      <c r="G1091" s="40" t="n">
        <f aca="false">G1089+G1090</f>
        <v>24.95974999584</v>
      </c>
      <c r="H1091" s="40" t="n">
        <f aca="false">H1089+H1090</f>
        <v>32.2039302459072</v>
      </c>
      <c r="I1091" s="40" t="n">
        <f aca="false">I1089+I1090</f>
        <v>39.3173605798956</v>
      </c>
      <c r="J1091" s="40" t="n">
        <f aca="false">J1089+J1090</f>
        <v>47.6971439631444</v>
      </c>
      <c r="K1091" s="51" t="n">
        <f aca="false">SUM(F1091:J1091)</f>
        <v>166.254394632787</v>
      </c>
      <c r="L1091" s="49"/>
    </row>
    <row r="1092" customFormat="false" ht="15" hidden="true" customHeight="false" outlineLevel="1" collapsed="false">
      <c r="A1092" s="19" t="s">
        <v>665</v>
      </c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</row>
    <row r="1093" customFormat="false" ht="15" hidden="true" customHeight="false" outlineLevel="1" collapsed="false">
      <c r="A1093" s="20" t="n">
        <v>95</v>
      </c>
      <c r="B1093" s="6" t="s">
        <v>666</v>
      </c>
      <c r="C1093" s="20" t="s">
        <v>71</v>
      </c>
      <c r="D1093" s="23"/>
      <c r="E1093" s="23"/>
      <c r="F1093" s="40" t="n">
        <f aca="false">F1062-F1091</f>
        <v>-15.676209848</v>
      </c>
      <c r="G1093" s="40" t="n">
        <f aca="false">G1062-G1091</f>
        <v>-7.52974999584</v>
      </c>
      <c r="H1093" s="40" t="n">
        <f aca="false">H1062-H1091</f>
        <v>-0.793016183407197</v>
      </c>
      <c r="I1093" s="40" t="n">
        <f aca="false">I1062-I1091</f>
        <v>3.12118836364139</v>
      </c>
      <c r="J1093" s="40" t="n">
        <f aca="false">J1062-J1091</f>
        <v>16.6763907689889</v>
      </c>
      <c r="K1093" s="51" t="n">
        <f aca="false">SUM(F1093:J1093)</f>
        <v>-4.20139689461686</v>
      </c>
      <c r="L1093" s="49" t="s">
        <v>667</v>
      </c>
    </row>
    <row r="1094" customFormat="false" ht="15" hidden="true" customHeight="false" outlineLevel="1" collapsed="false">
      <c r="A1094" s="20" t="n">
        <v>96</v>
      </c>
      <c r="B1094" s="6" t="s">
        <v>668</v>
      </c>
      <c r="C1094" s="20" t="s">
        <v>68</v>
      </c>
      <c r="D1094" s="23"/>
      <c r="E1094" s="23"/>
      <c r="F1094" s="44" t="n">
        <f aca="false">IF(F1062&gt;0,F1093/F1062,0)</f>
        <v>-2.44940778875</v>
      </c>
      <c r="G1094" s="44" t="n">
        <f aca="false">IF(G1062&gt;0,G1093/G1062,0)</f>
        <v>-0.431999426037866</v>
      </c>
      <c r="H1094" s="44" t="n">
        <f aca="false">IF(H1062&gt;0,H1093/H1062,0)</f>
        <v>-0.0252465172401315</v>
      </c>
      <c r="I1094" s="44" t="n">
        <f aca="false">IF(I1062&gt;0,I1093/I1062,0)</f>
        <v>0.0735460669919234</v>
      </c>
      <c r="J1094" s="44" t="n">
        <f aca="false">IF(J1062&gt;0,J1093/J1062,0)</f>
        <v>0.259056626894602</v>
      </c>
      <c r="K1094" s="23"/>
      <c r="L1094" s="49"/>
    </row>
    <row r="1095" customFormat="false" ht="15" hidden="true" customHeight="false" outlineLevel="1" collapsed="false">
      <c r="A1095" s="20" t="n">
        <v>97</v>
      </c>
      <c r="B1095" s="6" t="s">
        <v>669</v>
      </c>
      <c r="C1095" s="20" t="s">
        <v>71</v>
      </c>
      <c r="D1095" s="23"/>
      <c r="E1095" s="23"/>
      <c r="F1095" s="40" t="n">
        <f aca="false">E1099</f>
        <v>0</v>
      </c>
      <c r="G1095" s="40" t="n">
        <f aca="false">F1099</f>
        <v>15.676209848</v>
      </c>
      <c r="H1095" s="40" t="n">
        <f aca="false">G1099</f>
        <v>23.20595984384</v>
      </c>
      <c r="I1095" s="40" t="n">
        <f aca="false">H1099</f>
        <v>23.9989760272472</v>
      </c>
      <c r="J1095" s="40" t="n">
        <f aca="false">I1099</f>
        <v>22.4383818454265</v>
      </c>
      <c r="K1095" s="23"/>
      <c r="L1095" s="49"/>
    </row>
    <row r="1096" customFormat="false" ht="15" hidden="true" customHeight="false" outlineLevel="1" collapsed="false">
      <c r="A1096" s="20" t="n">
        <v>98</v>
      </c>
      <c r="B1096" s="6" t="s">
        <v>670</v>
      </c>
      <c r="C1096" s="20" t="s">
        <v>71</v>
      </c>
      <c r="D1096" s="23"/>
      <c r="E1096" s="23"/>
      <c r="F1096" s="40" t="n">
        <f aca="false">MIN(F1095,MAX(0,F1093)*$D$1022)</f>
        <v>0</v>
      </c>
      <c r="G1096" s="40" t="n">
        <f aca="false">MIN(G1095,MAX(0,G1093)*$D$1022)</f>
        <v>0</v>
      </c>
      <c r="H1096" s="40" t="n">
        <f aca="false">MIN(H1095,MAX(0,H1093)*$D$1022)</f>
        <v>0</v>
      </c>
      <c r="I1096" s="40" t="n">
        <f aca="false">MIN(I1095,MAX(0,I1093)*$D$1022)</f>
        <v>1.56059418182069</v>
      </c>
      <c r="J1096" s="40" t="n">
        <f aca="false">MIN(J1095,MAX(0,J1093)*$D$1022)</f>
        <v>8.33819538449447</v>
      </c>
      <c r="K1096" s="23"/>
      <c r="L1096" s="49" t="s">
        <v>671</v>
      </c>
    </row>
    <row r="1097" customFormat="false" ht="15" hidden="true" customHeight="false" outlineLevel="1" collapsed="false">
      <c r="A1097" s="20" t="n">
        <v>99</v>
      </c>
      <c r="B1097" s="6" t="s">
        <v>672</v>
      </c>
      <c r="C1097" s="20" t="s">
        <v>71</v>
      </c>
      <c r="D1097" s="23"/>
      <c r="E1097" s="23"/>
      <c r="F1097" s="40" t="n">
        <f aca="false">MAX(0,F1093)-F1096</f>
        <v>0</v>
      </c>
      <c r="G1097" s="40" t="n">
        <f aca="false">MAX(0,G1093)-G1096</f>
        <v>0</v>
      </c>
      <c r="H1097" s="40" t="n">
        <f aca="false">MAX(0,H1093)-H1096</f>
        <v>0</v>
      </c>
      <c r="I1097" s="40" t="n">
        <f aca="false">MAX(0,I1093)-I1096</f>
        <v>1.56059418182069</v>
      </c>
      <c r="J1097" s="40" t="n">
        <f aca="false">MAX(0,J1093)-J1096</f>
        <v>8.33819538449447</v>
      </c>
      <c r="K1097" s="23"/>
      <c r="L1097" s="49"/>
    </row>
    <row r="1098" customFormat="false" ht="15" hidden="true" customHeight="false" outlineLevel="1" collapsed="false">
      <c r="A1098" s="20" t="n">
        <v>100</v>
      </c>
      <c r="B1098" s="6" t="s">
        <v>572</v>
      </c>
      <c r="C1098" s="20" t="s">
        <v>71</v>
      </c>
      <c r="D1098" s="23"/>
      <c r="E1098" s="23"/>
      <c r="F1098" s="40" t="n">
        <f aca="false">F1097*$D$1021</f>
        <v>0</v>
      </c>
      <c r="G1098" s="40" t="n">
        <f aca="false">G1097*$D$1021</f>
        <v>0</v>
      </c>
      <c r="H1098" s="40" t="n">
        <f aca="false">H1097*$D$1021</f>
        <v>0</v>
      </c>
      <c r="I1098" s="40" t="n">
        <f aca="false">I1097*$D$1021</f>
        <v>0.0780297090910347</v>
      </c>
      <c r="J1098" s="40" t="n">
        <f aca="false">J1097*$D$1021</f>
        <v>0.416909769224724</v>
      </c>
      <c r="K1098" s="51" t="n">
        <f aca="false">SUM(F1098:J1098)</f>
        <v>0.494939478315758</v>
      </c>
      <c r="L1098" s="49"/>
    </row>
    <row r="1099" customFormat="false" ht="15" hidden="true" customHeight="false" outlineLevel="1" collapsed="false">
      <c r="A1099" s="20" t="n">
        <v>101</v>
      </c>
      <c r="B1099" s="6" t="s">
        <v>673</v>
      </c>
      <c r="C1099" s="20" t="s">
        <v>71</v>
      </c>
      <c r="D1099" s="23"/>
      <c r="E1099" s="40" t="n">
        <f aca="false">0</f>
        <v>0</v>
      </c>
      <c r="F1099" s="40" t="n">
        <f aca="false">F1095-F1096+MAX(0,-F1093)</f>
        <v>15.676209848</v>
      </c>
      <c r="G1099" s="40" t="n">
        <f aca="false">G1095-G1096+MAX(0,-G1093)</f>
        <v>23.20595984384</v>
      </c>
      <c r="H1099" s="40" t="n">
        <f aca="false">H1095-H1096+MAX(0,-H1093)</f>
        <v>23.9989760272472</v>
      </c>
      <c r="I1099" s="40" t="n">
        <f aca="false">I1095-I1096+MAX(0,-I1093)</f>
        <v>22.4383818454265</v>
      </c>
      <c r="J1099" s="40" t="n">
        <f aca="false">J1095-J1096+MAX(0,-J1093)</f>
        <v>14.100186460932</v>
      </c>
      <c r="K1099" s="23"/>
      <c r="L1099" s="49"/>
    </row>
    <row r="1100" customFormat="false" ht="15" hidden="true" customHeight="false" outlineLevel="1" collapsed="false">
      <c r="A1100" s="20" t="n">
        <v>102</v>
      </c>
      <c r="B1100" s="6" t="s">
        <v>674</v>
      </c>
      <c r="C1100" s="20" t="s">
        <v>71</v>
      </c>
      <c r="D1100" s="23"/>
      <c r="E1100" s="23"/>
      <c r="F1100" s="40" t="n">
        <f aca="false">F1093-F1098</f>
        <v>-15.676209848</v>
      </c>
      <c r="G1100" s="40" t="n">
        <f aca="false">G1093-G1098</f>
        <v>-7.52974999584</v>
      </c>
      <c r="H1100" s="40" t="n">
        <f aca="false">H1093-H1098</f>
        <v>-0.793016183407197</v>
      </c>
      <c r="I1100" s="40" t="n">
        <f aca="false">I1093-I1098</f>
        <v>3.04315865455035</v>
      </c>
      <c r="J1100" s="40" t="n">
        <f aca="false">J1093-J1098</f>
        <v>16.2594809997642</v>
      </c>
      <c r="K1100" s="51" t="n">
        <f aca="false">SUM(F1100:J1100)</f>
        <v>-4.69633637293262</v>
      </c>
      <c r="L1100" s="49"/>
    </row>
    <row r="1101" customFormat="false" ht="15" hidden="true" customHeight="false" outlineLevel="1" collapsed="false">
      <c r="A1101" s="19" t="s">
        <v>675</v>
      </c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</row>
    <row r="1102" customFormat="false" ht="15" hidden="true" customHeight="false" outlineLevel="1" collapsed="false">
      <c r="A1102" s="20" t="n">
        <v>103</v>
      </c>
      <c r="B1102" s="6" t="s">
        <v>676</v>
      </c>
      <c r="C1102" s="20" t="s">
        <v>71</v>
      </c>
      <c r="D1102" s="23"/>
      <c r="E1102" s="40" t="n">
        <f aca="false">0</f>
        <v>0</v>
      </c>
      <c r="F1102" s="40" t="n">
        <f aca="false">F1062*$D$1023/365</f>
        <v>1.57808219178082</v>
      </c>
      <c r="G1102" s="40" t="n">
        <f aca="false">G1062*$D$1023/365</f>
        <v>4.29780821917808</v>
      </c>
      <c r="H1102" s="40" t="n">
        <f aca="false">H1062*$D$1023/365</f>
        <v>7.74515689212329</v>
      </c>
      <c r="I1102" s="40" t="n">
        <f aca="false">I1062*$D$1023/365</f>
        <v>10.4642997395023</v>
      </c>
      <c r="J1102" s="40" t="n">
        <f aca="false">J1062*$D$1023/365</f>
        <v>15.8729263723069</v>
      </c>
      <c r="K1102" s="23"/>
      <c r="L1102" s="49" t="s">
        <v>677</v>
      </c>
    </row>
    <row r="1103" customFormat="false" ht="15" hidden="true" customHeight="false" outlineLevel="1" collapsed="false">
      <c r="A1103" s="20" t="n">
        <v>104</v>
      </c>
      <c r="B1103" s="6" t="s">
        <v>678</v>
      </c>
      <c r="C1103" s="20" t="s">
        <v>71</v>
      </c>
      <c r="D1103" s="23"/>
      <c r="E1103" s="23"/>
      <c r="F1103" s="40" t="n">
        <f aca="false">F1102-E1102</f>
        <v>1.57808219178082</v>
      </c>
      <c r="G1103" s="40" t="n">
        <f aca="false">G1102-F1102</f>
        <v>2.71972602739726</v>
      </c>
      <c r="H1103" s="40" t="n">
        <f aca="false">H1102-G1102</f>
        <v>3.44734867294521</v>
      </c>
      <c r="I1103" s="40" t="n">
        <f aca="false">I1102-H1102</f>
        <v>2.71914284737897</v>
      </c>
      <c r="J1103" s="40" t="n">
        <f aca="false">J1102-I1102</f>
        <v>5.40862663280459</v>
      </c>
      <c r="K1103" s="51" t="n">
        <f aca="false">SUM(F1103:J1103)</f>
        <v>15.8729263723069</v>
      </c>
      <c r="L1103" s="49"/>
    </row>
    <row r="1104" customFormat="false" ht="15" hidden="true" customHeight="false" outlineLevel="1" collapsed="false">
      <c r="A1104" s="20" t="n">
        <v>105</v>
      </c>
      <c r="B1104" s="6" t="s">
        <v>679</v>
      </c>
      <c r="C1104" s="20" t="s">
        <v>71</v>
      </c>
      <c r="D1104" s="23"/>
      <c r="E1104" s="23"/>
      <c r="F1104" s="40" t="n">
        <f aca="false">F1100-F1103</f>
        <v>-17.2542920397808</v>
      </c>
      <c r="G1104" s="40" t="n">
        <f aca="false">G1100-G1103</f>
        <v>-10.2494760232373</v>
      </c>
      <c r="H1104" s="40" t="n">
        <f aca="false">H1100-H1103</f>
        <v>-4.2403648563524</v>
      </c>
      <c r="I1104" s="40" t="n">
        <f aca="false">I1100-I1103</f>
        <v>0.324015807171382</v>
      </c>
      <c r="J1104" s="40" t="n">
        <f aca="false">J1100-J1103</f>
        <v>10.8508543669596</v>
      </c>
      <c r="K1104" s="51" t="n">
        <f aca="false">SUM(F1104:J1104)</f>
        <v>-20.5692627452395</v>
      </c>
      <c r="L1104" s="49" t="s">
        <v>680</v>
      </c>
    </row>
    <row r="1105" customFormat="false" ht="15" hidden="true" customHeight="false" outlineLevel="1" collapsed="false">
      <c r="A1105" s="20" t="n">
        <v>106</v>
      </c>
      <c r="B1105" s="6" t="s">
        <v>93</v>
      </c>
      <c r="C1105" s="20" t="s">
        <v>71</v>
      </c>
      <c r="D1105" s="23"/>
      <c r="E1105" s="40" t="n">
        <f aca="false">0</f>
        <v>0</v>
      </c>
      <c r="F1105" s="40" t="n">
        <f aca="false">E1105+F1104</f>
        <v>-17.2542920397808</v>
      </c>
      <c r="G1105" s="40" t="n">
        <f aca="false">F1105+G1104</f>
        <v>-27.5037680630181</v>
      </c>
      <c r="H1105" s="40" t="n">
        <f aca="false">G1105+H1104</f>
        <v>-31.7441329193705</v>
      </c>
      <c r="I1105" s="40" t="n">
        <f aca="false">H1105+I1104</f>
        <v>-31.4201171121991</v>
      </c>
      <c r="J1105" s="40" t="n">
        <f aca="false">I1105+J1104</f>
        <v>-20.5692627452395</v>
      </c>
      <c r="K1105" s="23"/>
      <c r="L1105" s="49" t="s">
        <v>681</v>
      </c>
    </row>
    <row r="1106" customFormat="false" ht="15" hidden="true" customHeight="false" outlineLevel="1" collapsed="false">
      <c r="A1106" s="20" t="n">
        <v>107</v>
      </c>
      <c r="B1106" s="6" t="s">
        <v>682</v>
      </c>
      <c r="C1106" s="20"/>
      <c r="D1106" s="23"/>
      <c r="E1106" s="23"/>
      <c r="F1106" s="53" t="n">
        <f aca="false">1/(1+$D$1024)^(F$1044-$E$1044)</f>
        <v>0.769230769230769</v>
      </c>
      <c r="G1106" s="53" t="n">
        <f aca="false">1/(1+$D$1024)^(G$1044-$E$1044)</f>
        <v>0.591715976331361</v>
      </c>
      <c r="H1106" s="53" t="n">
        <f aca="false">1/(1+$D$1024)^(H$1044-$E$1044)</f>
        <v>0.455166135639508</v>
      </c>
      <c r="I1106" s="53" t="n">
        <f aca="false">1/(1+$D$1024)^(I$1044-$E$1044)</f>
        <v>0.350127796645776</v>
      </c>
      <c r="J1106" s="53" t="n">
        <f aca="false">1/(1+$D$1024)^(J$1044-$E$1044)</f>
        <v>0.269329074342904</v>
      </c>
      <c r="K1106" s="23"/>
      <c r="L1106" s="49" t="s">
        <v>683</v>
      </c>
    </row>
    <row r="1107" customFormat="false" ht="15" hidden="true" customHeight="false" outlineLevel="1" collapsed="false">
      <c r="A1107" s="20" t="n">
        <v>108</v>
      </c>
      <c r="B1107" s="6" t="s">
        <v>684</v>
      </c>
      <c r="C1107" s="20" t="s">
        <v>71</v>
      </c>
      <c r="D1107" s="23"/>
      <c r="E1107" s="23"/>
      <c r="F1107" s="40" t="n">
        <f aca="false">F1104*F1106</f>
        <v>-13.2725323382929</v>
      </c>
      <c r="G1107" s="40" t="n">
        <f aca="false">G1104*G1106</f>
        <v>-6.06477871197471</v>
      </c>
      <c r="H1107" s="40" t="n">
        <f aca="false">H1104*H1106</f>
        <v>-1.9300704853675</v>
      </c>
      <c r="I1107" s="40" t="n">
        <f aca="false">I1104*I1106</f>
        <v>0.113446940643319</v>
      </c>
      <c r="J1107" s="40" t="n">
        <f aca="false">J1104*J1106</f>
        <v>2.9224505624829</v>
      </c>
      <c r="K1107" s="51" t="n">
        <f aca="false">SUM(F1107:J1107)</f>
        <v>-18.2314840325089</v>
      </c>
      <c r="L1107" s="49"/>
    </row>
    <row r="1108" customFormat="false" ht="15" hidden="true" customHeight="false" outlineLevel="1" collapsed="false">
      <c r="A1108" s="20" t="n">
        <v>109</v>
      </c>
      <c r="B1108" s="6" t="s">
        <v>685</v>
      </c>
      <c r="C1108" s="20" t="s">
        <v>71</v>
      </c>
      <c r="D1108" s="23"/>
      <c r="E1108" s="23"/>
      <c r="F1108" s="40" t="n">
        <f aca="false">IF(F$1044=$J$1044,MAX(0,F1104)*(1+$D$1025)/($D$1024-$D$1025),0)</f>
        <v>0</v>
      </c>
      <c r="G1108" s="40" t="n">
        <f aca="false">IF(G$1044=$J$1044,MAX(0,G1104)*(1+$D$1025)/($D$1024-$D$1025),0)</f>
        <v>0</v>
      </c>
      <c r="H1108" s="40" t="n">
        <f aca="false">IF(H$1044=$J$1044,MAX(0,H1104)*(1+$D$1025)/($D$1024-$D$1025),0)</f>
        <v>0</v>
      </c>
      <c r="I1108" s="40" t="n">
        <f aca="false">IF(I$1044=$J$1044,MAX(0,I1104)*(1+$D$1025)/($D$1024-$D$1025),0)</f>
        <v>0</v>
      </c>
      <c r="J1108" s="40" t="n">
        <f aca="false">IF(J$1044=$J$1044,MAX(0,J1104)*(1+$D$1025)/($D$1024-$D$1025),0)</f>
        <v>43.4034174678385</v>
      </c>
      <c r="K1108" s="23"/>
      <c r="L1108" s="49" t="s">
        <v>686</v>
      </c>
    </row>
    <row r="1109" customFormat="false" ht="15" hidden="true" customHeight="false" outlineLevel="1" collapsed="false">
      <c r="A1109" s="20" t="n">
        <v>110</v>
      </c>
      <c r="B1109" s="6" t="s">
        <v>687</v>
      </c>
      <c r="C1109" s="20" t="s">
        <v>71</v>
      </c>
      <c r="D1109" s="23"/>
      <c r="E1109" s="23"/>
      <c r="F1109" s="40" t="n">
        <f aca="false">F1108*F1106</f>
        <v>0</v>
      </c>
      <c r="G1109" s="40" t="n">
        <f aca="false">G1108*G1106</f>
        <v>0</v>
      </c>
      <c r="H1109" s="40" t="n">
        <f aca="false">H1108*H1106</f>
        <v>0</v>
      </c>
      <c r="I1109" s="40" t="n">
        <f aca="false">I1108*I1106</f>
        <v>0</v>
      </c>
      <c r="J1109" s="40" t="n">
        <f aca="false">J1108*J1106</f>
        <v>11.6898022499316</v>
      </c>
      <c r="K1109" s="51" t="n">
        <f aca="false">SUM(F1109:J1109)</f>
        <v>11.6898022499316</v>
      </c>
      <c r="L1109" s="49"/>
    </row>
    <row r="1110" customFormat="false" ht="15" hidden="true" customHeight="false" outlineLevel="1" collapsed="false">
      <c r="A1110" s="20" t="n">
        <v>111</v>
      </c>
      <c r="B1110" s="6" t="s">
        <v>688</v>
      </c>
      <c r="C1110" s="20" t="s">
        <v>71</v>
      </c>
      <c r="D1110" s="23"/>
      <c r="E1110" s="23"/>
      <c r="F1110" s="40" t="n">
        <f aca="false">F1104+F1108</f>
        <v>-17.2542920397808</v>
      </c>
      <c r="G1110" s="40" t="n">
        <f aca="false">G1104+G1108</f>
        <v>-10.2494760232373</v>
      </c>
      <c r="H1110" s="40" t="n">
        <f aca="false">H1104+H1108</f>
        <v>-4.2403648563524</v>
      </c>
      <c r="I1110" s="40" t="n">
        <f aca="false">I1104+I1108</f>
        <v>0.324015807171382</v>
      </c>
      <c r="J1110" s="40" t="n">
        <f aca="false">J1104+J1108</f>
        <v>54.2542718347981</v>
      </c>
      <c r="K1110" s="23"/>
      <c r="L1110" s="49" t="s">
        <v>689</v>
      </c>
    </row>
    <row r="1111" customFormat="false" ht="15" hidden="true" customHeight="false" outlineLevel="1" collapsed="false">
      <c r="A1111" s="20" t="n">
        <v>112</v>
      </c>
      <c r="B1111" s="6" t="s">
        <v>690</v>
      </c>
      <c r="C1111" s="20"/>
      <c r="D1111" s="23"/>
      <c r="E1111" s="23"/>
      <c r="F1111" s="52" t="str">
        <f aca="false">IF(AND(F1093&gt;0,COUNTIF($F$1093:F$1093,"&gt;0")=1),F$1044,"")</f>
        <v/>
      </c>
      <c r="G1111" s="52" t="str">
        <f aca="false">IF(AND(G1093&gt;0,COUNTIF($F$1093:G$1093,"&gt;0")=1),G$1044,"")</f>
        <v/>
      </c>
      <c r="H1111" s="52" t="str">
        <f aca="false">IF(AND(H1093&gt;0,COUNTIF($F$1093:H$1093,"&gt;0")=1),H$1044,"")</f>
        <v/>
      </c>
      <c r="I1111" s="52" t="n">
        <f aca="false">IF(AND(I1093&gt;0,COUNTIF($F$1093:I$1093,"&gt;0")=1),I$1044,"")</f>
        <v>2030</v>
      </c>
      <c r="J1111" s="52" t="str">
        <f aca="false">IF(AND(J1093&gt;0,COUNTIF($F$1093:J$1093,"&gt;0")=1),J$1044,"")</f>
        <v/>
      </c>
      <c r="K1111" s="23"/>
      <c r="L1111" s="49" t="s">
        <v>691</v>
      </c>
    </row>
    <row r="1112" customFormat="false" ht="15" hidden="true" customHeight="false" outlineLevel="1" collapsed="false">
      <c r="A1112" s="20" t="n">
        <v>113</v>
      </c>
      <c r="B1112" s="6" t="s">
        <v>692</v>
      </c>
      <c r="C1112" s="20"/>
      <c r="D1112" s="23"/>
      <c r="E1112" s="23"/>
      <c r="F1112" s="52" t="str">
        <f aca="false">IF(AND(F1105&gt;0,COUNTIF($F$1105:F$1105,"&gt;0")=1),F$1044,"")</f>
        <v/>
      </c>
      <c r="G1112" s="52" t="str">
        <f aca="false">IF(AND(G1105&gt;0,COUNTIF($F$1105:G$1105,"&gt;0")=1),G$1044,"")</f>
        <v/>
      </c>
      <c r="H1112" s="52" t="str">
        <f aca="false">IF(AND(H1105&gt;0,COUNTIF($F$1105:H$1105,"&gt;0")=1),H$1044,"")</f>
        <v/>
      </c>
      <c r="I1112" s="52" t="str">
        <f aca="false">IF(AND(I1105&gt;0,COUNTIF($F$1105:I$1105,"&gt;0")=1),I$1044,"")</f>
        <v/>
      </c>
      <c r="J1112" s="52" t="str">
        <f aca="false">IF(AND(J1105&gt;0,COUNTIF($F$1105:J$1105,"&gt;0")=1),J$1044,"")</f>
        <v/>
      </c>
      <c r="K1112" s="23"/>
      <c r="L1112" s="49" t="s">
        <v>691</v>
      </c>
    </row>
    <row r="1113" customFormat="false" ht="15" hidden="true" customHeight="false" outlineLevel="1" collapsed="false">
      <c r="A1113" s="19" t="s">
        <v>693</v>
      </c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</row>
    <row r="1114" customFormat="false" ht="15" hidden="true" customHeight="false" outlineLevel="1" collapsed="false">
      <c r="A1114" s="20" t="n">
        <v>114</v>
      </c>
      <c r="B1114" s="6" t="s">
        <v>70</v>
      </c>
      <c r="C1114" s="20" t="s">
        <v>71</v>
      </c>
      <c r="D1114" s="51" t="n">
        <f aca="false">SUM(F1062:J1062)</f>
        <v>162.05299773817</v>
      </c>
      <c r="E1114" s="23"/>
      <c r="F1114" s="23"/>
      <c r="G1114" s="23"/>
      <c r="H1114" s="23"/>
      <c r="I1114" s="23"/>
      <c r="J1114" s="23"/>
      <c r="K1114" s="23"/>
      <c r="L1114" s="49"/>
    </row>
    <row r="1115" customFormat="false" ht="15" hidden="true" customHeight="false" outlineLevel="1" collapsed="false">
      <c r="A1115" s="20" t="n">
        <v>115</v>
      </c>
      <c r="B1115" s="6" t="s">
        <v>694</v>
      </c>
      <c r="C1115" s="20" t="s">
        <v>71</v>
      </c>
      <c r="D1115" s="51" t="n">
        <f aca="false">J1062</f>
        <v>64.3735347321334</v>
      </c>
      <c r="E1115" s="23"/>
      <c r="F1115" s="23"/>
      <c r="G1115" s="23"/>
      <c r="H1115" s="23"/>
      <c r="I1115" s="23"/>
      <c r="J1115" s="23"/>
      <c r="K1115" s="23"/>
      <c r="L1115" s="49"/>
    </row>
    <row r="1116" customFormat="false" ht="15" hidden="true" customHeight="false" outlineLevel="1" collapsed="false">
      <c r="A1116" s="20" t="n">
        <v>116</v>
      </c>
      <c r="B1116" s="6" t="s">
        <v>695</v>
      </c>
      <c r="C1116" s="20" t="s">
        <v>71</v>
      </c>
      <c r="D1116" s="51" t="n">
        <f aca="false">J1063</f>
        <v>74.6329671070812</v>
      </c>
      <c r="E1116" s="23"/>
      <c r="F1116" s="23"/>
      <c r="G1116" s="23"/>
      <c r="H1116" s="23"/>
      <c r="I1116" s="23"/>
      <c r="J1116" s="23"/>
      <c r="K1116" s="23"/>
      <c r="L1116" s="49"/>
    </row>
    <row r="1117" customFormat="false" ht="15" hidden="true" customHeight="false" outlineLevel="1" collapsed="false">
      <c r="A1117" s="20" t="n">
        <v>117</v>
      </c>
      <c r="B1117" s="6" t="s">
        <v>696</v>
      </c>
      <c r="C1117" s="20" t="s">
        <v>71</v>
      </c>
      <c r="D1117" s="51" t="n">
        <f aca="false">J1093</f>
        <v>16.6763907689889</v>
      </c>
      <c r="E1117" s="23"/>
      <c r="F1117" s="23"/>
      <c r="G1117" s="23"/>
      <c r="H1117" s="23"/>
      <c r="I1117" s="23"/>
      <c r="J1117" s="23"/>
      <c r="K1117" s="23"/>
      <c r="L1117" s="49"/>
    </row>
    <row r="1118" customFormat="false" ht="15" hidden="true" customHeight="false" outlineLevel="1" collapsed="false">
      <c r="A1118" s="20" t="n">
        <v>118</v>
      </c>
      <c r="B1118" s="6" t="s">
        <v>697</v>
      </c>
      <c r="C1118" s="20" t="s">
        <v>76</v>
      </c>
      <c r="D1118" s="54" t="n">
        <f aca="false">J1054</f>
        <v>11</v>
      </c>
      <c r="E1118" s="23"/>
      <c r="F1118" s="23"/>
      <c r="G1118" s="23"/>
      <c r="H1118" s="23"/>
      <c r="I1118" s="23"/>
      <c r="J1118" s="23"/>
      <c r="K1118" s="23"/>
      <c r="L1118" s="49"/>
    </row>
    <row r="1119" customFormat="false" ht="15" hidden="true" customHeight="false" outlineLevel="1" collapsed="false">
      <c r="A1119" s="20" t="n">
        <v>119</v>
      </c>
      <c r="B1119" s="6" t="s">
        <v>698</v>
      </c>
      <c r="C1119" s="20" t="s">
        <v>53</v>
      </c>
      <c r="D1119" s="51" t="n">
        <f aca="false">J1065</f>
        <v>8</v>
      </c>
      <c r="E1119" s="23"/>
      <c r="F1119" s="23"/>
      <c r="G1119" s="23"/>
      <c r="H1119" s="23"/>
      <c r="I1119" s="23"/>
      <c r="J1119" s="23"/>
      <c r="K1119" s="23"/>
      <c r="L1119" s="49"/>
    </row>
    <row r="1120" customFormat="false" ht="15" hidden="true" customHeight="false" outlineLevel="1" collapsed="false">
      <c r="A1120" s="20" t="n">
        <v>120</v>
      </c>
      <c r="B1120" s="6" t="s">
        <v>699</v>
      </c>
      <c r="C1120" s="20" t="s">
        <v>71</v>
      </c>
      <c r="D1120" s="51" t="n">
        <f aca="false">MIN(0,MIN(F1105:J1105))</f>
        <v>-31.7441329193705</v>
      </c>
      <c r="E1120" s="23"/>
      <c r="F1120" s="23"/>
      <c r="G1120" s="23"/>
      <c r="H1120" s="23"/>
      <c r="I1120" s="23"/>
      <c r="J1120" s="23"/>
      <c r="K1120" s="23"/>
      <c r="L1120" s="49"/>
    </row>
    <row r="1121" customFormat="false" ht="15" hidden="true" customHeight="false" outlineLevel="1" collapsed="false">
      <c r="A1121" s="20" t="n">
        <v>121</v>
      </c>
      <c r="B1121" s="6" t="s">
        <v>700</v>
      </c>
      <c r="C1121" s="20" t="s">
        <v>71</v>
      </c>
      <c r="D1121" s="51" t="n">
        <f aca="false">-$D$1120*(1+$D$1026)</f>
        <v>38.0929595032446</v>
      </c>
      <c r="E1121" s="23"/>
      <c r="F1121" s="23"/>
      <c r="G1121" s="23"/>
      <c r="H1121" s="23"/>
      <c r="I1121" s="23"/>
      <c r="J1121" s="23"/>
      <c r="K1121" s="23"/>
      <c r="L1121" s="49"/>
    </row>
    <row r="1122" customFormat="false" ht="15" hidden="true" customHeight="false" outlineLevel="1" collapsed="false">
      <c r="A1122" s="20" t="n">
        <v>122</v>
      </c>
      <c r="B1122" s="6" t="s">
        <v>701</v>
      </c>
      <c r="C1122" s="20" t="s">
        <v>71</v>
      </c>
      <c r="D1122" s="51" t="n">
        <f aca="false">J1105</f>
        <v>-20.5692627452395</v>
      </c>
      <c r="E1122" s="23"/>
      <c r="F1122" s="23"/>
      <c r="G1122" s="23"/>
      <c r="H1122" s="23"/>
      <c r="I1122" s="23"/>
      <c r="J1122" s="23"/>
      <c r="K1122" s="23"/>
      <c r="L1122" s="49"/>
    </row>
    <row r="1123" customFormat="false" ht="15" hidden="true" customHeight="false" outlineLevel="1" collapsed="false">
      <c r="A1123" s="20" t="n">
        <v>123</v>
      </c>
      <c r="B1123" s="6" t="s">
        <v>702</v>
      </c>
      <c r="C1123" s="20" t="s">
        <v>71</v>
      </c>
      <c r="D1123" s="51" t="n">
        <f aca="false">SUM(F1107:J1107)</f>
        <v>-18.2314840325089</v>
      </c>
      <c r="E1123" s="23"/>
      <c r="F1123" s="23"/>
      <c r="G1123" s="23"/>
      <c r="H1123" s="23"/>
      <c r="I1123" s="23"/>
      <c r="J1123" s="23"/>
      <c r="K1123" s="23"/>
      <c r="L1123" s="49"/>
    </row>
    <row r="1124" customFormat="false" ht="15" hidden="true" customHeight="false" outlineLevel="1" collapsed="false">
      <c r="A1124" s="20" t="n">
        <v>124</v>
      </c>
      <c r="B1124" s="6" t="s">
        <v>82</v>
      </c>
      <c r="C1124" s="20" t="s">
        <v>71</v>
      </c>
      <c r="D1124" s="51" t="n">
        <f aca="false">SUM(F1107:J1107)+SUM(F1109:J1109)</f>
        <v>-6.54168178257734</v>
      </c>
      <c r="E1124" s="23"/>
      <c r="F1124" s="23"/>
      <c r="G1124" s="23"/>
      <c r="H1124" s="23"/>
      <c r="I1124" s="23"/>
      <c r="J1124" s="23"/>
      <c r="K1124" s="23"/>
      <c r="L1124" s="49"/>
    </row>
    <row r="1125" customFormat="false" ht="15" hidden="true" customHeight="false" outlineLevel="1" collapsed="false">
      <c r="A1125" s="20" t="n">
        <v>125</v>
      </c>
      <c r="B1125" s="6" t="s">
        <v>83</v>
      </c>
      <c r="C1125" s="20" t="s">
        <v>68</v>
      </c>
      <c r="D1125" s="55" t="n">
        <f aca="false">IFERROR(IRR(F1110:J1110),"н/д")</f>
        <v>0.170495590125219</v>
      </c>
      <c r="E1125" s="23"/>
      <c r="F1125" s="23"/>
      <c r="G1125" s="23"/>
      <c r="H1125" s="23"/>
      <c r="I1125" s="23"/>
      <c r="J1125" s="23"/>
      <c r="K1125" s="23"/>
      <c r="L1125" s="49"/>
    </row>
    <row r="1126" customFormat="false" ht="15" hidden="true" customHeight="false" outlineLevel="1" collapsed="false">
      <c r="A1126" s="20" t="n">
        <v>126</v>
      </c>
      <c r="B1126" s="6" t="s">
        <v>13</v>
      </c>
      <c r="C1126" s="20" t="s">
        <v>79</v>
      </c>
      <c r="D1126" s="56" t="n">
        <f aca="false">IF(COUNT(F1111:J1111)=0,"после 2031",MIN(F1111:J1111))</f>
        <v>2030</v>
      </c>
      <c r="E1126" s="23"/>
      <c r="F1126" s="23"/>
      <c r="G1126" s="23"/>
      <c r="H1126" s="23"/>
      <c r="I1126" s="23"/>
      <c r="J1126" s="23"/>
      <c r="K1126" s="23"/>
      <c r="L1126" s="49"/>
    </row>
    <row r="1127" customFormat="false" ht="15" hidden="true" customHeight="false" outlineLevel="1" collapsed="false">
      <c r="A1127" s="20" t="n">
        <v>127</v>
      </c>
      <c r="B1127" s="6" t="s">
        <v>703</v>
      </c>
      <c r="C1127" s="20" t="s">
        <v>79</v>
      </c>
      <c r="D1127" s="56" t="str">
        <f aca="false">IF(COUNT(F1112:J1112)=0,"после 2031",MIN(F1112:J1112))</f>
        <v>после 2031</v>
      </c>
      <c r="E1127" s="23"/>
      <c r="F1127" s="23"/>
      <c r="G1127" s="23"/>
      <c r="H1127" s="23"/>
      <c r="I1127" s="23"/>
      <c r="J1127" s="23"/>
      <c r="K1127" s="23"/>
      <c r="L1127" s="49"/>
    </row>
    <row r="1130" customFormat="false" ht="15" hidden="true" customHeight="false" outlineLevel="1" collapsed="false">
      <c r="A1130" s="57" t="s">
        <v>731</v>
      </c>
    </row>
    <row r="1131" customFormat="false" ht="30" hidden="true" customHeight="true" outlineLevel="1" collapsed="false">
      <c r="A1131" s="4" t="s">
        <v>49</v>
      </c>
      <c r="B1131" s="4" t="s">
        <v>3</v>
      </c>
      <c r="C1131" s="5" t="s">
        <v>50</v>
      </c>
      <c r="D1131" s="5" t="s">
        <v>551</v>
      </c>
      <c r="E1131" s="5" t="s">
        <v>356</v>
      </c>
      <c r="F1131" s="5" t="s">
        <v>86</v>
      </c>
      <c r="G1131" s="5" t="s">
        <v>87</v>
      </c>
      <c r="H1131" s="5" t="s">
        <v>88</v>
      </c>
      <c r="I1131" s="5" t="s">
        <v>89</v>
      </c>
      <c r="J1131" s="5" t="s">
        <v>90</v>
      </c>
      <c r="K1131" s="5" t="s">
        <v>552</v>
      </c>
      <c r="L1131" s="5" t="s">
        <v>393</v>
      </c>
    </row>
    <row r="1132" customFormat="false" ht="15" hidden="true" customHeight="false" outlineLevel="1" collapsed="false">
      <c r="A1132" s="19" t="s">
        <v>553</v>
      </c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</row>
    <row r="1133" customFormat="false" ht="15" hidden="true" customHeight="false" outlineLevel="1" collapsed="false">
      <c r="A1133" s="20" t="n">
        <v>1</v>
      </c>
      <c r="B1133" s="6" t="s">
        <v>554</v>
      </c>
      <c r="C1133" s="20" t="s">
        <v>79</v>
      </c>
      <c r="D1133" s="10" t="n">
        <f aca="false">Допущения!$E$49</f>
        <v>2027</v>
      </c>
      <c r="E1133" s="23"/>
      <c r="F1133" s="23"/>
      <c r="G1133" s="23"/>
      <c r="H1133" s="23"/>
      <c r="I1133" s="23"/>
      <c r="J1133" s="23"/>
      <c r="K1133" s="23"/>
      <c r="L1133" s="49"/>
    </row>
    <row r="1134" customFormat="false" ht="15" hidden="true" customHeight="false" outlineLevel="1" collapsed="false">
      <c r="A1134" s="20" t="n">
        <v>2</v>
      </c>
      <c r="B1134" s="6" t="s">
        <v>555</v>
      </c>
      <c r="C1134" s="20" t="s">
        <v>105</v>
      </c>
      <c r="D1134" s="45" t="n">
        <f aca="false">Допущения!$E$7</f>
        <v>1.8</v>
      </c>
      <c r="E1134" s="23"/>
      <c r="F1134" s="23"/>
      <c r="G1134" s="23"/>
      <c r="H1134" s="23"/>
      <c r="I1134" s="23"/>
      <c r="J1134" s="23"/>
      <c r="K1134" s="23"/>
      <c r="L1134" s="49"/>
    </row>
    <row r="1135" customFormat="false" ht="15" hidden="true" customHeight="false" outlineLevel="1" collapsed="false">
      <c r="A1135" s="20" t="n">
        <v>3</v>
      </c>
      <c r="B1135" s="6" t="s">
        <v>556</v>
      </c>
      <c r="C1135" s="20" t="s">
        <v>55</v>
      </c>
      <c r="D1135" s="9" t="n">
        <f aca="false">Допущения!$E$42</f>
        <v>6</v>
      </c>
      <c r="E1135" s="23"/>
      <c r="F1135" s="23"/>
      <c r="G1135" s="23"/>
      <c r="H1135" s="23"/>
      <c r="I1135" s="23"/>
      <c r="J1135" s="23"/>
      <c r="K1135" s="23"/>
      <c r="L1135" s="49"/>
    </row>
    <row r="1136" customFormat="false" ht="15" hidden="true" customHeight="false" outlineLevel="1" collapsed="false">
      <c r="A1136" s="20" t="n">
        <v>4</v>
      </c>
      <c r="B1136" s="6" t="s">
        <v>557</v>
      </c>
      <c r="C1136" s="20" t="s">
        <v>244</v>
      </c>
      <c r="D1136" s="9" t="n">
        <f aca="false">Допущения!$E$43</f>
        <v>5</v>
      </c>
      <c r="E1136" s="23"/>
      <c r="F1136" s="23"/>
      <c r="G1136" s="23"/>
      <c r="H1136" s="23"/>
      <c r="I1136" s="23"/>
      <c r="J1136" s="23"/>
      <c r="K1136" s="23"/>
      <c r="L1136" s="49"/>
    </row>
    <row r="1137" customFormat="false" ht="15" hidden="true" customHeight="false" outlineLevel="1" collapsed="false">
      <c r="A1137" s="20" t="n">
        <v>5</v>
      </c>
      <c r="B1137" s="6" t="s">
        <v>558</v>
      </c>
      <c r="C1137" s="20" t="s">
        <v>55</v>
      </c>
      <c r="D1137" s="9" t="n">
        <f aca="false">Допущения!$E$44</f>
        <v>1.5</v>
      </c>
      <c r="E1137" s="23"/>
      <c r="F1137" s="23"/>
      <c r="G1137" s="23"/>
      <c r="H1137" s="23"/>
      <c r="I1137" s="23"/>
      <c r="J1137" s="23"/>
      <c r="K1137" s="23"/>
      <c r="L1137" s="49"/>
    </row>
    <row r="1138" customFormat="false" ht="15" hidden="true" customHeight="false" outlineLevel="1" collapsed="false">
      <c r="A1138" s="20" t="n">
        <v>6</v>
      </c>
      <c r="B1138" s="6" t="s">
        <v>559</v>
      </c>
      <c r="C1138" s="20" t="s">
        <v>71</v>
      </c>
      <c r="D1138" s="9" t="n">
        <f aca="false">Допущения!$E$45*1.2</f>
        <v>9.6</v>
      </c>
      <c r="E1138" s="23"/>
      <c r="F1138" s="23"/>
      <c r="G1138" s="23"/>
      <c r="H1138" s="23"/>
      <c r="I1138" s="23"/>
      <c r="J1138" s="23"/>
      <c r="K1138" s="23"/>
      <c r="L1138" s="49"/>
    </row>
    <row r="1139" customFormat="false" ht="15" hidden="true" customHeight="false" outlineLevel="1" collapsed="false">
      <c r="A1139" s="20" t="n">
        <v>7</v>
      </c>
      <c r="B1139" s="6" t="s">
        <v>560</v>
      </c>
      <c r="C1139" s="20" t="s">
        <v>71</v>
      </c>
      <c r="D1139" s="9" t="n">
        <f aca="false">Допущения!$E$46*1.2</f>
        <v>2.4</v>
      </c>
      <c r="E1139" s="23"/>
      <c r="F1139" s="23"/>
      <c r="G1139" s="23"/>
      <c r="H1139" s="23"/>
      <c r="I1139" s="23"/>
      <c r="J1139" s="23"/>
      <c r="K1139" s="23"/>
      <c r="L1139" s="49"/>
    </row>
    <row r="1140" customFormat="false" ht="15" hidden="true" customHeight="false" outlineLevel="1" collapsed="false">
      <c r="A1140" s="20" t="n">
        <v>8</v>
      </c>
      <c r="B1140" s="6" t="s">
        <v>260</v>
      </c>
      <c r="C1140" s="20" t="s">
        <v>261</v>
      </c>
      <c r="D1140" s="22" t="n">
        <f aca="false">Допущения!$E$47</f>
        <v>0.05</v>
      </c>
      <c r="E1140" s="23"/>
      <c r="F1140" s="23"/>
      <c r="G1140" s="23"/>
      <c r="H1140" s="23"/>
      <c r="I1140" s="23"/>
      <c r="J1140" s="23"/>
      <c r="K1140" s="23"/>
      <c r="L1140" s="49"/>
    </row>
    <row r="1141" customFormat="false" ht="15" hidden="true" customHeight="false" outlineLevel="1" collapsed="false">
      <c r="A1141" s="20" t="n">
        <v>9</v>
      </c>
      <c r="B1141" s="6" t="s">
        <v>561</v>
      </c>
      <c r="C1141" s="20" t="s">
        <v>261</v>
      </c>
      <c r="D1141" s="22" t="n">
        <f aca="false">Допущения!$E$48</f>
        <v>0.15</v>
      </c>
      <c r="E1141" s="23"/>
      <c r="F1141" s="23"/>
      <c r="G1141" s="23"/>
      <c r="H1141" s="23"/>
      <c r="I1141" s="23"/>
      <c r="J1141" s="23"/>
      <c r="K1141" s="23"/>
      <c r="L1141" s="49"/>
    </row>
    <row r="1142" customFormat="false" ht="15" hidden="true" customHeight="false" outlineLevel="1" collapsed="false">
      <c r="A1142" s="20" t="n">
        <v>10</v>
      </c>
      <c r="B1142" s="6" t="s">
        <v>274</v>
      </c>
      <c r="C1142" s="20" t="s">
        <v>261</v>
      </c>
      <c r="D1142" s="22" t="n">
        <f aca="false">Допущения!$E$51</f>
        <v>0.07</v>
      </c>
      <c r="E1142" s="23"/>
      <c r="F1142" s="23"/>
      <c r="G1142" s="23"/>
      <c r="H1142" s="23"/>
      <c r="I1142" s="23"/>
      <c r="J1142" s="23"/>
      <c r="K1142" s="23"/>
      <c r="L1142" s="49"/>
    </row>
    <row r="1143" customFormat="false" ht="15" hidden="true" customHeight="false" outlineLevel="1" collapsed="false">
      <c r="A1143" s="20" t="n">
        <v>11</v>
      </c>
      <c r="B1143" s="6" t="s">
        <v>562</v>
      </c>
      <c r="C1143" s="20" t="s">
        <v>68</v>
      </c>
      <c r="D1143" s="22" t="n">
        <f aca="false">Допущения!$E$52</f>
        <v>0.15</v>
      </c>
      <c r="E1143" s="23"/>
      <c r="F1143" s="23"/>
      <c r="G1143" s="23"/>
      <c r="H1143" s="23"/>
      <c r="I1143" s="23"/>
      <c r="J1143" s="23"/>
      <c r="K1143" s="23"/>
      <c r="L1143" s="49"/>
    </row>
    <row r="1144" customFormat="false" ht="15" hidden="true" customHeight="false" outlineLevel="1" collapsed="false">
      <c r="A1144" s="20" t="n">
        <v>12</v>
      </c>
      <c r="B1144" s="6" t="s">
        <v>563</v>
      </c>
      <c r="C1144" s="20" t="s">
        <v>68</v>
      </c>
      <c r="D1144" s="22" t="n">
        <f aca="false">Допущения!$E$53</f>
        <v>0.076</v>
      </c>
      <c r="E1144" s="23"/>
      <c r="F1144" s="23"/>
      <c r="G1144" s="23"/>
      <c r="H1144" s="23"/>
      <c r="I1144" s="23"/>
      <c r="J1144" s="23"/>
      <c r="K1144" s="23"/>
      <c r="L1144" s="49"/>
    </row>
    <row r="1145" customFormat="false" ht="15" hidden="true" customHeight="false" outlineLevel="1" collapsed="false">
      <c r="A1145" s="20" t="n">
        <v>13</v>
      </c>
      <c r="B1145" s="6" t="s">
        <v>284</v>
      </c>
      <c r="C1145" s="20" t="s">
        <v>68</v>
      </c>
      <c r="D1145" s="22" t="n">
        <f aca="false">Допущения!$E$54</f>
        <v>0.002</v>
      </c>
      <c r="E1145" s="23"/>
      <c r="F1145" s="23"/>
      <c r="G1145" s="23"/>
      <c r="H1145" s="23"/>
      <c r="I1145" s="23"/>
      <c r="J1145" s="23"/>
      <c r="K1145" s="23"/>
      <c r="L1145" s="49"/>
    </row>
    <row r="1146" customFormat="false" ht="15" hidden="true" customHeight="false" outlineLevel="1" collapsed="false">
      <c r="A1146" s="20" t="n">
        <v>14</v>
      </c>
      <c r="B1146" s="6" t="s">
        <v>564</v>
      </c>
      <c r="C1146" s="20" t="s">
        <v>55</v>
      </c>
      <c r="D1146" s="50" t="n">
        <f aca="false">Допущения!$E$55</f>
        <v>2.979</v>
      </c>
      <c r="E1146" s="23"/>
      <c r="F1146" s="23"/>
      <c r="G1146" s="23"/>
      <c r="H1146" s="23"/>
      <c r="I1146" s="23"/>
      <c r="J1146" s="23"/>
      <c r="K1146" s="23"/>
      <c r="L1146" s="49"/>
    </row>
    <row r="1147" customFormat="false" ht="15" hidden="true" customHeight="false" outlineLevel="1" collapsed="false">
      <c r="A1147" s="20" t="n">
        <v>15</v>
      </c>
      <c r="B1147" s="6" t="s">
        <v>565</v>
      </c>
      <c r="C1147" s="20" t="s">
        <v>261</v>
      </c>
      <c r="D1147" s="22" t="n">
        <f aca="false">Допущения!$E$56</f>
        <v>0.08</v>
      </c>
      <c r="E1147" s="23"/>
      <c r="F1147" s="23"/>
      <c r="G1147" s="23"/>
      <c r="H1147" s="23"/>
      <c r="I1147" s="23"/>
      <c r="J1147" s="23"/>
      <c r="K1147" s="23"/>
      <c r="L1147" s="49"/>
    </row>
    <row r="1148" customFormat="false" ht="15" hidden="true" customHeight="false" outlineLevel="1" collapsed="false">
      <c r="A1148" s="20" t="n">
        <v>16</v>
      </c>
      <c r="B1148" s="6" t="s">
        <v>566</v>
      </c>
      <c r="C1148" s="20" t="s">
        <v>71</v>
      </c>
      <c r="D1148" s="9" t="n">
        <f aca="false">Допущения!$E$58</f>
        <v>2.5</v>
      </c>
      <c r="E1148" s="23"/>
      <c r="F1148" s="23"/>
      <c r="G1148" s="23"/>
      <c r="H1148" s="23"/>
      <c r="I1148" s="23"/>
      <c r="J1148" s="23"/>
      <c r="K1148" s="23"/>
      <c r="L1148" s="49"/>
    </row>
    <row r="1149" customFormat="false" ht="15" hidden="true" customHeight="false" outlineLevel="1" collapsed="false">
      <c r="A1149" s="20" t="n">
        <v>17</v>
      </c>
      <c r="B1149" s="6" t="s">
        <v>299</v>
      </c>
      <c r="C1149" s="20" t="s">
        <v>55</v>
      </c>
      <c r="D1149" s="9" t="n">
        <f aca="false">Допущения!$E$59</f>
        <v>1</v>
      </c>
      <c r="E1149" s="23"/>
      <c r="F1149" s="23"/>
      <c r="G1149" s="23"/>
      <c r="H1149" s="23"/>
      <c r="I1149" s="23"/>
      <c r="J1149" s="23"/>
      <c r="K1149" s="23"/>
      <c r="L1149" s="49"/>
    </row>
    <row r="1150" customFormat="false" ht="15" hidden="true" customHeight="false" outlineLevel="1" collapsed="false">
      <c r="A1150" s="20" t="n">
        <v>18</v>
      </c>
      <c r="B1150" s="6" t="s">
        <v>302</v>
      </c>
      <c r="C1150" s="20" t="s">
        <v>55</v>
      </c>
      <c r="D1150" s="9" t="n">
        <f aca="false">Допущения!$E$60</f>
        <v>0.6</v>
      </c>
      <c r="E1150" s="23"/>
      <c r="F1150" s="23"/>
      <c r="G1150" s="23"/>
      <c r="H1150" s="23"/>
      <c r="I1150" s="23"/>
      <c r="J1150" s="23"/>
      <c r="K1150" s="23"/>
      <c r="L1150" s="49"/>
    </row>
    <row r="1151" customFormat="false" ht="15" hidden="true" customHeight="false" outlineLevel="1" collapsed="false">
      <c r="A1151" s="20" t="n">
        <v>19</v>
      </c>
      <c r="B1151" s="6" t="s">
        <v>567</v>
      </c>
      <c r="C1151" s="20" t="s">
        <v>55</v>
      </c>
      <c r="D1151" s="45" t="n">
        <f aca="false">Допущения!$E$61</f>
        <v>0.15</v>
      </c>
      <c r="E1151" s="23"/>
      <c r="F1151" s="23"/>
      <c r="G1151" s="23"/>
      <c r="H1151" s="23"/>
      <c r="I1151" s="23"/>
      <c r="J1151" s="23"/>
      <c r="K1151" s="23"/>
      <c r="L1151" s="49"/>
    </row>
    <row r="1152" customFormat="false" ht="15" hidden="true" customHeight="false" outlineLevel="1" collapsed="false">
      <c r="A1152" s="20" t="n">
        <v>20</v>
      </c>
      <c r="B1152" s="6" t="s">
        <v>568</v>
      </c>
      <c r="C1152" s="20" t="s">
        <v>55</v>
      </c>
      <c r="D1152" s="9" t="n">
        <f aca="false">Допущения!$E$62</f>
        <v>1</v>
      </c>
      <c r="E1152" s="23"/>
      <c r="F1152" s="23"/>
      <c r="G1152" s="23"/>
      <c r="H1152" s="23"/>
      <c r="I1152" s="23"/>
      <c r="J1152" s="23"/>
      <c r="K1152" s="23"/>
      <c r="L1152" s="49"/>
    </row>
    <row r="1153" customFormat="false" ht="15" hidden="true" customHeight="false" outlineLevel="1" collapsed="false">
      <c r="A1153" s="20" t="n">
        <v>21</v>
      </c>
      <c r="B1153" s="6" t="s">
        <v>569</v>
      </c>
      <c r="C1153" s="20" t="s">
        <v>71</v>
      </c>
      <c r="D1153" s="9" t="n">
        <f aca="false">Допущения!$E$63</f>
        <v>0.4</v>
      </c>
      <c r="E1153" s="23"/>
      <c r="F1153" s="23"/>
      <c r="G1153" s="23"/>
      <c r="H1153" s="23"/>
      <c r="I1153" s="23"/>
      <c r="J1153" s="23"/>
      <c r="K1153" s="23"/>
      <c r="L1153" s="49"/>
    </row>
    <row r="1154" customFormat="false" ht="15" hidden="true" customHeight="false" outlineLevel="1" collapsed="false">
      <c r="A1154" s="20" t="n">
        <v>22</v>
      </c>
      <c r="B1154" s="6" t="s">
        <v>314</v>
      </c>
      <c r="C1154" s="20" t="s">
        <v>55</v>
      </c>
      <c r="D1154" s="9" t="n">
        <f aca="false">Допущения!$E$64</f>
        <v>1.2</v>
      </c>
      <c r="E1154" s="23"/>
      <c r="F1154" s="23"/>
      <c r="G1154" s="23"/>
      <c r="H1154" s="23"/>
      <c r="I1154" s="23"/>
      <c r="J1154" s="23"/>
      <c r="K1154" s="23"/>
      <c r="L1154" s="49"/>
    </row>
    <row r="1155" customFormat="false" ht="15" hidden="true" customHeight="false" outlineLevel="1" collapsed="false">
      <c r="A1155" s="20" t="n">
        <v>23</v>
      </c>
      <c r="B1155" s="6" t="s">
        <v>317</v>
      </c>
      <c r="C1155" s="20" t="s">
        <v>55</v>
      </c>
      <c r="D1155" s="45" t="n">
        <f aca="false">Допущения!$E$65</f>
        <v>0.1</v>
      </c>
      <c r="E1155" s="23"/>
      <c r="F1155" s="23"/>
      <c r="G1155" s="23"/>
      <c r="H1155" s="23"/>
      <c r="I1155" s="23"/>
      <c r="J1155" s="23"/>
      <c r="K1155" s="23"/>
      <c r="L1155" s="49"/>
    </row>
    <row r="1156" customFormat="false" ht="15" hidden="true" customHeight="false" outlineLevel="1" collapsed="false">
      <c r="A1156" s="20" t="n">
        <v>24</v>
      </c>
      <c r="B1156" s="6" t="s">
        <v>320</v>
      </c>
      <c r="C1156" s="20" t="s">
        <v>71</v>
      </c>
      <c r="D1156" s="45" t="n">
        <f aca="false">Допущения!$E$66</f>
        <v>0.25</v>
      </c>
      <c r="E1156" s="23"/>
      <c r="F1156" s="23"/>
      <c r="G1156" s="23"/>
      <c r="H1156" s="23"/>
      <c r="I1156" s="23"/>
      <c r="J1156" s="23"/>
      <c r="K1156" s="23"/>
      <c r="L1156" s="49"/>
    </row>
    <row r="1157" customFormat="false" ht="15" hidden="true" customHeight="false" outlineLevel="1" collapsed="false">
      <c r="A1157" s="20" t="n">
        <v>25</v>
      </c>
      <c r="B1157" s="6" t="s">
        <v>570</v>
      </c>
      <c r="C1157" s="20" t="s">
        <v>71</v>
      </c>
      <c r="D1157" s="9" t="n">
        <f aca="false">Допущения!$E$67</f>
        <v>0.3</v>
      </c>
      <c r="E1157" s="23"/>
      <c r="F1157" s="23"/>
      <c r="G1157" s="23"/>
      <c r="H1157" s="23"/>
      <c r="I1157" s="23"/>
      <c r="J1157" s="23"/>
      <c r="K1157" s="23"/>
      <c r="L1157" s="49"/>
    </row>
    <row r="1158" customFormat="false" ht="15" hidden="true" customHeight="false" outlineLevel="1" collapsed="false">
      <c r="A1158" s="20" t="n">
        <v>26</v>
      </c>
      <c r="B1158" s="6" t="s">
        <v>326</v>
      </c>
      <c r="C1158" s="20" t="s">
        <v>261</v>
      </c>
      <c r="D1158" s="22" t="n">
        <f aca="false">Допущения!$E$68</f>
        <v>0.05</v>
      </c>
      <c r="E1158" s="23"/>
      <c r="F1158" s="23"/>
      <c r="G1158" s="23"/>
      <c r="H1158" s="23"/>
      <c r="I1158" s="23"/>
      <c r="J1158" s="23"/>
      <c r="K1158" s="23"/>
      <c r="L1158" s="49"/>
    </row>
    <row r="1159" customFormat="false" ht="15" hidden="true" customHeight="false" outlineLevel="1" collapsed="false">
      <c r="A1159" s="20" t="n">
        <v>27</v>
      </c>
      <c r="B1159" s="6" t="s">
        <v>571</v>
      </c>
      <c r="C1159" s="20" t="s">
        <v>330</v>
      </c>
      <c r="D1159" s="22" t="n">
        <f aca="false">Допущения!$E$69</f>
        <v>0.1</v>
      </c>
      <c r="E1159" s="23"/>
      <c r="F1159" s="23"/>
      <c r="G1159" s="23"/>
      <c r="H1159" s="23"/>
      <c r="I1159" s="23"/>
      <c r="J1159" s="23"/>
      <c r="K1159" s="23"/>
      <c r="L1159" s="49"/>
    </row>
    <row r="1160" customFormat="false" ht="15" hidden="true" customHeight="false" outlineLevel="1" collapsed="false">
      <c r="A1160" s="20" t="n">
        <v>28</v>
      </c>
      <c r="B1160" s="6" t="s">
        <v>572</v>
      </c>
      <c r="C1160" s="20" t="s">
        <v>68</v>
      </c>
      <c r="D1160" s="22" t="n">
        <f aca="false">Допущения!$E$71</f>
        <v>0.05</v>
      </c>
      <c r="E1160" s="23"/>
      <c r="F1160" s="23"/>
      <c r="G1160" s="23"/>
      <c r="H1160" s="23"/>
      <c r="I1160" s="23"/>
      <c r="J1160" s="23"/>
      <c r="K1160" s="23"/>
      <c r="L1160" s="49"/>
    </row>
    <row r="1161" customFormat="false" ht="15" hidden="true" customHeight="false" outlineLevel="1" collapsed="false">
      <c r="A1161" s="20" t="n">
        <v>29</v>
      </c>
      <c r="B1161" s="6" t="s">
        <v>573</v>
      </c>
      <c r="C1161" s="20" t="s">
        <v>68</v>
      </c>
      <c r="D1161" s="22" t="n">
        <f aca="false">Допущения!$E$72</f>
        <v>0.5</v>
      </c>
      <c r="E1161" s="23"/>
      <c r="F1161" s="23"/>
      <c r="G1161" s="23"/>
      <c r="H1161" s="23"/>
      <c r="I1161" s="23"/>
      <c r="J1161" s="23"/>
      <c r="K1161" s="23"/>
      <c r="L1161" s="49"/>
    </row>
    <row r="1162" customFormat="false" ht="15" hidden="true" customHeight="false" outlineLevel="1" collapsed="false">
      <c r="A1162" s="20" t="n">
        <v>30</v>
      </c>
      <c r="B1162" s="6" t="s">
        <v>574</v>
      </c>
      <c r="C1162" s="20" t="s">
        <v>575</v>
      </c>
      <c r="D1162" s="7" t="n">
        <f aca="false">Допущения!$E$73</f>
        <v>90</v>
      </c>
      <c r="E1162" s="23"/>
      <c r="F1162" s="23"/>
      <c r="G1162" s="23"/>
      <c r="H1162" s="23"/>
      <c r="I1162" s="23"/>
      <c r="J1162" s="23"/>
      <c r="K1162" s="23"/>
      <c r="L1162" s="49"/>
    </row>
    <row r="1163" customFormat="false" ht="15" hidden="true" customHeight="false" outlineLevel="1" collapsed="false">
      <c r="A1163" s="20" t="n">
        <v>31</v>
      </c>
      <c r="B1163" s="6" t="s">
        <v>345</v>
      </c>
      <c r="C1163" s="20" t="s">
        <v>68</v>
      </c>
      <c r="D1163" s="22" t="n">
        <f aca="false">Допущения!$E$74</f>
        <v>0.3</v>
      </c>
      <c r="E1163" s="23"/>
      <c r="F1163" s="23"/>
      <c r="G1163" s="23"/>
      <c r="H1163" s="23"/>
      <c r="I1163" s="23"/>
      <c r="J1163" s="23"/>
      <c r="K1163" s="23"/>
      <c r="L1163" s="49"/>
    </row>
    <row r="1164" customFormat="false" ht="15" hidden="true" customHeight="false" outlineLevel="1" collapsed="false">
      <c r="A1164" s="20" t="n">
        <v>32</v>
      </c>
      <c r="B1164" s="6" t="s">
        <v>576</v>
      </c>
      <c r="C1164" s="20" t="s">
        <v>261</v>
      </c>
      <c r="D1164" s="22" t="n">
        <f aca="false">Допущения!$E$75</f>
        <v>0.04</v>
      </c>
      <c r="E1164" s="23"/>
      <c r="F1164" s="23"/>
      <c r="G1164" s="23"/>
      <c r="H1164" s="23"/>
      <c r="I1164" s="23"/>
      <c r="J1164" s="23"/>
      <c r="K1164" s="23"/>
      <c r="L1164" s="49"/>
    </row>
    <row r="1165" customFormat="false" ht="15" hidden="true" customHeight="false" outlineLevel="1" collapsed="false">
      <c r="A1165" s="20" t="n">
        <v>33</v>
      </c>
      <c r="B1165" s="6" t="s">
        <v>577</v>
      </c>
      <c r="C1165" s="20" t="s">
        <v>68</v>
      </c>
      <c r="D1165" s="22" t="n">
        <f aca="false">Допущения!$E$76</f>
        <v>0.2</v>
      </c>
      <c r="E1165" s="23"/>
      <c r="F1165" s="23"/>
      <c r="G1165" s="23"/>
      <c r="H1165" s="23"/>
      <c r="I1165" s="23"/>
      <c r="J1165" s="23"/>
      <c r="K1165" s="23"/>
      <c r="L1165" s="49"/>
    </row>
    <row r="1166" customFormat="false" ht="15" hidden="true" customHeight="false" outlineLevel="1" collapsed="false">
      <c r="A1166" s="20" t="n">
        <v>34</v>
      </c>
      <c r="B1166" s="6" t="s">
        <v>578</v>
      </c>
      <c r="C1166" s="20" t="s">
        <v>105</v>
      </c>
      <c r="D1166" s="50" t="n">
        <f aca="false">Рынок!$E$30</f>
        <v>0.490909090909091</v>
      </c>
      <c r="E1166" s="23"/>
      <c r="F1166" s="23"/>
      <c r="G1166" s="23"/>
      <c r="H1166" s="23"/>
      <c r="I1166" s="23"/>
      <c r="J1166" s="23"/>
      <c r="K1166" s="23"/>
      <c r="L1166" s="49" t="s">
        <v>579</v>
      </c>
    </row>
    <row r="1167" customFormat="false" ht="15" hidden="true" customHeight="false" outlineLevel="1" collapsed="false">
      <c r="A1167" s="20" t="n">
        <v>35</v>
      </c>
      <c r="B1167" s="6" t="s">
        <v>580</v>
      </c>
      <c r="C1167" s="20" t="s">
        <v>105</v>
      </c>
      <c r="D1167" s="50" t="n">
        <f aca="false">Рынок!$E$31</f>
        <v>0.028125</v>
      </c>
      <c r="E1167" s="23"/>
      <c r="F1167" s="23"/>
      <c r="G1167" s="23"/>
      <c r="H1167" s="23"/>
      <c r="I1167" s="23"/>
      <c r="J1167" s="23"/>
      <c r="K1167" s="23"/>
      <c r="L1167" s="49" t="s">
        <v>579</v>
      </c>
    </row>
    <row r="1168" customFormat="false" ht="15" hidden="true" customHeight="false" outlineLevel="1" collapsed="false">
      <c r="A1168" s="20" t="n">
        <v>36</v>
      </c>
      <c r="B1168" s="6" t="s">
        <v>581</v>
      </c>
      <c r="C1168" s="20" t="s">
        <v>142</v>
      </c>
      <c r="D1168" s="7" t="n">
        <f aca="false">План!$D$18</f>
        <v>200</v>
      </c>
      <c r="E1168" s="23"/>
      <c r="F1168" s="23"/>
      <c r="G1168" s="23"/>
      <c r="H1168" s="23"/>
      <c r="I1168" s="23"/>
      <c r="J1168" s="23"/>
      <c r="K1168" s="23"/>
      <c r="L1168" s="49" t="s">
        <v>582</v>
      </c>
    </row>
    <row r="1169" customFormat="false" ht="15" hidden="true" customHeight="false" outlineLevel="1" collapsed="false">
      <c r="A1169" s="20" t="n">
        <v>37</v>
      </c>
      <c r="B1169" s="6" t="s">
        <v>583</v>
      </c>
      <c r="C1169" s="20" t="s">
        <v>142</v>
      </c>
      <c r="D1169" s="7" t="n">
        <f aca="false">План!$D$19</f>
        <v>280</v>
      </c>
      <c r="E1169" s="23"/>
      <c r="F1169" s="23"/>
      <c r="G1169" s="23"/>
      <c r="H1169" s="23"/>
      <c r="I1169" s="23"/>
      <c r="J1169" s="23"/>
      <c r="K1169" s="23"/>
      <c r="L1169" s="49" t="s">
        <v>582</v>
      </c>
    </row>
    <row r="1170" customFormat="false" ht="15" hidden="true" customHeight="false" outlineLevel="1" collapsed="false">
      <c r="A1170" s="20" t="n">
        <v>38</v>
      </c>
      <c r="B1170" s="6" t="s">
        <v>584</v>
      </c>
      <c r="C1170" s="20" t="s">
        <v>142</v>
      </c>
      <c r="D1170" s="7" t="n">
        <f aca="false">План!$D$20</f>
        <v>230</v>
      </c>
      <c r="E1170" s="23"/>
      <c r="F1170" s="23"/>
      <c r="G1170" s="23"/>
      <c r="H1170" s="23"/>
      <c r="I1170" s="23"/>
      <c r="J1170" s="23"/>
      <c r="K1170" s="23"/>
      <c r="L1170" s="49" t="s">
        <v>582</v>
      </c>
    </row>
    <row r="1171" customFormat="false" ht="15" hidden="true" customHeight="false" outlineLevel="1" collapsed="false">
      <c r="A1171" s="20" t="n">
        <v>39</v>
      </c>
      <c r="B1171" s="6" t="s">
        <v>585</v>
      </c>
      <c r="C1171" s="20" t="s">
        <v>142</v>
      </c>
      <c r="D1171" s="7" t="n">
        <f aca="false">План!$D$21</f>
        <v>220</v>
      </c>
      <c r="E1171" s="23"/>
      <c r="F1171" s="23"/>
      <c r="G1171" s="23"/>
      <c r="H1171" s="23"/>
      <c r="I1171" s="23"/>
      <c r="J1171" s="23"/>
      <c r="K1171" s="23"/>
      <c r="L1171" s="49" t="s">
        <v>582</v>
      </c>
    </row>
    <row r="1172" customFormat="false" ht="15" hidden="true" customHeight="false" outlineLevel="1" collapsed="false">
      <c r="A1172" s="20" t="n">
        <v>40</v>
      </c>
      <c r="B1172" s="6" t="s">
        <v>586</v>
      </c>
      <c r="C1172" s="20" t="s">
        <v>142</v>
      </c>
      <c r="D1172" s="7" t="n">
        <f aca="false">План!$D$22</f>
        <v>250</v>
      </c>
      <c r="E1172" s="23"/>
      <c r="F1172" s="23"/>
      <c r="G1172" s="23"/>
      <c r="H1172" s="23"/>
      <c r="I1172" s="23"/>
      <c r="J1172" s="23"/>
      <c r="K1172" s="23"/>
      <c r="L1172" s="49" t="s">
        <v>582</v>
      </c>
    </row>
    <row r="1173" customFormat="false" ht="15" hidden="true" customHeight="false" outlineLevel="1" collapsed="false">
      <c r="A1173" s="20" t="n">
        <v>41</v>
      </c>
      <c r="B1173" s="6" t="s">
        <v>587</v>
      </c>
      <c r="C1173" s="20" t="s">
        <v>142</v>
      </c>
      <c r="D1173" s="7" t="n">
        <f aca="false">План!$D$23</f>
        <v>220</v>
      </c>
      <c r="E1173" s="23"/>
      <c r="F1173" s="23"/>
      <c r="G1173" s="23"/>
      <c r="H1173" s="23"/>
      <c r="I1173" s="23"/>
      <c r="J1173" s="23"/>
      <c r="K1173" s="23"/>
      <c r="L1173" s="49" t="s">
        <v>582</v>
      </c>
    </row>
    <row r="1174" customFormat="false" ht="15" hidden="true" customHeight="false" outlineLevel="1" collapsed="false">
      <c r="A1174" s="20" t="n">
        <v>42</v>
      </c>
      <c r="B1174" s="6" t="s">
        <v>359</v>
      </c>
      <c r="C1174" s="20" t="s">
        <v>76</v>
      </c>
      <c r="D1174" s="23"/>
      <c r="E1174" s="9" t="n">
        <f aca="false">План!E16</f>
        <v>0</v>
      </c>
      <c r="F1174" s="9" t="n">
        <f aca="false">План!F16</f>
        <v>0</v>
      </c>
      <c r="G1174" s="9" t="n">
        <f aca="false">План!G16</f>
        <v>0</v>
      </c>
      <c r="H1174" s="9" t="n">
        <f aca="false">План!H16</f>
        <v>1</v>
      </c>
      <c r="I1174" s="9" t="n">
        <f aca="false">План!I16</f>
        <v>0</v>
      </c>
      <c r="J1174" s="9" t="n">
        <f aca="false">План!J16</f>
        <v>1</v>
      </c>
      <c r="K1174" s="51" t="n">
        <f aca="false">SUM(F1174:J1174)</f>
        <v>2</v>
      </c>
      <c r="L1174" s="49" t="s">
        <v>582</v>
      </c>
    </row>
    <row r="1175" customFormat="false" ht="15" hidden="true" customHeight="false" outlineLevel="1" collapsed="false">
      <c r="A1175" s="20" t="n">
        <v>43</v>
      </c>
      <c r="B1175" s="6" t="s">
        <v>361</v>
      </c>
      <c r="C1175" s="20" t="s">
        <v>76</v>
      </c>
      <c r="D1175" s="23"/>
      <c r="E1175" s="9" t="n">
        <f aca="false">План!E17</f>
        <v>0</v>
      </c>
      <c r="F1175" s="9" t="n">
        <f aca="false">План!F17</f>
        <v>0</v>
      </c>
      <c r="G1175" s="9" t="n">
        <f aca="false">План!G17</f>
        <v>1</v>
      </c>
      <c r="H1175" s="9" t="n">
        <f aca="false">План!H17</f>
        <v>2</v>
      </c>
      <c r="I1175" s="9" t="n">
        <f aca="false">План!I17</f>
        <v>2</v>
      </c>
      <c r="J1175" s="9" t="n">
        <f aca="false">План!J17</f>
        <v>3</v>
      </c>
      <c r="K1175" s="51" t="n">
        <f aca="false">SUM(F1175:J1175)</f>
        <v>8</v>
      </c>
      <c r="L1175" s="49" t="s">
        <v>582</v>
      </c>
    </row>
    <row r="1176" customFormat="false" ht="15" hidden="true" customHeight="false" outlineLevel="1" collapsed="false">
      <c r="A1176" s="20" t="n">
        <v>44</v>
      </c>
      <c r="B1176" s="6" t="s">
        <v>588</v>
      </c>
      <c r="C1176" s="20" t="s">
        <v>53</v>
      </c>
      <c r="D1176" s="23"/>
      <c r="E1176" s="9" t="n">
        <f aca="false">План!E18</f>
        <v>2</v>
      </c>
      <c r="F1176" s="9" t="n">
        <f aca="false">План!F18</f>
        <v>2</v>
      </c>
      <c r="G1176" s="9" t="n">
        <f aca="false">План!G18</f>
        <v>2</v>
      </c>
      <c r="H1176" s="9" t="n">
        <f aca="false">План!H18</f>
        <v>2</v>
      </c>
      <c r="I1176" s="9" t="n">
        <f aca="false">План!I18</f>
        <v>2</v>
      </c>
      <c r="J1176" s="9" t="n">
        <f aca="false">План!J18</f>
        <v>2</v>
      </c>
      <c r="K1176" s="23"/>
      <c r="L1176" s="49" t="s">
        <v>582</v>
      </c>
    </row>
    <row r="1177" customFormat="false" ht="15" hidden="true" customHeight="false" outlineLevel="1" collapsed="false">
      <c r="A1177" s="20" t="n">
        <v>45</v>
      </c>
      <c r="B1177" s="6" t="s">
        <v>589</v>
      </c>
      <c r="C1177" s="20" t="s">
        <v>53</v>
      </c>
      <c r="D1177" s="23"/>
      <c r="E1177" s="9" t="n">
        <f aca="false">План!E19</f>
        <v>0</v>
      </c>
      <c r="F1177" s="9" t="n">
        <f aca="false">План!F19</f>
        <v>1</v>
      </c>
      <c r="G1177" s="9" t="n">
        <f aca="false">План!G19</f>
        <v>1</v>
      </c>
      <c r="H1177" s="9" t="n">
        <f aca="false">План!H19</f>
        <v>1</v>
      </c>
      <c r="I1177" s="9" t="n">
        <f aca="false">План!I19</f>
        <v>2</v>
      </c>
      <c r="J1177" s="9" t="n">
        <f aca="false">План!J19</f>
        <v>2</v>
      </c>
      <c r="K1177" s="23"/>
      <c r="L1177" s="49" t="s">
        <v>582</v>
      </c>
    </row>
    <row r="1178" customFormat="false" ht="15" hidden="true" customHeight="false" outlineLevel="1" collapsed="false">
      <c r="A1178" s="20" t="n">
        <v>46</v>
      </c>
      <c r="B1178" s="6" t="s">
        <v>590</v>
      </c>
      <c r="C1178" s="20" t="s">
        <v>53</v>
      </c>
      <c r="D1178" s="23"/>
      <c r="E1178" s="9" t="n">
        <f aca="false">План!E20</f>
        <v>0</v>
      </c>
      <c r="F1178" s="9" t="n">
        <f aca="false">План!F20</f>
        <v>1</v>
      </c>
      <c r="G1178" s="9" t="n">
        <f aca="false">План!G20</f>
        <v>1</v>
      </c>
      <c r="H1178" s="9" t="n">
        <f aca="false">План!H20</f>
        <v>1</v>
      </c>
      <c r="I1178" s="9" t="n">
        <f aca="false">План!I20</f>
        <v>1</v>
      </c>
      <c r="J1178" s="9" t="n">
        <f aca="false">План!J20</f>
        <v>1</v>
      </c>
      <c r="K1178" s="23"/>
      <c r="L1178" s="49" t="s">
        <v>582</v>
      </c>
    </row>
    <row r="1179" customFormat="false" ht="15" hidden="true" customHeight="false" outlineLevel="1" collapsed="false">
      <c r="A1179" s="20" t="n">
        <v>47</v>
      </c>
      <c r="B1179" s="6" t="s">
        <v>591</v>
      </c>
      <c r="C1179" s="20" t="s">
        <v>53</v>
      </c>
      <c r="D1179" s="23"/>
      <c r="E1179" s="9" t="n">
        <f aca="false">План!E21</f>
        <v>0</v>
      </c>
      <c r="F1179" s="9" t="n">
        <f aca="false">План!F21</f>
        <v>0</v>
      </c>
      <c r="G1179" s="9" t="n">
        <f aca="false">План!G21</f>
        <v>1</v>
      </c>
      <c r="H1179" s="9" t="n">
        <f aca="false">План!H21</f>
        <v>1</v>
      </c>
      <c r="I1179" s="9" t="n">
        <f aca="false">План!I21</f>
        <v>1</v>
      </c>
      <c r="J1179" s="9" t="n">
        <f aca="false">План!J21</f>
        <v>1</v>
      </c>
      <c r="K1179" s="23"/>
      <c r="L1179" s="49" t="s">
        <v>582</v>
      </c>
    </row>
    <row r="1180" customFormat="false" ht="15" hidden="true" customHeight="false" outlineLevel="1" collapsed="false">
      <c r="A1180" s="20" t="n">
        <v>48</v>
      </c>
      <c r="B1180" s="6" t="s">
        <v>592</v>
      </c>
      <c r="C1180" s="20" t="s">
        <v>53</v>
      </c>
      <c r="D1180" s="23"/>
      <c r="E1180" s="9" t="n">
        <f aca="false">План!E22</f>
        <v>0</v>
      </c>
      <c r="F1180" s="9" t="n">
        <f aca="false">План!F22</f>
        <v>0</v>
      </c>
      <c r="G1180" s="9" t="n">
        <f aca="false">План!G22</f>
        <v>0</v>
      </c>
      <c r="H1180" s="9" t="n">
        <f aca="false">План!H22</f>
        <v>1</v>
      </c>
      <c r="I1180" s="9" t="n">
        <f aca="false">План!I22</f>
        <v>1</v>
      </c>
      <c r="J1180" s="9" t="n">
        <f aca="false">План!J22</f>
        <v>1</v>
      </c>
      <c r="K1180" s="23"/>
      <c r="L1180" s="49" t="s">
        <v>582</v>
      </c>
    </row>
    <row r="1181" customFormat="false" ht="15" hidden="true" customHeight="false" outlineLevel="1" collapsed="false">
      <c r="A1181" s="20" t="n">
        <v>49</v>
      </c>
      <c r="B1181" s="6" t="s">
        <v>593</v>
      </c>
      <c r="C1181" s="20" t="s">
        <v>53</v>
      </c>
      <c r="D1181" s="23"/>
      <c r="E1181" s="9" t="n">
        <f aca="false">План!E23</f>
        <v>0</v>
      </c>
      <c r="F1181" s="9" t="n">
        <f aca="false">План!F23</f>
        <v>0</v>
      </c>
      <c r="G1181" s="9" t="n">
        <f aca="false">План!G23</f>
        <v>0</v>
      </c>
      <c r="H1181" s="9" t="n">
        <f aca="false">План!H23</f>
        <v>0</v>
      </c>
      <c r="I1181" s="9" t="n">
        <f aca="false">План!I23</f>
        <v>0</v>
      </c>
      <c r="J1181" s="9" t="n">
        <f aca="false">План!J23</f>
        <v>1</v>
      </c>
      <c r="K1181" s="23"/>
      <c r="L1181" s="49" t="s">
        <v>582</v>
      </c>
    </row>
    <row r="1182" customFormat="false" ht="15" hidden="true" customHeight="false" outlineLevel="1" collapsed="false">
      <c r="A1182" s="19" t="s">
        <v>594</v>
      </c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</row>
    <row r="1183" customFormat="false" ht="15" hidden="true" customHeight="false" outlineLevel="1" collapsed="false">
      <c r="A1183" s="20" t="n">
        <v>50</v>
      </c>
      <c r="B1183" s="6" t="s">
        <v>595</v>
      </c>
      <c r="C1183" s="20"/>
      <c r="D1183" s="23"/>
      <c r="E1183" s="10" t="n">
        <f aca="false">Допущения!$D$3</f>
        <v>2026</v>
      </c>
      <c r="F1183" s="52" t="n">
        <f aca="false">E1183+1</f>
        <v>2027</v>
      </c>
      <c r="G1183" s="52" t="n">
        <f aca="false">F1183+1</f>
        <v>2028</v>
      </c>
      <c r="H1183" s="52" t="n">
        <f aca="false">G1183+1</f>
        <v>2029</v>
      </c>
      <c r="I1183" s="52" t="n">
        <f aca="false">H1183+1</f>
        <v>2030</v>
      </c>
      <c r="J1183" s="52" t="n">
        <f aca="false">I1183+1</f>
        <v>2031</v>
      </c>
      <c r="K1183" s="23"/>
      <c r="L1183" s="49" t="s">
        <v>596</v>
      </c>
    </row>
    <row r="1184" customFormat="false" ht="15" hidden="true" customHeight="false" outlineLevel="1" collapsed="false">
      <c r="A1184" s="20" t="n">
        <v>51</v>
      </c>
      <c r="B1184" s="6" t="s">
        <v>597</v>
      </c>
      <c r="C1184" s="20" t="s">
        <v>62</v>
      </c>
      <c r="D1184" s="23"/>
      <c r="E1184" s="23"/>
      <c r="F1184" s="53" t="n">
        <f aca="false">(1+$D$1140)^(F$1183-$E$1183-1)</f>
        <v>1</v>
      </c>
      <c r="G1184" s="53" t="n">
        <f aca="false">(1+$D$1140)^(G$1183-$E$1183-1)</f>
        <v>1.05</v>
      </c>
      <c r="H1184" s="53" t="n">
        <f aca="false">(1+$D$1140)^(H$1183-$E$1183-1)</f>
        <v>1.1025</v>
      </c>
      <c r="I1184" s="53" t="n">
        <f aca="false">(1+$D$1140)^(I$1183-$E$1183-1)</f>
        <v>1.157625</v>
      </c>
      <c r="J1184" s="53" t="n">
        <f aca="false">(1+$D$1140)^(J$1183-$E$1183-1)</f>
        <v>1.21550625</v>
      </c>
      <c r="K1184" s="23"/>
      <c r="L1184" s="49" t="s">
        <v>598</v>
      </c>
    </row>
    <row r="1185" customFormat="false" ht="15" hidden="true" customHeight="false" outlineLevel="1" collapsed="false">
      <c r="A1185" s="20" t="n">
        <v>52</v>
      </c>
      <c r="B1185" s="6" t="s">
        <v>599</v>
      </c>
      <c r="C1185" s="20" t="s">
        <v>62</v>
      </c>
      <c r="D1185" s="23"/>
      <c r="E1185" s="23"/>
      <c r="F1185" s="53" t="n">
        <f aca="false">(1+$D$1158)^(F$1183-$E$1183-1)</f>
        <v>1</v>
      </c>
      <c r="G1185" s="53" t="n">
        <f aca="false">(1+$D$1158)^(G$1183-$E$1183-1)</f>
        <v>1.05</v>
      </c>
      <c r="H1185" s="53" t="n">
        <f aca="false">(1+$D$1158)^(H$1183-$E$1183-1)</f>
        <v>1.1025</v>
      </c>
      <c r="I1185" s="53" t="n">
        <f aca="false">(1+$D$1158)^(I$1183-$E$1183-1)</f>
        <v>1.157625</v>
      </c>
      <c r="J1185" s="53" t="n">
        <f aca="false">(1+$D$1158)^(J$1183-$E$1183-1)</f>
        <v>1.21550625</v>
      </c>
      <c r="K1185" s="23"/>
      <c r="L1185" s="49" t="s">
        <v>600</v>
      </c>
    </row>
    <row r="1186" customFormat="false" ht="15" hidden="true" customHeight="false" outlineLevel="1" collapsed="false">
      <c r="A1186" s="20" t="n">
        <v>53</v>
      </c>
      <c r="B1186" s="6" t="s">
        <v>601</v>
      </c>
      <c r="C1186" s="20" t="s">
        <v>62</v>
      </c>
      <c r="D1186" s="23"/>
      <c r="E1186" s="23"/>
      <c r="F1186" s="53" t="n">
        <f aca="false">(1+$D$1142)^(F$1183-$E$1183-1)</f>
        <v>1</v>
      </c>
      <c r="G1186" s="53" t="n">
        <f aca="false">(1+$D$1142)^(G$1183-$E$1183-1)</f>
        <v>1.07</v>
      </c>
      <c r="H1186" s="53" t="n">
        <f aca="false">(1+$D$1142)^(H$1183-$E$1183-1)</f>
        <v>1.1449</v>
      </c>
      <c r="I1186" s="53" t="n">
        <f aca="false">(1+$D$1142)^(I$1183-$E$1183-1)</f>
        <v>1.225043</v>
      </c>
      <c r="J1186" s="53" t="n">
        <f aca="false">(1+$D$1142)^(J$1183-$E$1183-1)</f>
        <v>1.31079601</v>
      </c>
      <c r="K1186" s="23"/>
      <c r="L1186" s="49" t="s">
        <v>602</v>
      </c>
    </row>
    <row r="1187" customFormat="false" ht="15" hidden="true" customHeight="false" outlineLevel="1" collapsed="false">
      <c r="A1187" s="20" t="n">
        <v>54</v>
      </c>
      <c r="B1187" s="6" t="s">
        <v>603</v>
      </c>
      <c r="C1187" s="20" t="s">
        <v>55</v>
      </c>
      <c r="D1187" s="23"/>
      <c r="E1187" s="23"/>
      <c r="F1187" s="46" t="n">
        <f aca="false">$D$1146*(1+$D$1147)^(F$1183-$E$1183)</f>
        <v>3.21732</v>
      </c>
      <c r="G1187" s="46" t="n">
        <f aca="false">$D$1146*(1+$D$1147)^(G$1183-$E$1183)</f>
        <v>3.4747056</v>
      </c>
      <c r="H1187" s="46" t="n">
        <f aca="false">$D$1146*(1+$D$1147)^(H$1183-$E$1183)</f>
        <v>3.752682048</v>
      </c>
      <c r="I1187" s="46" t="n">
        <f aca="false">$D$1146*(1+$D$1147)^(I$1183-$E$1183)</f>
        <v>4.05289661184</v>
      </c>
      <c r="J1187" s="46" t="n">
        <f aca="false">$D$1146*(1+$D$1147)^(J$1183-$E$1183)</f>
        <v>4.3771283407872</v>
      </c>
      <c r="K1187" s="23"/>
      <c r="L1187" s="49" t="s">
        <v>604</v>
      </c>
    </row>
    <row r="1188" customFormat="false" ht="15" hidden="true" customHeight="false" outlineLevel="1" collapsed="false">
      <c r="A1188" s="19" t="s">
        <v>605</v>
      </c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</row>
    <row r="1189" customFormat="false" ht="15" hidden="true" customHeight="false" outlineLevel="1" collapsed="false">
      <c r="A1189" s="20" t="n">
        <v>55</v>
      </c>
      <c r="B1189" s="6" t="s">
        <v>606</v>
      </c>
      <c r="C1189" s="20" t="s">
        <v>76</v>
      </c>
      <c r="D1189" s="23"/>
      <c r="E1189" s="23"/>
      <c r="F1189" s="38" t="n">
        <f aca="false">IF(F$1183=$D$1133,1,0)</f>
        <v>1</v>
      </c>
      <c r="G1189" s="38" t="n">
        <f aca="false">IF(G$1183=$D$1133,1,0)</f>
        <v>0</v>
      </c>
      <c r="H1189" s="38" t="n">
        <f aca="false">IF(H$1183=$D$1133,1,0)</f>
        <v>0</v>
      </c>
      <c r="I1189" s="38" t="n">
        <f aca="false">IF(I$1183=$D$1133,1,0)</f>
        <v>0</v>
      </c>
      <c r="J1189" s="38" t="n">
        <f aca="false">IF(J$1183=$D$1133,1,0)</f>
        <v>0</v>
      </c>
      <c r="K1189" s="23"/>
      <c r="L1189" s="49" t="s">
        <v>607</v>
      </c>
    </row>
    <row r="1190" customFormat="false" ht="15" hidden="true" customHeight="false" outlineLevel="1" collapsed="false">
      <c r="A1190" s="20" t="n">
        <v>56</v>
      </c>
      <c r="B1190" s="6" t="s">
        <v>608</v>
      </c>
      <c r="C1190" s="20" t="s">
        <v>76</v>
      </c>
      <c r="D1190" s="23"/>
      <c r="E1190" s="38" t="n">
        <f aca="false">0</f>
        <v>0</v>
      </c>
      <c r="F1190" s="38" t="n">
        <f aca="false">F1189+F1174</f>
        <v>1</v>
      </c>
      <c r="G1190" s="38" t="n">
        <f aca="false">G1189+G1174</f>
        <v>0</v>
      </c>
      <c r="H1190" s="38" t="n">
        <f aca="false">H1189+H1174</f>
        <v>1</v>
      </c>
      <c r="I1190" s="38" t="n">
        <f aca="false">I1189+I1174</f>
        <v>0</v>
      </c>
      <c r="J1190" s="38" t="n">
        <f aca="false">J1189+J1174</f>
        <v>1</v>
      </c>
      <c r="K1190" s="54" t="n">
        <f aca="false">SUM(F1190:J1190)</f>
        <v>3</v>
      </c>
      <c r="L1190" s="49" t="s">
        <v>609</v>
      </c>
    </row>
    <row r="1191" customFormat="false" ht="15" hidden="true" customHeight="false" outlineLevel="1" collapsed="false">
      <c r="A1191" s="20" t="n">
        <v>57</v>
      </c>
      <c r="B1191" s="6" t="s">
        <v>610</v>
      </c>
      <c r="C1191" s="20" t="s">
        <v>76</v>
      </c>
      <c r="D1191" s="23"/>
      <c r="E1191" s="38" t="n">
        <f aca="false">0</f>
        <v>0</v>
      </c>
      <c r="F1191" s="38" t="n">
        <f aca="false">E1191+F1190</f>
        <v>1</v>
      </c>
      <c r="G1191" s="38" t="n">
        <f aca="false">F1191+G1190</f>
        <v>1</v>
      </c>
      <c r="H1191" s="38" t="n">
        <f aca="false">G1191+H1190</f>
        <v>2</v>
      </c>
      <c r="I1191" s="38" t="n">
        <f aca="false">H1191+I1190</f>
        <v>2</v>
      </c>
      <c r="J1191" s="38" t="n">
        <f aca="false">I1191+J1190</f>
        <v>3</v>
      </c>
      <c r="K1191" s="23"/>
      <c r="L1191" s="49" t="s">
        <v>611</v>
      </c>
    </row>
    <row r="1192" customFormat="false" ht="15" hidden="true" customHeight="false" outlineLevel="1" collapsed="false">
      <c r="A1192" s="20" t="n">
        <v>58</v>
      </c>
      <c r="B1192" s="6" t="s">
        <v>612</v>
      </c>
      <c r="C1192" s="20" t="s">
        <v>76</v>
      </c>
      <c r="D1192" s="23"/>
      <c r="E1192" s="38" t="n">
        <f aca="false">0</f>
        <v>0</v>
      </c>
      <c r="F1192" s="38" t="n">
        <f aca="false">E1192+F1175</f>
        <v>0</v>
      </c>
      <c r="G1192" s="38" t="n">
        <f aca="false">F1192+G1175</f>
        <v>1</v>
      </c>
      <c r="H1192" s="38" t="n">
        <f aca="false">G1192+H1175</f>
        <v>3</v>
      </c>
      <c r="I1192" s="38" t="n">
        <f aca="false">H1192+I1175</f>
        <v>5</v>
      </c>
      <c r="J1192" s="38" t="n">
        <f aca="false">I1192+J1175</f>
        <v>8</v>
      </c>
      <c r="K1192" s="23"/>
      <c r="L1192" s="49" t="s">
        <v>611</v>
      </c>
    </row>
    <row r="1193" customFormat="false" ht="15" hidden="true" customHeight="false" outlineLevel="1" collapsed="false">
      <c r="A1193" s="20" t="n">
        <v>59</v>
      </c>
      <c r="B1193" s="6" t="s">
        <v>613</v>
      </c>
      <c r="C1193" s="20" t="s">
        <v>76</v>
      </c>
      <c r="D1193" s="23"/>
      <c r="E1193" s="38" t="n">
        <f aca="false">0</f>
        <v>0</v>
      </c>
      <c r="F1193" s="38" t="n">
        <f aca="false">F1191+F1192</f>
        <v>1</v>
      </c>
      <c r="G1193" s="38" t="n">
        <f aca="false">G1191+G1192</f>
        <v>2</v>
      </c>
      <c r="H1193" s="38" t="n">
        <f aca="false">H1191+H1192</f>
        <v>5</v>
      </c>
      <c r="I1193" s="38" t="n">
        <f aca="false">I1191+I1192</f>
        <v>7</v>
      </c>
      <c r="J1193" s="38" t="n">
        <f aca="false">J1191+J1192</f>
        <v>11</v>
      </c>
      <c r="K1193" s="23"/>
      <c r="L1193" s="49" t="s">
        <v>614</v>
      </c>
    </row>
    <row r="1194" customFormat="false" ht="15" hidden="true" customHeight="false" outlineLevel="1" collapsed="false">
      <c r="A1194" s="20" t="n">
        <v>60</v>
      </c>
      <c r="B1194" s="6" t="s">
        <v>615</v>
      </c>
      <c r="C1194" s="20" t="s">
        <v>76</v>
      </c>
      <c r="D1194" s="23"/>
      <c r="E1194" s="23"/>
      <c r="F1194" s="38" t="n">
        <f aca="false">F1190+F1175</f>
        <v>1</v>
      </c>
      <c r="G1194" s="38" t="n">
        <f aca="false">G1190+G1175</f>
        <v>1</v>
      </c>
      <c r="H1194" s="38" t="n">
        <f aca="false">H1190+H1175</f>
        <v>3</v>
      </c>
      <c r="I1194" s="38" t="n">
        <f aca="false">I1190+I1175</f>
        <v>2</v>
      </c>
      <c r="J1194" s="38" t="n">
        <f aca="false">J1190+J1175</f>
        <v>4</v>
      </c>
      <c r="K1194" s="54" t="n">
        <f aca="false">SUM(F1194:J1194)</f>
        <v>11</v>
      </c>
      <c r="L1194" s="49"/>
    </row>
    <row r="1195" customFormat="false" ht="15" hidden="true" customHeight="false" outlineLevel="1" collapsed="false">
      <c r="A1195" s="19" t="s">
        <v>616</v>
      </c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</row>
    <row r="1196" customFormat="false" ht="15" hidden="true" customHeight="false" outlineLevel="1" collapsed="false">
      <c r="A1196" s="20" t="n">
        <v>61</v>
      </c>
      <c r="B1196" s="6" t="s">
        <v>617</v>
      </c>
      <c r="C1196" s="20" t="s">
        <v>71</v>
      </c>
      <c r="D1196" s="23"/>
      <c r="E1196" s="23"/>
      <c r="F1196" s="40" t="n">
        <f aca="false">IF(F$1183&gt;$D$1133,($D$1135+$D$1134*$D$1136)*(1+$D$1141)^(F$1183-$D$1133-1)*F1184,0)</f>
        <v>0</v>
      </c>
      <c r="G1196" s="40" t="n">
        <f aca="false">IF(G$1183&gt;$D$1133,($D$1135+$D$1134*$D$1136)*(1+$D$1141)^(G$1183-$D$1133-1)*G1184,0)</f>
        <v>15.75</v>
      </c>
      <c r="H1196" s="40" t="n">
        <f aca="false">IF(H$1183&gt;$D$1133,($D$1135+$D$1134*$D$1136)*(1+$D$1141)^(H$1183-$D$1133-1)*H1184,0)</f>
        <v>19.018125</v>
      </c>
      <c r="I1196" s="40" t="n">
        <f aca="false">IF(I$1183&gt;$D$1133,($D$1135+$D$1134*$D$1136)*(1+$D$1141)^(I$1183-$D$1133-1)*I1184,0)</f>
        <v>22.9643859375</v>
      </c>
      <c r="J1196" s="40" t="n">
        <f aca="false">IF(J$1183&gt;$D$1133,($D$1135+$D$1134*$D$1136)*(1+$D$1141)^(J$1183-$D$1133-1)*J1184,0)</f>
        <v>27.7294960195313</v>
      </c>
      <c r="K1196" s="51" t="n">
        <f aca="false">SUM(F1196:J1196)</f>
        <v>85.4620069570313</v>
      </c>
      <c r="L1196" s="49" t="s">
        <v>618</v>
      </c>
    </row>
    <row r="1197" customFormat="false" ht="15" hidden="true" customHeight="false" outlineLevel="1" collapsed="false">
      <c r="A1197" s="20" t="n">
        <v>62</v>
      </c>
      <c r="B1197" s="6" t="s">
        <v>619</v>
      </c>
      <c r="C1197" s="20" t="s">
        <v>71</v>
      </c>
      <c r="D1197" s="23"/>
      <c r="E1197" s="23"/>
      <c r="F1197" s="40" t="n">
        <f aca="false">($D$1135+$D$1166*$D$1136)*F1184*SUMPRODUCT($E$1174:E$1174,(1+$D$1141)^(F$1183-$E$1183:E$1183-1))</f>
        <v>0</v>
      </c>
      <c r="G1197" s="40" t="n">
        <f aca="false">($D$1135+$D$1166*$D$1136)*G1184*SUMPRODUCT($E$1174:F$1174,(1+$D$1141)^(G$1183-$E$1183:F$1183-1))</f>
        <v>0</v>
      </c>
      <c r="H1197" s="40" t="n">
        <f aca="false">($D$1135+$D$1166*$D$1136)*H1184*SUMPRODUCT($E$1174:G$1174,(1+$D$1141)^(H$1183-$E$1183:G$1183-1))</f>
        <v>0</v>
      </c>
      <c r="I1197" s="40" t="n">
        <f aca="false">($D$1135+$D$1166*$D$1136)*I1184*SUMPRODUCT($E$1174:H$1174,(1+$D$1141)^(I$1183-$E$1183:H$1183-1))</f>
        <v>9.78719318181818</v>
      </c>
      <c r="J1197" s="40" t="n">
        <f aca="false">($D$1135+$D$1166*$D$1136)*J1184*SUMPRODUCT($E$1174:I$1174,(1+$D$1141)^(J$1183-$E$1183:I$1183-1))</f>
        <v>11.8180357670455</v>
      </c>
      <c r="K1197" s="51" t="n">
        <f aca="false">SUM(F1197:J1197)</f>
        <v>21.6052289488636</v>
      </c>
      <c r="L1197" s="49" t="s">
        <v>620</v>
      </c>
    </row>
    <row r="1198" customFormat="false" ht="15" hidden="true" customHeight="false" outlineLevel="1" collapsed="false">
      <c r="A1198" s="20" t="n">
        <v>63</v>
      </c>
      <c r="B1198" s="6" t="s">
        <v>621</v>
      </c>
      <c r="C1198" s="20" t="s">
        <v>71</v>
      </c>
      <c r="D1198" s="23"/>
      <c r="E1198" s="23"/>
      <c r="F1198" s="40" t="n">
        <f aca="false">($D$1137+$D$1167*$D$1136)*F1184*SUMPRODUCT($E$1175:E$1175,(1+$D$1141)^(F$1183-$E$1183:E$1183-1))</f>
        <v>0</v>
      </c>
      <c r="G1198" s="40" t="n">
        <f aca="false">($D$1137+$D$1167*$D$1136)*G1184*SUMPRODUCT($E$1175:F$1175,(1+$D$1141)^(G$1183-$E$1183:F$1183-1))</f>
        <v>0</v>
      </c>
      <c r="H1198" s="40" t="n">
        <f aca="false">($D$1137+$D$1167*$D$1136)*H1184*SUMPRODUCT($E$1175:G$1175,(1+$D$1141)^(H$1183-$E$1183:G$1183-1))</f>
        <v>1.8087890625</v>
      </c>
      <c r="I1198" s="40" t="n">
        <f aca="false">($D$1137+$D$1167*$D$1136)*I1184*SUMPRODUCT($E$1175:H$1175,(1+$D$1141)^(I$1183-$E$1183:H$1183-1))</f>
        <v>5.98256982421875</v>
      </c>
      <c r="J1198" s="40" t="n">
        <f aca="false">($D$1137+$D$1167*$D$1136)*J1184*SUMPRODUCT($E$1175:I$1175,(1+$D$1141)^(J$1183-$E$1183:I$1183-1))</f>
        <v>11.2123329455566</v>
      </c>
      <c r="K1198" s="51" t="n">
        <f aca="false">SUM(F1198:J1198)</f>
        <v>19.0036918322754</v>
      </c>
      <c r="L1198" s="49" t="s">
        <v>622</v>
      </c>
    </row>
    <row r="1199" customFormat="false" ht="15" hidden="true" customHeight="false" outlineLevel="1" collapsed="false">
      <c r="A1199" s="20" t="n">
        <v>64</v>
      </c>
      <c r="B1199" s="6" t="s">
        <v>623</v>
      </c>
      <c r="C1199" s="20" t="s">
        <v>71</v>
      </c>
      <c r="D1199" s="23"/>
      <c r="E1199" s="23"/>
      <c r="F1199" s="40" t="n">
        <f aca="false">(F1190*$D$1138+F1175*$D$1139)*F1184</f>
        <v>9.6</v>
      </c>
      <c r="G1199" s="40" t="n">
        <f aca="false">(G1190*$D$1138+G1175*$D$1139)*G1184</f>
        <v>2.52</v>
      </c>
      <c r="H1199" s="40" t="n">
        <f aca="false">(H1190*$D$1138+H1175*$D$1139)*H1184</f>
        <v>15.876</v>
      </c>
      <c r="I1199" s="40" t="n">
        <f aca="false">(I1190*$D$1138+I1175*$D$1139)*I1184</f>
        <v>5.5566</v>
      </c>
      <c r="J1199" s="40" t="n">
        <f aca="false">(J1190*$D$1138+J1175*$D$1139)*J1184</f>
        <v>20.420505</v>
      </c>
      <c r="K1199" s="51" t="n">
        <f aca="false">SUM(F1199:J1199)</f>
        <v>53.973105</v>
      </c>
      <c r="L1199" s="49" t="s">
        <v>624</v>
      </c>
    </row>
    <row r="1200" customFormat="false" ht="15" hidden="true" customHeight="false" outlineLevel="1" collapsed="false">
      <c r="A1200" s="20" t="n">
        <v>65</v>
      </c>
      <c r="B1200" s="6" t="s">
        <v>625</v>
      </c>
      <c r="C1200" s="20" t="s">
        <v>71</v>
      </c>
      <c r="D1200" s="23"/>
      <c r="E1200" s="23"/>
      <c r="F1200" s="40" t="n">
        <f aca="false">F1196+F1197+F1198</f>
        <v>0</v>
      </c>
      <c r="G1200" s="40" t="n">
        <f aca="false">G1196+G1197+G1198</f>
        <v>15.75</v>
      </c>
      <c r="H1200" s="40" t="n">
        <f aca="false">H1196+H1197+H1198</f>
        <v>20.8269140625</v>
      </c>
      <c r="I1200" s="40" t="n">
        <f aca="false">I1196+I1197+I1198</f>
        <v>38.7341489435369</v>
      </c>
      <c r="J1200" s="40" t="n">
        <f aca="false">J1196+J1197+J1198</f>
        <v>50.7598647321333</v>
      </c>
      <c r="K1200" s="51" t="n">
        <f aca="false">SUM(F1200:J1200)</f>
        <v>126.07092773817</v>
      </c>
      <c r="L1200" s="49"/>
    </row>
    <row r="1201" customFormat="false" ht="15" hidden="true" customHeight="false" outlineLevel="1" collapsed="false">
      <c r="A1201" s="20" t="n">
        <v>66</v>
      </c>
      <c r="B1201" s="6" t="s">
        <v>91</v>
      </c>
      <c r="C1201" s="20" t="s">
        <v>71</v>
      </c>
      <c r="D1201" s="23"/>
      <c r="E1201" s="23"/>
      <c r="F1201" s="40" t="n">
        <f aca="false">F1200+F1199</f>
        <v>9.6</v>
      </c>
      <c r="G1201" s="40" t="n">
        <f aca="false">G1200+G1199</f>
        <v>18.27</v>
      </c>
      <c r="H1201" s="40" t="n">
        <f aca="false">H1200+H1199</f>
        <v>36.7029140625</v>
      </c>
      <c r="I1201" s="40" t="n">
        <f aca="false">I1200+I1199</f>
        <v>44.2907489435369</v>
      </c>
      <c r="J1201" s="40" t="n">
        <f aca="false">J1200+J1199</f>
        <v>71.1803697321333</v>
      </c>
      <c r="K1201" s="51" t="n">
        <f aca="false">SUM(F1201:J1201)</f>
        <v>180.04403273817</v>
      </c>
      <c r="L1201" s="49" t="s">
        <v>626</v>
      </c>
    </row>
    <row r="1202" customFormat="false" ht="15" hidden="true" customHeight="false" outlineLevel="1" collapsed="false">
      <c r="A1202" s="20" t="n">
        <v>67</v>
      </c>
      <c r="B1202" s="6" t="s">
        <v>627</v>
      </c>
      <c r="C1202" s="20" t="s">
        <v>55</v>
      </c>
      <c r="D1202" s="23"/>
      <c r="E1202" s="23"/>
      <c r="F1202" s="40" t="n">
        <f aca="false">IF(F$1183&gt;=$D$1133,($D$1135+$D$1134*$D$1136)*(1+$D$1141)^(F$1183-$D$1133)*F1184,0)+($D$1135+$D$1166*$D$1136)*F1184*SUMPRODUCT($E$1174:F$1174,(1+$D$1141)^(F$1183-$E$1183:F$1183))+($D$1137+$D$1167*$D$1136)*F1184*SUMPRODUCT($E$1175:F$1175,(1+$D$1141)^(F$1183-$E$1183:F$1183))</f>
        <v>15</v>
      </c>
      <c r="G1202" s="40" t="n">
        <f aca="false">IF(G$1183&gt;=$D$1133,($D$1135+$D$1134*$D$1136)*(1+$D$1141)^(G$1183-$D$1133)*G1184,0)+($D$1135+$D$1166*$D$1136)*G1184*SUMPRODUCT($E$1174:G$1174,(1+$D$1141)^(G$1183-$E$1183:G$1183))+($D$1137+$D$1167*$D$1136)*G1184*SUMPRODUCT($E$1175:G$1175,(1+$D$1141)^(G$1183-$E$1183:G$1183))</f>
        <v>19.83515625</v>
      </c>
      <c r="H1202" s="40" t="n">
        <f aca="false">IF(H$1183&gt;=$D$1133,($D$1135+$D$1134*$D$1136)*(1+$D$1141)^(H$1183-$D$1133)*H1184,0)+($D$1135+$D$1166*$D$1136)*H1184*SUMPRODUCT($E$1174:H$1174,(1+$D$1141)^(H$1183-$E$1183:H$1183))+($D$1137+$D$1167*$D$1136)*H1184*SUMPRODUCT($E$1175:H$1175,(1+$D$1141)^(H$1183-$E$1183:H$1183))</f>
        <v>36.8896656605114</v>
      </c>
      <c r="I1202" s="40" t="n">
        <f aca="false">IF(I$1183&gt;=$D$1133,($D$1135+$D$1134*$D$1136)*(1+$D$1141)^(I$1183-$D$1133)*I1184,0)+($D$1135+$D$1166*$D$1136)*I1184*SUMPRODUCT($E$1174:I$1174,(1+$D$1141)^(I$1183-$E$1183:I$1183))+($D$1137+$D$1167*$D$1136)*I1184*SUMPRODUCT($E$1175:I$1175,(1+$D$1141)^(I$1183-$E$1183:I$1183))</f>
        <v>48.3427283163175</v>
      </c>
      <c r="J1202" s="40" t="n">
        <f aca="false">IF(J$1183&gt;=$D$1133,($D$1135+$D$1134*$D$1136)*(1+$D$1141)^(J$1183-$D$1133)*J1184,0)+($D$1135+$D$1166*$D$1136)*J1184*SUMPRODUCT($E$1174:J$1174,(1+$D$1141)^(J$1183-$E$1183:J$1183))+($D$1137+$D$1167*$D$1136)*J1184*SUMPRODUCT($E$1175:J$1175,(1+$D$1141)^(J$1183-$E$1183:J$1183))</f>
        <v>74.6329671070812</v>
      </c>
      <c r="K1202" s="23"/>
      <c r="L1202" s="49" t="s">
        <v>628</v>
      </c>
    </row>
    <row r="1203" customFormat="false" ht="15" hidden="true" customHeight="false" outlineLevel="1" collapsed="false">
      <c r="A1203" s="19" t="s">
        <v>629</v>
      </c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</row>
    <row r="1204" customFormat="false" ht="15" hidden="true" customHeight="false" outlineLevel="1" collapsed="false">
      <c r="A1204" s="20" t="n">
        <v>68</v>
      </c>
      <c r="B1204" s="6" t="s">
        <v>630</v>
      </c>
      <c r="C1204" s="20" t="s">
        <v>53</v>
      </c>
      <c r="D1204" s="23"/>
      <c r="E1204" s="40" t="n">
        <f aca="false">E1176+E1177+E1178+E1179+E1180+E1181</f>
        <v>2</v>
      </c>
      <c r="F1204" s="40" t="n">
        <f aca="false">F1176+F1177+F1178+F1179+F1180+F1181</f>
        <v>4</v>
      </c>
      <c r="G1204" s="40" t="n">
        <f aca="false">G1176+G1177+G1178+G1179+G1180+G1181</f>
        <v>5</v>
      </c>
      <c r="H1204" s="40" t="n">
        <f aca="false">H1176+H1177+H1178+H1179+H1180+H1181</f>
        <v>6</v>
      </c>
      <c r="I1204" s="40" t="n">
        <f aca="false">I1176+I1177+I1178+I1179+I1180+I1181</f>
        <v>7</v>
      </c>
      <c r="J1204" s="40" t="n">
        <f aca="false">J1176+J1177+J1178+J1179+J1180+J1181</f>
        <v>8</v>
      </c>
      <c r="K1204" s="23"/>
      <c r="L1204" s="49" t="s">
        <v>631</v>
      </c>
    </row>
    <row r="1205" customFormat="false" ht="15" hidden="true" customHeight="false" outlineLevel="1" collapsed="false">
      <c r="A1205" s="20" t="n">
        <v>69</v>
      </c>
      <c r="B1205" s="6" t="s">
        <v>632</v>
      </c>
      <c r="C1205" s="20" t="s">
        <v>53</v>
      </c>
      <c r="D1205" s="23"/>
      <c r="E1205" s="23"/>
      <c r="F1205" s="40" t="n">
        <f aca="false">MAX(0,F1204-E1204)</f>
        <v>2</v>
      </c>
      <c r="G1205" s="40" t="n">
        <f aca="false">MAX(0,G1204-F1204)</f>
        <v>1</v>
      </c>
      <c r="H1205" s="40" t="n">
        <f aca="false">MAX(0,H1204-G1204)</f>
        <v>1</v>
      </c>
      <c r="I1205" s="40" t="n">
        <f aca="false">MAX(0,I1204-H1204)</f>
        <v>1</v>
      </c>
      <c r="J1205" s="40" t="n">
        <f aca="false">MAX(0,J1204-I1204)</f>
        <v>1</v>
      </c>
      <c r="K1205" s="23"/>
      <c r="L1205" s="49" t="s">
        <v>633</v>
      </c>
    </row>
    <row r="1206" customFormat="false" ht="15" hidden="true" customHeight="false" outlineLevel="1" collapsed="false">
      <c r="A1206" s="20" t="n">
        <v>70</v>
      </c>
      <c r="B1206" s="6" t="s">
        <v>634</v>
      </c>
      <c r="C1206" s="20" t="s">
        <v>71</v>
      </c>
      <c r="D1206" s="23"/>
      <c r="E1206" s="23"/>
      <c r="F1206" s="41" t="n">
        <f aca="false">$D$1168*12/1000*F1186</f>
        <v>2.4</v>
      </c>
      <c r="G1206" s="41" t="n">
        <f aca="false">$D$1168*12/1000*G1186</f>
        <v>2.568</v>
      </c>
      <c r="H1206" s="41" t="n">
        <f aca="false">$D$1168*12/1000*H1186</f>
        <v>2.74776</v>
      </c>
      <c r="I1206" s="41" t="n">
        <f aca="false">$D$1168*12/1000*I1186</f>
        <v>2.9401032</v>
      </c>
      <c r="J1206" s="41" t="n">
        <f aca="false">$D$1168*12/1000*J1186</f>
        <v>3.145910424</v>
      </c>
      <c r="K1206" s="23"/>
      <c r="L1206" s="49" t="s">
        <v>635</v>
      </c>
    </row>
    <row r="1207" customFormat="false" ht="15" hidden="true" customHeight="false" outlineLevel="1" collapsed="false">
      <c r="A1207" s="20" t="n">
        <v>71</v>
      </c>
      <c r="B1207" s="6" t="s">
        <v>636</v>
      </c>
      <c r="C1207" s="20" t="s">
        <v>71</v>
      </c>
      <c r="D1207" s="23"/>
      <c r="E1207" s="23"/>
      <c r="F1207" s="41" t="n">
        <f aca="false">$D$1169*12/1000*F1186</f>
        <v>3.36</v>
      </c>
      <c r="G1207" s="41" t="n">
        <f aca="false">$D$1169*12/1000*G1186</f>
        <v>3.5952</v>
      </c>
      <c r="H1207" s="41" t="n">
        <f aca="false">$D$1169*12/1000*H1186</f>
        <v>3.846864</v>
      </c>
      <c r="I1207" s="41" t="n">
        <f aca="false">$D$1169*12/1000*I1186</f>
        <v>4.11614448</v>
      </c>
      <c r="J1207" s="41" t="n">
        <f aca="false">$D$1169*12/1000*J1186</f>
        <v>4.4042745936</v>
      </c>
      <c r="K1207" s="23"/>
      <c r="L1207" s="49" t="s">
        <v>635</v>
      </c>
    </row>
    <row r="1208" customFormat="false" ht="15" hidden="true" customHeight="false" outlineLevel="1" collapsed="false">
      <c r="A1208" s="20" t="n">
        <v>72</v>
      </c>
      <c r="B1208" s="6" t="s">
        <v>637</v>
      </c>
      <c r="C1208" s="20" t="s">
        <v>71</v>
      </c>
      <c r="D1208" s="23"/>
      <c r="E1208" s="23"/>
      <c r="F1208" s="41" t="n">
        <f aca="false">$D$1170*12/1000*F1186</f>
        <v>2.76</v>
      </c>
      <c r="G1208" s="41" t="n">
        <f aca="false">$D$1170*12/1000*G1186</f>
        <v>2.9532</v>
      </c>
      <c r="H1208" s="41" t="n">
        <f aca="false">$D$1170*12/1000*H1186</f>
        <v>3.159924</v>
      </c>
      <c r="I1208" s="41" t="n">
        <f aca="false">$D$1170*12/1000*I1186</f>
        <v>3.38111868</v>
      </c>
      <c r="J1208" s="41" t="n">
        <f aca="false">$D$1170*12/1000*J1186</f>
        <v>3.6177969876</v>
      </c>
      <c r="K1208" s="23"/>
      <c r="L1208" s="49" t="s">
        <v>635</v>
      </c>
    </row>
    <row r="1209" customFormat="false" ht="15" hidden="true" customHeight="false" outlineLevel="1" collapsed="false">
      <c r="A1209" s="20" t="n">
        <v>73</v>
      </c>
      <c r="B1209" s="6" t="s">
        <v>638</v>
      </c>
      <c r="C1209" s="20" t="s">
        <v>71</v>
      </c>
      <c r="D1209" s="23"/>
      <c r="E1209" s="23"/>
      <c r="F1209" s="41" t="n">
        <f aca="false">$D$1171*12/1000*F1186</f>
        <v>2.64</v>
      </c>
      <c r="G1209" s="41" t="n">
        <f aca="false">$D$1171*12/1000*G1186</f>
        <v>2.8248</v>
      </c>
      <c r="H1209" s="41" t="n">
        <f aca="false">$D$1171*12/1000*H1186</f>
        <v>3.022536</v>
      </c>
      <c r="I1209" s="41" t="n">
        <f aca="false">$D$1171*12/1000*I1186</f>
        <v>3.23411352</v>
      </c>
      <c r="J1209" s="41" t="n">
        <f aca="false">$D$1171*12/1000*J1186</f>
        <v>3.4605014664</v>
      </c>
      <c r="K1209" s="23"/>
      <c r="L1209" s="49" t="s">
        <v>635</v>
      </c>
    </row>
    <row r="1210" customFormat="false" ht="15" hidden="true" customHeight="false" outlineLevel="1" collapsed="false">
      <c r="A1210" s="20" t="n">
        <v>74</v>
      </c>
      <c r="B1210" s="6" t="s">
        <v>639</v>
      </c>
      <c r="C1210" s="20" t="s">
        <v>71</v>
      </c>
      <c r="D1210" s="23"/>
      <c r="E1210" s="23"/>
      <c r="F1210" s="41" t="n">
        <f aca="false">$D$1172*12/1000*F1186</f>
        <v>3</v>
      </c>
      <c r="G1210" s="41" t="n">
        <f aca="false">$D$1172*12/1000*G1186</f>
        <v>3.21</v>
      </c>
      <c r="H1210" s="41" t="n">
        <f aca="false">$D$1172*12/1000*H1186</f>
        <v>3.4347</v>
      </c>
      <c r="I1210" s="41" t="n">
        <f aca="false">$D$1172*12/1000*I1186</f>
        <v>3.675129</v>
      </c>
      <c r="J1210" s="41" t="n">
        <f aca="false">$D$1172*12/1000*J1186</f>
        <v>3.93238803</v>
      </c>
      <c r="K1210" s="23"/>
      <c r="L1210" s="49" t="s">
        <v>635</v>
      </c>
    </row>
    <row r="1211" customFormat="false" ht="15" hidden="true" customHeight="false" outlineLevel="1" collapsed="false">
      <c r="A1211" s="20" t="n">
        <v>75</v>
      </c>
      <c r="B1211" s="6" t="s">
        <v>640</v>
      </c>
      <c r="C1211" s="20" t="s">
        <v>71</v>
      </c>
      <c r="D1211" s="23"/>
      <c r="E1211" s="23"/>
      <c r="F1211" s="41" t="n">
        <f aca="false">$D$1173*12/1000*F1186</f>
        <v>2.64</v>
      </c>
      <c r="G1211" s="41" t="n">
        <f aca="false">$D$1173*12/1000*G1186</f>
        <v>2.8248</v>
      </c>
      <c r="H1211" s="41" t="n">
        <f aca="false">$D$1173*12/1000*H1186</f>
        <v>3.022536</v>
      </c>
      <c r="I1211" s="41" t="n">
        <f aca="false">$D$1173*12/1000*I1186</f>
        <v>3.23411352</v>
      </c>
      <c r="J1211" s="41" t="n">
        <f aca="false">$D$1173*12/1000*J1186</f>
        <v>3.4605014664</v>
      </c>
      <c r="K1211" s="23"/>
      <c r="L1211" s="49" t="s">
        <v>635</v>
      </c>
    </row>
    <row r="1212" customFormat="false" ht="15" hidden="true" customHeight="false" outlineLevel="1" collapsed="false">
      <c r="A1212" s="20" t="n">
        <v>76</v>
      </c>
      <c r="B1212" s="6" t="s">
        <v>641</v>
      </c>
      <c r="C1212" s="20" t="s">
        <v>71</v>
      </c>
      <c r="D1212" s="23"/>
      <c r="E1212" s="23"/>
      <c r="F1212" s="40" t="n">
        <f aca="false">F1176*F1206</f>
        <v>4.8</v>
      </c>
      <c r="G1212" s="40" t="n">
        <f aca="false">G1176*G1206</f>
        <v>5.136</v>
      </c>
      <c r="H1212" s="40" t="n">
        <f aca="false">H1176*H1206</f>
        <v>5.49552</v>
      </c>
      <c r="I1212" s="40" t="n">
        <f aca="false">I1176*I1206</f>
        <v>5.8802064</v>
      </c>
      <c r="J1212" s="40" t="n">
        <f aca="false">J1176*J1206</f>
        <v>6.291820848</v>
      </c>
      <c r="K1212" s="51" t="n">
        <f aca="false">SUM(F1212:J1212)</f>
        <v>27.603547248</v>
      </c>
      <c r="L1212" s="49" t="s">
        <v>642</v>
      </c>
    </row>
    <row r="1213" customFormat="false" ht="15" hidden="true" customHeight="false" outlineLevel="1" collapsed="false">
      <c r="A1213" s="20" t="n">
        <v>77</v>
      </c>
      <c r="B1213" s="6" t="s">
        <v>643</v>
      </c>
      <c r="C1213" s="20" t="s">
        <v>71</v>
      </c>
      <c r="D1213" s="23"/>
      <c r="E1213" s="23"/>
      <c r="F1213" s="40" t="n">
        <f aca="false">F1177*F1207</f>
        <v>3.36</v>
      </c>
      <c r="G1213" s="40" t="n">
        <f aca="false">G1177*G1207</f>
        <v>3.5952</v>
      </c>
      <c r="H1213" s="40" t="n">
        <f aca="false">H1177*H1207</f>
        <v>3.846864</v>
      </c>
      <c r="I1213" s="40" t="n">
        <f aca="false">I1177*I1207</f>
        <v>8.23228896</v>
      </c>
      <c r="J1213" s="40" t="n">
        <f aca="false">J1177*J1207</f>
        <v>8.8085491872</v>
      </c>
      <c r="K1213" s="51" t="n">
        <f aca="false">SUM(F1213:J1213)</f>
        <v>27.8429021472</v>
      </c>
      <c r="L1213" s="49" t="s">
        <v>642</v>
      </c>
    </row>
    <row r="1214" customFormat="false" ht="15" hidden="true" customHeight="false" outlineLevel="1" collapsed="false">
      <c r="A1214" s="20" t="n">
        <v>78</v>
      </c>
      <c r="B1214" s="6" t="s">
        <v>644</v>
      </c>
      <c r="C1214" s="20" t="s">
        <v>71</v>
      </c>
      <c r="D1214" s="23"/>
      <c r="E1214" s="23"/>
      <c r="F1214" s="40" t="n">
        <f aca="false">F1178*F1208</f>
        <v>2.76</v>
      </c>
      <c r="G1214" s="40" t="n">
        <f aca="false">G1178*G1208</f>
        <v>2.9532</v>
      </c>
      <c r="H1214" s="40" t="n">
        <f aca="false">H1178*H1208</f>
        <v>3.159924</v>
      </c>
      <c r="I1214" s="40" t="n">
        <f aca="false">I1178*I1208</f>
        <v>3.38111868</v>
      </c>
      <c r="J1214" s="40" t="n">
        <f aca="false">J1178*J1208</f>
        <v>3.6177969876</v>
      </c>
      <c r="K1214" s="51" t="n">
        <f aca="false">SUM(F1214:J1214)</f>
        <v>15.8720396676</v>
      </c>
      <c r="L1214" s="49" t="s">
        <v>642</v>
      </c>
    </row>
    <row r="1215" customFormat="false" ht="15" hidden="true" customHeight="false" outlineLevel="1" collapsed="false">
      <c r="A1215" s="20" t="n">
        <v>79</v>
      </c>
      <c r="B1215" s="6" t="s">
        <v>645</v>
      </c>
      <c r="C1215" s="20" t="s">
        <v>71</v>
      </c>
      <c r="D1215" s="23"/>
      <c r="E1215" s="23"/>
      <c r="F1215" s="40" t="n">
        <f aca="false">F1179*F1209</f>
        <v>0</v>
      </c>
      <c r="G1215" s="40" t="n">
        <f aca="false">G1179*G1209</f>
        <v>2.8248</v>
      </c>
      <c r="H1215" s="40" t="n">
        <f aca="false">H1179*H1209</f>
        <v>3.022536</v>
      </c>
      <c r="I1215" s="40" t="n">
        <f aca="false">I1179*I1209</f>
        <v>3.23411352</v>
      </c>
      <c r="J1215" s="40" t="n">
        <f aca="false">J1179*J1209</f>
        <v>3.4605014664</v>
      </c>
      <c r="K1215" s="51" t="n">
        <f aca="false">SUM(F1215:J1215)</f>
        <v>12.5419509864</v>
      </c>
      <c r="L1215" s="49" t="s">
        <v>642</v>
      </c>
    </row>
    <row r="1216" customFormat="false" ht="15" hidden="true" customHeight="false" outlineLevel="1" collapsed="false">
      <c r="A1216" s="20" t="n">
        <v>80</v>
      </c>
      <c r="B1216" s="6" t="s">
        <v>646</v>
      </c>
      <c r="C1216" s="20" t="s">
        <v>71</v>
      </c>
      <c r="D1216" s="23"/>
      <c r="E1216" s="23"/>
      <c r="F1216" s="40" t="n">
        <f aca="false">F1180*F1210</f>
        <v>0</v>
      </c>
      <c r="G1216" s="40" t="n">
        <f aca="false">G1180*G1210</f>
        <v>0</v>
      </c>
      <c r="H1216" s="40" t="n">
        <f aca="false">H1180*H1210</f>
        <v>3.4347</v>
      </c>
      <c r="I1216" s="40" t="n">
        <f aca="false">I1180*I1210</f>
        <v>3.675129</v>
      </c>
      <c r="J1216" s="40" t="n">
        <f aca="false">J1180*J1210</f>
        <v>3.93238803</v>
      </c>
      <c r="K1216" s="51" t="n">
        <f aca="false">SUM(F1216:J1216)</f>
        <v>11.04221703</v>
      </c>
      <c r="L1216" s="49" t="s">
        <v>642</v>
      </c>
    </row>
    <row r="1217" customFormat="false" ht="15" hidden="true" customHeight="false" outlineLevel="1" collapsed="false">
      <c r="A1217" s="20" t="n">
        <v>81</v>
      </c>
      <c r="B1217" s="6" t="s">
        <v>647</v>
      </c>
      <c r="C1217" s="20" t="s">
        <v>71</v>
      </c>
      <c r="D1217" s="23"/>
      <c r="E1217" s="23"/>
      <c r="F1217" s="40" t="n">
        <f aca="false">F1181*F1211</f>
        <v>0</v>
      </c>
      <c r="G1217" s="40" t="n">
        <f aca="false">G1181*G1211</f>
        <v>0</v>
      </c>
      <c r="H1217" s="40" t="n">
        <f aca="false">H1181*H1211</f>
        <v>0</v>
      </c>
      <c r="I1217" s="40" t="n">
        <f aca="false">I1181*I1211</f>
        <v>0</v>
      </c>
      <c r="J1217" s="40" t="n">
        <f aca="false">J1181*J1211</f>
        <v>3.4605014664</v>
      </c>
      <c r="K1217" s="51" t="n">
        <f aca="false">SUM(F1217:J1217)</f>
        <v>3.4605014664</v>
      </c>
      <c r="L1217" s="49" t="s">
        <v>642</v>
      </c>
    </row>
    <row r="1218" customFormat="false" ht="15" hidden="true" customHeight="false" outlineLevel="1" collapsed="false">
      <c r="A1218" s="20" t="n">
        <v>82</v>
      </c>
      <c r="B1218" s="6" t="s">
        <v>648</v>
      </c>
      <c r="C1218" s="20" t="s">
        <v>71</v>
      </c>
      <c r="D1218" s="23"/>
      <c r="E1218" s="23"/>
      <c r="F1218" s="40" t="n">
        <f aca="false">F1212+F1213+F1214+F1215+F1216+F1217</f>
        <v>10.92</v>
      </c>
      <c r="G1218" s="40" t="n">
        <f aca="false">G1212+G1213+G1214+G1215+G1216+G1217</f>
        <v>14.5092</v>
      </c>
      <c r="H1218" s="40" t="n">
        <f aca="false">H1212+H1213+H1214+H1215+H1216+H1217</f>
        <v>18.959544</v>
      </c>
      <c r="I1218" s="40" t="n">
        <f aca="false">I1212+I1213+I1214+I1215+I1216+I1217</f>
        <v>24.40285656</v>
      </c>
      <c r="J1218" s="40" t="n">
        <f aca="false">J1212+J1213+J1214+J1215+J1216+J1217</f>
        <v>29.5715579856</v>
      </c>
      <c r="K1218" s="51" t="n">
        <f aca="false">SUM(F1218:J1218)</f>
        <v>98.3631585456</v>
      </c>
      <c r="L1218" s="49"/>
    </row>
    <row r="1219" customFormat="false" ht="15" hidden="true" customHeight="false" outlineLevel="1" collapsed="false">
      <c r="A1219" s="20" t="n">
        <v>83</v>
      </c>
      <c r="B1219" s="6" t="s">
        <v>649</v>
      </c>
      <c r="C1219" s="20" t="s">
        <v>71</v>
      </c>
      <c r="D1219" s="23"/>
      <c r="E1219" s="23"/>
      <c r="F1219" s="40" t="n">
        <f aca="false">F1176*(MIN(F1206,F1187)*$D$1143+MAX(0,F1206-F1187)*$D$1144+F1206*$D$1145)+F1177*(MIN(F1207,F1187)*$D$1143+MAX(0,F1207-F1187)*$D$1144+F1207*$D$1145)+F1178*(MIN(F1208,F1187)*$D$1143+MAX(0,F1208-F1187)*$D$1144+F1208*$D$1145)+F1179*(MIN(F1209,F1187)*$D$1143+MAX(0,F1209-F1187)*$D$1144+F1209*$D$1145)+F1180*(MIN(F1210,F1187)*$D$1143+MAX(0,F1210-F1187)*$D$1144+F1210*$D$1145)+F1181*(MIN(F1211,F1187)*$D$1143+MAX(0,F1211-F1187)*$D$1144+F1211*$D$1145)</f>
        <v>1.64928168</v>
      </c>
      <c r="G1219" s="40" t="n">
        <f aca="false">G1176*(MIN(G1206,G1187)*$D$1143+MAX(0,G1206-G1187)*$D$1144+G1206*$D$1145)+G1177*(MIN(G1207,G1187)*$D$1143+MAX(0,G1207-G1187)*$D$1144+G1207*$D$1145)+G1178*(MIN(G1208,G1187)*$D$1143+MAX(0,G1208-G1187)*$D$1144+G1208*$D$1145)+G1179*(MIN(G1209,G1187)*$D$1143+MAX(0,G1209-G1187)*$D$1144+G1209*$D$1145)+G1180*(MIN(G1210,G1187)*$D$1143+MAX(0,G1210-G1187)*$D$1144+G1210*$D$1145)+G1181*(MIN(G1211,G1187)*$D$1143+MAX(0,G1211-G1187)*$D$1144+G1211*$D$1145)</f>
        <v>2.1964818144</v>
      </c>
      <c r="H1219" s="40" t="n">
        <f aca="false">H1176*(MIN(H1206,H1187)*$D$1143+MAX(0,H1206-H1187)*$D$1144+H1206*$D$1145)+H1177*(MIN(H1207,H1187)*$D$1143+MAX(0,H1207-H1187)*$D$1144+H1207*$D$1145)+H1178*(MIN(H1208,H1187)*$D$1143+MAX(0,H1208-H1187)*$D$1144+H1208*$D$1145)+H1179*(MIN(H1209,H1187)*$D$1143+MAX(0,H1209-H1187)*$D$1144+H1209*$D$1145)+H1180*(MIN(H1210,H1187)*$D$1143+MAX(0,H1210-H1187)*$D$1144+H1210*$D$1145)+H1181*(MIN(H1211,H1187)*$D$1143+MAX(0,H1211-H1187)*$D$1144+H1211*$D$1145)</f>
        <v>2.874881223552</v>
      </c>
      <c r="I1219" s="40" t="n">
        <f aca="false">I1176*(MIN(I1206,I1187)*$D$1143+MAX(0,I1206-I1187)*$D$1144+I1206*$D$1145)+I1177*(MIN(I1207,I1187)*$D$1143+MAX(0,I1207-I1187)*$D$1144+I1207*$D$1145)+I1178*(MIN(I1208,I1187)*$D$1143+MAX(0,I1208-I1187)*$D$1144+I1208*$D$1145)+I1179*(MIN(I1209,I1187)*$D$1143+MAX(0,I1209-I1187)*$D$1144+I1209*$D$1145)+I1180*(MIN(I1210,I1187)*$D$1143+MAX(0,I1210-I1187)*$D$1144+I1210*$D$1145)+I1181*(MIN(I1211,I1187)*$D$1143+MAX(0,I1211-I1187)*$D$1144+I1211*$D$1145)</f>
        <v>3.69987351263232</v>
      </c>
      <c r="J1219" s="40" t="n">
        <f aca="false">J1176*(MIN(J1206,J1187)*$D$1143+MAX(0,J1206-J1187)*$D$1144+J1206*$D$1145)+J1177*(MIN(J1207,J1187)*$D$1143+MAX(0,J1207-J1187)*$D$1144+J1207*$D$1145)+J1178*(MIN(J1208,J1187)*$D$1143+MAX(0,J1208-J1187)*$D$1144+J1208*$D$1145)+J1179*(MIN(J1209,J1187)*$D$1143+MAX(0,J1209-J1187)*$D$1144+J1209*$D$1145)+J1180*(MIN(J1210,J1187)*$D$1143+MAX(0,J1210-J1187)*$D$1144+J1210*$D$1145)+J1181*(MIN(J1211,J1187)*$D$1143+MAX(0,J1211-J1187)*$D$1144+J1211*$D$1145)</f>
        <v>4.49085916839491</v>
      </c>
      <c r="K1219" s="51" t="n">
        <f aca="false">SUM(F1219:J1219)</f>
        <v>14.9113773989792</v>
      </c>
      <c r="L1219" s="49" t="s">
        <v>650</v>
      </c>
    </row>
    <row r="1220" customFormat="false" ht="15" hidden="true" customHeight="false" outlineLevel="1" collapsed="false">
      <c r="A1220" s="20" t="n">
        <v>84</v>
      </c>
      <c r="B1220" s="6" t="s">
        <v>651</v>
      </c>
      <c r="C1220" s="20"/>
      <c r="D1220" s="23"/>
      <c r="E1220" s="23"/>
      <c r="F1220" s="38" t="n">
        <f aca="false">IF(AND(F1193&gt;0,E1193=0),1,0)</f>
        <v>1</v>
      </c>
      <c r="G1220" s="38" t="n">
        <f aca="false">IF(AND(G1193&gt;0,F1193=0),1,0)</f>
        <v>0</v>
      </c>
      <c r="H1220" s="38" t="n">
        <f aca="false">IF(AND(H1193&gt;0,G1193=0),1,0)</f>
        <v>0</v>
      </c>
      <c r="I1220" s="38" t="n">
        <f aca="false">IF(AND(I1193&gt;0,H1193=0),1,0)</f>
        <v>0</v>
      </c>
      <c r="J1220" s="38" t="n">
        <f aca="false">IF(AND(J1193&gt;0,I1193=0),1,0)</f>
        <v>0</v>
      </c>
      <c r="K1220" s="23"/>
      <c r="L1220" s="49"/>
    </row>
    <row r="1221" customFormat="false" ht="15" hidden="true" customHeight="false" outlineLevel="1" collapsed="false">
      <c r="A1221" s="20" t="n">
        <v>85</v>
      </c>
      <c r="B1221" s="6" t="s">
        <v>652</v>
      </c>
      <c r="C1221" s="20" t="s">
        <v>71</v>
      </c>
      <c r="D1221" s="23"/>
      <c r="E1221" s="23"/>
      <c r="F1221" s="40" t="n">
        <f aca="false">(F1220*$D$1148+IF(E1193&gt;0,1,0)*$D$1149)*F1185</f>
        <v>2.5</v>
      </c>
      <c r="G1221" s="40" t="n">
        <f aca="false">(G1220*$D$1148+IF(F1193&gt;0,1,0)*$D$1149)*G1185</f>
        <v>1.05</v>
      </c>
      <c r="H1221" s="40" t="n">
        <f aca="false">(H1220*$D$1148+IF(G1193&gt;0,1,0)*$D$1149)*H1185</f>
        <v>1.1025</v>
      </c>
      <c r="I1221" s="40" t="n">
        <f aca="false">(I1220*$D$1148+IF(H1193&gt;0,1,0)*$D$1149)*I1185</f>
        <v>1.157625</v>
      </c>
      <c r="J1221" s="40" t="n">
        <f aca="false">(J1220*$D$1148+IF(I1193&gt;0,1,0)*$D$1149)*J1185</f>
        <v>1.21550625</v>
      </c>
      <c r="K1221" s="51" t="n">
        <f aca="false">SUM(F1221:J1221)</f>
        <v>7.02563125</v>
      </c>
      <c r="L1221" s="49" t="s">
        <v>653</v>
      </c>
    </row>
    <row r="1222" customFormat="false" ht="15" hidden="true" customHeight="false" outlineLevel="1" collapsed="false">
      <c r="A1222" s="20" t="n">
        <v>86</v>
      </c>
      <c r="B1222" s="6" t="s">
        <v>302</v>
      </c>
      <c r="C1222" s="20" t="s">
        <v>71</v>
      </c>
      <c r="D1222" s="23"/>
      <c r="E1222" s="23"/>
      <c r="F1222" s="40" t="n">
        <f aca="false">$D$1150*F1185</f>
        <v>0.6</v>
      </c>
      <c r="G1222" s="40" t="n">
        <f aca="false">$D$1150*G1185</f>
        <v>0.63</v>
      </c>
      <c r="H1222" s="40" t="n">
        <f aca="false">$D$1150*H1185</f>
        <v>0.6615</v>
      </c>
      <c r="I1222" s="40" t="n">
        <f aca="false">$D$1150*I1185</f>
        <v>0.694575</v>
      </c>
      <c r="J1222" s="40" t="n">
        <f aca="false">$D$1150*J1185</f>
        <v>0.72930375</v>
      </c>
      <c r="K1222" s="51" t="n">
        <f aca="false">SUM(F1222:J1222)</f>
        <v>3.31537875</v>
      </c>
      <c r="L1222" s="49"/>
    </row>
    <row r="1223" customFormat="false" ht="15" hidden="true" customHeight="false" outlineLevel="1" collapsed="false">
      <c r="A1223" s="20" t="n">
        <v>87</v>
      </c>
      <c r="B1223" s="6" t="s">
        <v>654</v>
      </c>
      <c r="C1223" s="20" t="s">
        <v>71</v>
      </c>
      <c r="D1223" s="23"/>
      <c r="E1223" s="23"/>
      <c r="F1223" s="40" t="n">
        <f aca="false">$D$1151*F1204*F1185</f>
        <v>0.6</v>
      </c>
      <c r="G1223" s="40" t="n">
        <f aca="false">$D$1151*G1204*G1185</f>
        <v>0.7875</v>
      </c>
      <c r="H1223" s="40" t="n">
        <f aca="false">$D$1151*H1204*H1185</f>
        <v>0.99225</v>
      </c>
      <c r="I1223" s="40" t="n">
        <f aca="false">$D$1151*I1204*I1185</f>
        <v>1.21550625</v>
      </c>
      <c r="J1223" s="40" t="n">
        <f aca="false">$D$1151*J1204*J1185</f>
        <v>1.4586075</v>
      </c>
      <c r="K1223" s="51" t="n">
        <f aca="false">SUM(F1223:J1223)</f>
        <v>5.05386375</v>
      </c>
      <c r="L1223" s="49" t="s">
        <v>655</v>
      </c>
    </row>
    <row r="1224" customFormat="false" ht="15" hidden="true" customHeight="false" outlineLevel="1" collapsed="false">
      <c r="A1224" s="20" t="n">
        <v>88</v>
      </c>
      <c r="B1224" s="6" t="s">
        <v>656</v>
      </c>
      <c r="C1224" s="20" t="s">
        <v>71</v>
      </c>
      <c r="D1224" s="23"/>
      <c r="E1224" s="23"/>
      <c r="F1224" s="40" t="n">
        <f aca="false">($D$1152+$D$1153*F1194)*F1185</f>
        <v>1.4</v>
      </c>
      <c r="G1224" s="40" t="n">
        <f aca="false">($D$1152+$D$1153*G1194)*G1185</f>
        <v>1.47</v>
      </c>
      <c r="H1224" s="40" t="n">
        <f aca="false">($D$1152+$D$1153*H1194)*H1185</f>
        <v>2.4255</v>
      </c>
      <c r="I1224" s="40" t="n">
        <f aca="false">($D$1152+$D$1153*I1194)*I1185</f>
        <v>2.083725</v>
      </c>
      <c r="J1224" s="40" t="n">
        <f aca="false">($D$1152+$D$1153*J1194)*J1185</f>
        <v>3.16031625</v>
      </c>
      <c r="K1224" s="51" t="n">
        <f aca="false">SUM(F1224:J1224)</f>
        <v>10.53954125</v>
      </c>
      <c r="L1224" s="49" t="s">
        <v>657</v>
      </c>
    </row>
    <row r="1225" customFormat="false" ht="15" hidden="true" customHeight="false" outlineLevel="1" collapsed="false">
      <c r="A1225" s="20" t="n">
        <v>89</v>
      </c>
      <c r="B1225" s="6" t="s">
        <v>658</v>
      </c>
      <c r="C1225" s="20" t="s">
        <v>71</v>
      </c>
      <c r="D1225" s="23"/>
      <c r="E1225" s="23"/>
      <c r="F1225" s="40" t="n">
        <f aca="false">($D$1154+$D$1155*F1204)*F1185</f>
        <v>1.6</v>
      </c>
      <c r="G1225" s="40" t="n">
        <f aca="false">($D$1154+$D$1155*G1204)*G1185</f>
        <v>1.785</v>
      </c>
      <c r="H1225" s="40" t="n">
        <f aca="false">($D$1154+$D$1155*H1204)*H1185</f>
        <v>1.9845</v>
      </c>
      <c r="I1225" s="40" t="n">
        <f aca="false">($D$1154+$D$1155*I1204)*I1185</f>
        <v>2.1994875</v>
      </c>
      <c r="J1225" s="40" t="n">
        <f aca="false">($D$1154+$D$1155*J1204)*J1185</f>
        <v>2.4310125</v>
      </c>
      <c r="K1225" s="51" t="n">
        <f aca="false">SUM(F1225:J1225)</f>
        <v>10</v>
      </c>
      <c r="L1225" s="49" t="s">
        <v>659</v>
      </c>
    </row>
    <row r="1226" customFormat="false" ht="15" hidden="true" customHeight="false" outlineLevel="1" collapsed="false">
      <c r="A1226" s="20" t="n">
        <v>90</v>
      </c>
      <c r="B1226" s="6" t="s">
        <v>660</v>
      </c>
      <c r="C1226" s="20" t="s">
        <v>71</v>
      </c>
      <c r="D1226" s="23"/>
      <c r="E1226" s="23"/>
      <c r="F1226" s="40" t="n">
        <f aca="false">$D$1156*F1205*F1185</f>
        <v>0.5</v>
      </c>
      <c r="G1226" s="40" t="n">
        <f aca="false">$D$1156*G1205*G1185</f>
        <v>0.2625</v>
      </c>
      <c r="H1226" s="40" t="n">
        <f aca="false">$D$1156*H1205*H1185</f>
        <v>0.275625</v>
      </c>
      <c r="I1226" s="40" t="n">
        <f aca="false">$D$1156*I1205*I1185</f>
        <v>0.28940625</v>
      </c>
      <c r="J1226" s="40" t="n">
        <f aca="false">$D$1156*J1205*J1185</f>
        <v>0.3038765625</v>
      </c>
      <c r="K1226" s="51" t="n">
        <f aca="false">SUM(F1226:J1226)</f>
        <v>1.6314078125</v>
      </c>
      <c r="L1226" s="49" t="s">
        <v>661</v>
      </c>
    </row>
    <row r="1227" customFormat="false" ht="15" hidden="true" customHeight="false" outlineLevel="1" collapsed="false">
      <c r="A1227" s="20" t="n">
        <v>91</v>
      </c>
      <c r="B1227" s="6" t="s">
        <v>570</v>
      </c>
      <c r="C1227" s="20" t="s">
        <v>71</v>
      </c>
      <c r="D1227" s="23"/>
      <c r="E1227" s="23"/>
      <c r="F1227" s="40" t="n">
        <f aca="false">IF(F$1183=$F$1183,$D$1157,0)</f>
        <v>0.3</v>
      </c>
      <c r="G1227" s="40" t="n">
        <f aca="false">IF(G$1183=$F$1183,$D$1157,0)</f>
        <v>0</v>
      </c>
      <c r="H1227" s="40" t="n">
        <f aca="false">IF(H$1183=$F$1183,$D$1157,0)</f>
        <v>0</v>
      </c>
      <c r="I1227" s="40" t="n">
        <f aca="false">IF(I$1183=$F$1183,$D$1157,0)</f>
        <v>0</v>
      </c>
      <c r="J1227" s="40" t="n">
        <f aca="false">IF(J$1183=$F$1183,$D$1157,0)</f>
        <v>0</v>
      </c>
      <c r="K1227" s="51" t="n">
        <f aca="false">SUM(F1227:J1227)</f>
        <v>0.3</v>
      </c>
      <c r="L1227" s="49" t="s">
        <v>662</v>
      </c>
    </row>
    <row r="1228" customFormat="false" ht="15" hidden="true" customHeight="false" outlineLevel="1" collapsed="false">
      <c r="A1228" s="20" t="n">
        <v>92</v>
      </c>
      <c r="B1228" s="6" t="s">
        <v>663</v>
      </c>
      <c r="C1228" s="20" t="s">
        <v>71</v>
      </c>
      <c r="D1228" s="23"/>
      <c r="E1228" s="23"/>
      <c r="F1228" s="40" t="n">
        <f aca="false">F1218+F1219+F1221+F1222+F1223+F1224+F1225+F1226+F1227</f>
        <v>20.06928168</v>
      </c>
      <c r="G1228" s="40" t="n">
        <f aca="false">G1218+G1219+G1221+G1222+G1223+G1224+G1225+G1226+G1227</f>
        <v>22.6906818144</v>
      </c>
      <c r="H1228" s="40" t="n">
        <f aca="false">H1218+H1219+H1221+H1222+H1223+H1224+H1225+H1226+H1227</f>
        <v>29.276300223552</v>
      </c>
      <c r="I1228" s="40" t="n">
        <f aca="false">I1218+I1219+I1221+I1222+I1223+I1224+I1225+I1226+I1227</f>
        <v>35.7430550726323</v>
      </c>
      <c r="J1228" s="40" t="n">
        <f aca="false">J1218+J1219+J1221+J1222+J1223+J1224+J1225+J1226+J1227</f>
        <v>43.3610399664949</v>
      </c>
      <c r="K1228" s="51" t="n">
        <f aca="false">SUM(F1228:J1228)</f>
        <v>151.140358757079</v>
      </c>
      <c r="L1228" s="49"/>
    </row>
    <row r="1229" customFormat="false" ht="15" hidden="true" customHeight="false" outlineLevel="1" collapsed="false">
      <c r="A1229" s="20" t="n">
        <v>93</v>
      </c>
      <c r="B1229" s="6" t="s">
        <v>329</v>
      </c>
      <c r="C1229" s="20" t="s">
        <v>71</v>
      </c>
      <c r="D1229" s="23"/>
      <c r="E1229" s="23"/>
      <c r="F1229" s="40" t="n">
        <f aca="false">F1228*$D$1159</f>
        <v>2.006928168</v>
      </c>
      <c r="G1229" s="40" t="n">
        <f aca="false">G1228*$D$1159</f>
        <v>2.26906818144</v>
      </c>
      <c r="H1229" s="40" t="n">
        <f aca="false">H1228*$D$1159</f>
        <v>2.9276300223552</v>
      </c>
      <c r="I1229" s="40" t="n">
        <f aca="false">I1228*$D$1159</f>
        <v>3.57430550726323</v>
      </c>
      <c r="J1229" s="40" t="n">
        <f aca="false">J1228*$D$1159</f>
        <v>4.33610399664949</v>
      </c>
      <c r="K1229" s="51" t="n">
        <f aca="false">SUM(F1229:J1229)</f>
        <v>15.1140358757079</v>
      </c>
      <c r="L1229" s="49"/>
    </row>
    <row r="1230" customFormat="false" ht="15" hidden="true" customHeight="false" outlineLevel="1" collapsed="false">
      <c r="A1230" s="20" t="n">
        <v>94</v>
      </c>
      <c r="B1230" s="6" t="s">
        <v>664</v>
      </c>
      <c r="C1230" s="20" t="s">
        <v>71</v>
      </c>
      <c r="D1230" s="23"/>
      <c r="E1230" s="23"/>
      <c r="F1230" s="40" t="n">
        <f aca="false">F1228+F1229</f>
        <v>22.076209848</v>
      </c>
      <c r="G1230" s="40" t="n">
        <f aca="false">G1228+G1229</f>
        <v>24.95974999584</v>
      </c>
      <c r="H1230" s="40" t="n">
        <f aca="false">H1228+H1229</f>
        <v>32.2039302459072</v>
      </c>
      <c r="I1230" s="40" t="n">
        <f aca="false">I1228+I1229</f>
        <v>39.3173605798956</v>
      </c>
      <c r="J1230" s="40" t="n">
        <f aca="false">J1228+J1229</f>
        <v>47.6971439631444</v>
      </c>
      <c r="K1230" s="51" t="n">
        <f aca="false">SUM(F1230:J1230)</f>
        <v>166.254394632787</v>
      </c>
      <c r="L1230" s="49"/>
    </row>
    <row r="1231" customFormat="false" ht="15" hidden="true" customHeight="false" outlineLevel="1" collapsed="false">
      <c r="A1231" s="19" t="s">
        <v>665</v>
      </c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</row>
    <row r="1232" customFormat="false" ht="15" hidden="true" customHeight="false" outlineLevel="1" collapsed="false">
      <c r="A1232" s="20" t="n">
        <v>95</v>
      </c>
      <c r="B1232" s="6" t="s">
        <v>666</v>
      </c>
      <c r="C1232" s="20" t="s">
        <v>71</v>
      </c>
      <c r="D1232" s="23"/>
      <c r="E1232" s="23"/>
      <c r="F1232" s="40" t="n">
        <f aca="false">F1201-F1230</f>
        <v>-12.476209848</v>
      </c>
      <c r="G1232" s="40" t="n">
        <f aca="false">G1201-G1230</f>
        <v>-6.68974999584</v>
      </c>
      <c r="H1232" s="40" t="n">
        <f aca="false">H1201-H1230</f>
        <v>4.4989838165928</v>
      </c>
      <c r="I1232" s="40" t="n">
        <f aca="false">I1201-I1230</f>
        <v>4.97338836364139</v>
      </c>
      <c r="J1232" s="40" t="n">
        <f aca="false">J1201-J1230</f>
        <v>23.4832257689889</v>
      </c>
      <c r="K1232" s="51" t="n">
        <f aca="false">SUM(F1232:J1232)</f>
        <v>13.7896381053831</v>
      </c>
      <c r="L1232" s="49" t="s">
        <v>667</v>
      </c>
    </row>
    <row r="1233" customFormat="false" ht="15" hidden="true" customHeight="false" outlineLevel="1" collapsed="false">
      <c r="A1233" s="20" t="n">
        <v>96</v>
      </c>
      <c r="B1233" s="6" t="s">
        <v>668</v>
      </c>
      <c r="C1233" s="20" t="s">
        <v>68</v>
      </c>
      <c r="D1233" s="23"/>
      <c r="E1233" s="23"/>
      <c r="F1233" s="44" t="n">
        <f aca="false">IF(F1201&gt;0,F1232/F1201,0)</f>
        <v>-1.2996051925</v>
      </c>
      <c r="G1233" s="44" t="n">
        <f aca="false">IF(G1201&gt;0,G1232/G1201,0)</f>
        <v>-0.366160371967159</v>
      </c>
      <c r="H1233" s="44" t="n">
        <f aca="false">IF(H1201&gt;0,H1232/H1201,0)</f>
        <v>0.122578381894463</v>
      </c>
      <c r="I1233" s="44" t="n">
        <f aca="false">IF(I1201&gt;0,I1232/I1201,0)</f>
        <v>0.11228955215866</v>
      </c>
      <c r="J1233" s="44" t="n">
        <f aca="false">IF(J1201&gt;0,J1232/J1201,0)</f>
        <v>0.329911545238684</v>
      </c>
      <c r="K1233" s="23"/>
      <c r="L1233" s="49"/>
    </row>
    <row r="1234" customFormat="false" ht="15" hidden="true" customHeight="false" outlineLevel="1" collapsed="false">
      <c r="A1234" s="20" t="n">
        <v>97</v>
      </c>
      <c r="B1234" s="6" t="s">
        <v>669</v>
      </c>
      <c r="C1234" s="20" t="s">
        <v>71</v>
      </c>
      <c r="D1234" s="23"/>
      <c r="E1234" s="23"/>
      <c r="F1234" s="40" t="n">
        <f aca="false">E1238</f>
        <v>0</v>
      </c>
      <c r="G1234" s="40" t="n">
        <f aca="false">F1238</f>
        <v>12.476209848</v>
      </c>
      <c r="H1234" s="40" t="n">
        <f aca="false">G1238</f>
        <v>19.16595984384</v>
      </c>
      <c r="I1234" s="40" t="n">
        <f aca="false">H1238</f>
        <v>16.9164679355436</v>
      </c>
      <c r="J1234" s="40" t="n">
        <f aca="false">I1238</f>
        <v>14.4297737537229</v>
      </c>
      <c r="K1234" s="23"/>
      <c r="L1234" s="49"/>
    </row>
    <row r="1235" customFormat="false" ht="15" hidden="true" customHeight="false" outlineLevel="1" collapsed="false">
      <c r="A1235" s="20" t="n">
        <v>98</v>
      </c>
      <c r="B1235" s="6" t="s">
        <v>670</v>
      </c>
      <c r="C1235" s="20" t="s">
        <v>71</v>
      </c>
      <c r="D1235" s="23"/>
      <c r="E1235" s="23"/>
      <c r="F1235" s="40" t="n">
        <f aca="false">MIN(F1234,MAX(0,F1232)*$D$1161)</f>
        <v>0</v>
      </c>
      <c r="G1235" s="40" t="n">
        <f aca="false">MIN(G1234,MAX(0,G1232)*$D$1161)</f>
        <v>0</v>
      </c>
      <c r="H1235" s="40" t="n">
        <f aca="false">MIN(H1234,MAX(0,H1232)*$D$1161)</f>
        <v>2.2494919082964</v>
      </c>
      <c r="I1235" s="40" t="n">
        <f aca="false">MIN(I1234,MAX(0,I1232)*$D$1161)</f>
        <v>2.4866941818207</v>
      </c>
      <c r="J1235" s="40" t="n">
        <f aca="false">MIN(J1234,MAX(0,J1232)*$D$1161)</f>
        <v>11.7416128844945</v>
      </c>
      <c r="K1235" s="23"/>
      <c r="L1235" s="49" t="s">
        <v>671</v>
      </c>
    </row>
    <row r="1236" customFormat="false" ht="15" hidden="true" customHeight="false" outlineLevel="1" collapsed="false">
      <c r="A1236" s="20" t="n">
        <v>99</v>
      </c>
      <c r="B1236" s="6" t="s">
        <v>672</v>
      </c>
      <c r="C1236" s="20" t="s">
        <v>71</v>
      </c>
      <c r="D1236" s="23"/>
      <c r="E1236" s="23"/>
      <c r="F1236" s="40" t="n">
        <f aca="false">MAX(0,F1232)-F1235</f>
        <v>0</v>
      </c>
      <c r="G1236" s="40" t="n">
        <f aca="false">MAX(0,G1232)-G1235</f>
        <v>0</v>
      </c>
      <c r="H1236" s="40" t="n">
        <f aca="false">MAX(0,H1232)-H1235</f>
        <v>2.2494919082964</v>
      </c>
      <c r="I1236" s="40" t="n">
        <f aca="false">MAX(0,I1232)-I1235</f>
        <v>2.4866941818207</v>
      </c>
      <c r="J1236" s="40" t="n">
        <f aca="false">MAX(0,J1232)-J1235</f>
        <v>11.7416128844945</v>
      </c>
      <c r="K1236" s="23"/>
      <c r="L1236" s="49"/>
    </row>
    <row r="1237" customFormat="false" ht="15" hidden="true" customHeight="false" outlineLevel="1" collapsed="false">
      <c r="A1237" s="20" t="n">
        <v>100</v>
      </c>
      <c r="B1237" s="6" t="s">
        <v>572</v>
      </c>
      <c r="C1237" s="20" t="s">
        <v>71</v>
      </c>
      <c r="D1237" s="23"/>
      <c r="E1237" s="23"/>
      <c r="F1237" s="40" t="n">
        <f aca="false">F1236*$D$1160</f>
        <v>0</v>
      </c>
      <c r="G1237" s="40" t="n">
        <f aca="false">G1236*$D$1160</f>
        <v>0</v>
      </c>
      <c r="H1237" s="40" t="n">
        <f aca="false">H1236*$D$1160</f>
        <v>0.11247459541482</v>
      </c>
      <c r="I1237" s="40" t="n">
        <f aca="false">I1236*$D$1160</f>
        <v>0.124334709091035</v>
      </c>
      <c r="J1237" s="40" t="n">
        <f aca="false">J1236*$D$1160</f>
        <v>0.587080644224724</v>
      </c>
      <c r="K1237" s="51" t="n">
        <f aca="false">SUM(F1237:J1237)</f>
        <v>0.823889948730578</v>
      </c>
      <c r="L1237" s="49"/>
    </row>
    <row r="1238" customFormat="false" ht="15" hidden="true" customHeight="false" outlineLevel="1" collapsed="false">
      <c r="A1238" s="20" t="n">
        <v>101</v>
      </c>
      <c r="B1238" s="6" t="s">
        <v>673</v>
      </c>
      <c r="C1238" s="20" t="s">
        <v>71</v>
      </c>
      <c r="D1238" s="23"/>
      <c r="E1238" s="40" t="n">
        <f aca="false">0</f>
        <v>0</v>
      </c>
      <c r="F1238" s="40" t="n">
        <f aca="false">F1234-F1235+MAX(0,-F1232)</f>
        <v>12.476209848</v>
      </c>
      <c r="G1238" s="40" t="n">
        <f aca="false">G1234-G1235+MAX(0,-G1232)</f>
        <v>19.16595984384</v>
      </c>
      <c r="H1238" s="40" t="n">
        <f aca="false">H1234-H1235+MAX(0,-H1232)</f>
        <v>16.9164679355436</v>
      </c>
      <c r="I1238" s="40" t="n">
        <f aca="false">I1234-I1235+MAX(0,-I1232)</f>
        <v>14.4297737537229</v>
      </c>
      <c r="J1238" s="40" t="n">
        <f aca="false">J1234-J1235+MAX(0,-J1232)</f>
        <v>2.68816086922844</v>
      </c>
      <c r="K1238" s="23"/>
      <c r="L1238" s="49"/>
    </row>
    <row r="1239" customFormat="false" ht="15" hidden="true" customHeight="false" outlineLevel="1" collapsed="false">
      <c r="A1239" s="20" t="n">
        <v>102</v>
      </c>
      <c r="B1239" s="6" t="s">
        <v>674</v>
      </c>
      <c r="C1239" s="20" t="s">
        <v>71</v>
      </c>
      <c r="D1239" s="23"/>
      <c r="E1239" s="23"/>
      <c r="F1239" s="40" t="n">
        <f aca="false">F1232-F1237</f>
        <v>-12.476209848</v>
      </c>
      <c r="G1239" s="40" t="n">
        <f aca="false">G1232-G1237</f>
        <v>-6.68974999584</v>
      </c>
      <c r="H1239" s="40" t="n">
        <f aca="false">H1232-H1237</f>
        <v>4.38650922117798</v>
      </c>
      <c r="I1239" s="40" t="n">
        <f aca="false">I1232-I1237</f>
        <v>4.84905365455036</v>
      </c>
      <c r="J1239" s="40" t="n">
        <f aca="false">J1232-J1237</f>
        <v>22.8961451247642</v>
      </c>
      <c r="K1239" s="51" t="n">
        <f aca="false">SUM(F1239:J1239)</f>
        <v>12.9657481566525</v>
      </c>
      <c r="L1239" s="49"/>
    </row>
    <row r="1240" customFormat="false" ht="15" hidden="true" customHeight="false" outlineLevel="1" collapsed="false">
      <c r="A1240" s="19" t="s">
        <v>675</v>
      </c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</row>
    <row r="1241" customFormat="false" ht="15" hidden="true" customHeight="false" outlineLevel="1" collapsed="false">
      <c r="A1241" s="20" t="n">
        <v>103</v>
      </c>
      <c r="B1241" s="6" t="s">
        <v>676</v>
      </c>
      <c r="C1241" s="20" t="s">
        <v>71</v>
      </c>
      <c r="D1241" s="23"/>
      <c r="E1241" s="40" t="n">
        <f aca="false">0</f>
        <v>0</v>
      </c>
      <c r="F1241" s="40" t="n">
        <f aca="false">F1201*$D$1162/365</f>
        <v>2.36712328767123</v>
      </c>
      <c r="G1241" s="40" t="n">
        <f aca="false">G1201*$D$1162/365</f>
        <v>4.50493150684931</v>
      </c>
      <c r="H1241" s="40" t="n">
        <f aca="false">H1201*$D$1162/365</f>
        <v>9.05003360445206</v>
      </c>
      <c r="I1241" s="40" t="n">
        <f aca="false">I1201*$D$1162/365</f>
        <v>10.9210065888173</v>
      </c>
      <c r="J1241" s="40" t="n">
        <f aca="false">J1201*$D$1162/365</f>
        <v>17.5513240435397</v>
      </c>
      <c r="K1241" s="23"/>
      <c r="L1241" s="49" t="s">
        <v>677</v>
      </c>
    </row>
    <row r="1242" customFormat="false" ht="15" hidden="true" customHeight="false" outlineLevel="1" collapsed="false">
      <c r="A1242" s="20" t="n">
        <v>104</v>
      </c>
      <c r="B1242" s="6" t="s">
        <v>678</v>
      </c>
      <c r="C1242" s="20" t="s">
        <v>71</v>
      </c>
      <c r="D1242" s="23"/>
      <c r="E1242" s="23"/>
      <c r="F1242" s="40" t="n">
        <f aca="false">F1241-E1241</f>
        <v>2.36712328767123</v>
      </c>
      <c r="G1242" s="40" t="n">
        <f aca="false">G1241-F1241</f>
        <v>2.13780821917808</v>
      </c>
      <c r="H1242" s="40" t="n">
        <f aca="false">H1241-G1241</f>
        <v>4.54510209760274</v>
      </c>
      <c r="I1242" s="40" t="n">
        <f aca="false">I1241-H1241</f>
        <v>1.87097298436527</v>
      </c>
      <c r="J1242" s="40" t="n">
        <f aca="false">J1241-I1241</f>
        <v>6.6303174547224</v>
      </c>
      <c r="K1242" s="51" t="n">
        <f aca="false">SUM(F1242:J1242)</f>
        <v>17.5513240435397</v>
      </c>
      <c r="L1242" s="49"/>
    </row>
    <row r="1243" customFormat="false" ht="15" hidden="true" customHeight="false" outlineLevel="1" collapsed="false">
      <c r="A1243" s="20" t="n">
        <v>105</v>
      </c>
      <c r="B1243" s="6" t="s">
        <v>679</v>
      </c>
      <c r="C1243" s="20" t="s">
        <v>71</v>
      </c>
      <c r="D1243" s="23"/>
      <c r="E1243" s="23"/>
      <c r="F1243" s="40" t="n">
        <f aca="false">F1239-F1242</f>
        <v>-14.8433331356712</v>
      </c>
      <c r="G1243" s="40" t="n">
        <f aca="false">G1239-G1242</f>
        <v>-8.82755821501808</v>
      </c>
      <c r="H1243" s="40" t="n">
        <f aca="false">H1239-H1242</f>
        <v>-0.158592876424764</v>
      </c>
      <c r="I1243" s="40" t="n">
        <f aca="false">I1239-I1242</f>
        <v>2.97808067018508</v>
      </c>
      <c r="J1243" s="40" t="n">
        <f aca="false">J1239-J1242</f>
        <v>16.2658276700418</v>
      </c>
      <c r="K1243" s="51" t="n">
        <f aca="false">SUM(F1243:J1243)</f>
        <v>-4.58557588688718</v>
      </c>
      <c r="L1243" s="49" t="s">
        <v>680</v>
      </c>
    </row>
    <row r="1244" customFormat="false" ht="15" hidden="true" customHeight="false" outlineLevel="1" collapsed="false">
      <c r="A1244" s="20" t="n">
        <v>106</v>
      </c>
      <c r="B1244" s="6" t="s">
        <v>93</v>
      </c>
      <c r="C1244" s="20" t="s">
        <v>71</v>
      </c>
      <c r="D1244" s="23"/>
      <c r="E1244" s="40" t="n">
        <f aca="false">0</f>
        <v>0</v>
      </c>
      <c r="F1244" s="40" t="n">
        <f aca="false">E1244+F1243</f>
        <v>-14.8433331356712</v>
      </c>
      <c r="G1244" s="40" t="n">
        <f aca="false">F1244+G1243</f>
        <v>-23.6708913506893</v>
      </c>
      <c r="H1244" s="40" t="n">
        <f aca="false">G1244+H1243</f>
        <v>-23.8294842271141</v>
      </c>
      <c r="I1244" s="40" t="n">
        <f aca="false">H1244+I1243</f>
        <v>-20.851403556929</v>
      </c>
      <c r="J1244" s="40" t="n">
        <f aca="false">I1244+J1243</f>
        <v>-4.58557588688718</v>
      </c>
      <c r="K1244" s="23"/>
      <c r="L1244" s="49" t="s">
        <v>681</v>
      </c>
    </row>
    <row r="1245" customFormat="false" ht="15" hidden="true" customHeight="false" outlineLevel="1" collapsed="false">
      <c r="A1245" s="20" t="n">
        <v>107</v>
      </c>
      <c r="B1245" s="6" t="s">
        <v>682</v>
      </c>
      <c r="C1245" s="20"/>
      <c r="D1245" s="23"/>
      <c r="E1245" s="23"/>
      <c r="F1245" s="53" t="n">
        <f aca="false">1/(1+$D$1163)^(F$1183-$E$1183)</f>
        <v>0.769230769230769</v>
      </c>
      <c r="G1245" s="53" t="n">
        <f aca="false">1/(1+$D$1163)^(G$1183-$E$1183)</f>
        <v>0.591715976331361</v>
      </c>
      <c r="H1245" s="53" t="n">
        <f aca="false">1/(1+$D$1163)^(H$1183-$E$1183)</f>
        <v>0.455166135639508</v>
      </c>
      <c r="I1245" s="53" t="n">
        <f aca="false">1/(1+$D$1163)^(I$1183-$E$1183)</f>
        <v>0.350127796645776</v>
      </c>
      <c r="J1245" s="53" t="n">
        <f aca="false">1/(1+$D$1163)^(J$1183-$E$1183)</f>
        <v>0.269329074342904</v>
      </c>
      <c r="K1245" s="23"/>
      <c r="L1245" s="49" t="s">
        <v>683</v>
      </c>
    </row>
    <row r="1246" customFormat="false" ht="15" hidden="true" customHeight="false" outlineLevel="1" collapsed="false">
      <c r="A1246" s="20" t="n">
        <v>108</v>
      </c>
      <c r="B1246" s="6" t="s">
        <v>684</v>
      </c>
      <c r="C1246" s="20" t="s">
        <v>71</v>
      </c>
      <c r="D1246" s="23"/>
      <c r="E1246" s="23"/>
      <c r="F1246" s="40" t="n">
        <f aca="false">F1243*F1245</f>
        <v>-11.4179485659009</v>
      </c>
      <c r="G1246" s="40" t="n">
        <f aca="false">G1243*G1245</f>
        <v>-5.22340722782135</v>
      </c>
      <c r="H1246" s="40" t="n">
        <f aca="false">H1243*H1245</f>
        <v>-0.0721861067022137</v>
      </c>
      <c r="I1246" s="40" t="n">
        <f aca="false">I1243*I1245</f>
        <v>1.04270882328528</v>
      </c>
      <c r="J1246" s="40" t="n">
        <f aca="false">J1243*J1245</f>
        <v>4.38086030979356</v>
      </c>
      <c r="K1246" s="51" t="n">
        <f aca="false">SUM(F1246:J1246)</f>
        <v>-11.2899727673457</v>
      </c>
      <c r="L1246" s="49"/>
    </row>
    <row r="1247" customFormat="false" ht="15" hidden="true" customHeight="false" outlineLevel="1" collapsed="false">
      <c r="A1247" s="20" t="n">
        <v>109</v>
      </c>
      <c r="B1247" s="6" t="s">
        <v>685</v>
      </c>
      <c r="C1247" s="20" t="s">
        <v>71</v>
      </c>
      <c r="D1247" s="23"/>
      <c r="E1247" s="23"/>
      <c r="F1247" s="40" t="n">
        <f aca="false">IF(F$1183=$J$1183,MAX(0,F1243)*(1+$D$1164)/($D$1163-$D$1164),0)</f>
        <v>0</v>
      </c>
      <c r="G1247" s="40" t="n">
        <f aca="false">IF(G$1183=$J$1183,MAX(0,G1243)*(1+$D$1164)/($D$1163-$D$1164),0)</f>
        <v>0</v>
      </c>
      <c r="H1247" s="40" t="n">
        <f aca="false">IF(H$1183=$J$1183,MAX(0,H1243)*(1+$D$1164)/($D$1163-$D$1164),0)</f>
        <v>0</v>
      </c>
      <c r="I1247" s="40" t="n">
        <f aca="false">IF(I$1183=$J$1183,MAX(0,I1243)*(1+$D$1164)/($D$1163-$D$1164),0)</f>
        <v>0</v>
      </c>
      <c r="J1247" s="40" t="n">
        <f aca="false">IF(J$1183=$J$1183,MAX(0,J1243)*(1+$D$1164)/($D$1163-$D$1164),0)</f>
        <v>65.0633106801673</v>
      </c>
      <c r="K1247" s="23"/>
      <c r="L1247" s="49" t="s">
        <v>686</v>
      </c>
    </row>
    <row r="1248" customFormat="false" ht="15" hidden="true" customHeight="false" outlineLevel="1" collapsed="false">
      <c r="A1248" s="20" t="n">
        <v>110</v>
      </c>
      <c r="B1248" s="6" t="s">
        <v>687</v>
      </c>
      <c r="C1248" s="20" t="s">
        <v>71</v>
      </c>
      <c r="D1248" s="23"/>
      <c r="E1248" s="23"/>
      <c r="F1248" s="40" t="n">
        <f aca="false">F1247*F1245</f>
        <v>0</v>
      </c>
      <c r="G1248" s="40" t="n">
        <f aca="false">G1247*G1245</f>
        <v>0</v>
      </c>
      <c r="H1248" s="40" t="n">
        <f aca="false">H1247*H1245</f>
        <v>0</v>
      </c>
      <c r="I1248" s="40" t="n">
        <f aca="false">I1247*I1245</f>
        <v>0</v>
      </c>
      <c r="J1248" s="40" t="n">
        <f aca="false">J1247*J1245</f>
        <v>17.5234412391743</v>
      </c>
      <c r="K1248" s="51" t="n">
        <f aca="false">SUM(F1248:J1248)</f>
        <v>17.5234412391743</v>
      </c>
      <c r="L1248" s="49"/>
    </row>
    <row r="1249" customFormat="false" ht="15" hidden="true" customHeight="false" outlineLevel="1" collapsed="false">
      <c r="A1249" s="20" t="n">
        <v>111</v>
      </c>
      <c r="B1249" s="6" t="s">
        <v>688</v>
      </c>
      <c r="C1249" s="20" t="s">
        <v>71</v>
      </c>
      <c r="D1249" s="23"/>
      <c r="E1249" s="23"/>
      <c r="F1249" s="40" t="n">
        <f aca="false">F1243+F1247</f>
        <v>-14.8433331356712</v>
      </c>
      <c r="G1249" s="40" t="n">
        <f aca="false">G1243+G1247</f>
        <v>-8.82755821501808</v>
      </c>
      <c r="H1249" s="40" t="n">
        <f aca="false">H1243+H1247</f>
        <v>-0.158592876424764</v>
      </c>
      <c r="I1249" s="40" t="n">
        <f aca="false">I1243+I1247</f>
        <v>2.97808067018508</v>
      </c>
      <c r="J1249" s="40" t="n">
        <f aca="false">J1243+J1247</f>
        <v>81.3291383502091</v>
      </c>
      <c r="K1249" s="23"/>
      <c r="L1249" s="49" t="s">
        <v>689</v>
      </c>
    </row>
    <row r="1250" customFormat="false" ht="15" hidden="true" customHeight="false" outlineLevel="1" collapsed="false">
      <c r="A1250" s="20" t="n">
        <v>112</v>
      </c>
      <c r="B1250" s="6" t="s">
        <v>690</v>
      </c>
      <c r="C1250" s="20"/>
      <c r="D1250" s="23"/>
      <c r="E1250" s="23"/>
      <c r="F1250" s="52" t="str">
        <f aca="false">IF(AND(F1232&gt;0,COUNTIF($F$1232:F$1232,"&gt;0")=1),F$1183,"")</f>
        <v/>
      </c>
      <c r="G1250" s="52" t="str">
        <f aca="false">IF(AND(G1232&gt;0,COUNTIF($F$1232:G$1232,"&gt;0")=1),G$1183,"")</f>
        <v/>
      </c>
      <c r="H1250" s="52" t="n">
        <f aca="false">IF(AND(H1232&gt;0,COUNTIF($F$1232:H$1232,"&gt;0")=1),H$1183,"")</f>
        <v>2029</v>
      </c>
      <c r="I1250" s="52" t="str">
        <f aca="false">IF(AND(I1232&gt;0,COUNTIF($F$1232:I$1232,"&gt;0")=1),I$1183,"")</f>
        <v/>
      </c>
      <c r="J1250" s="52" t="str">
        <f aca="false">IF(AND(J1232&gt;0,COUNTIF($F$1232:J$1232,"&gt;0")=1),J$1183,"")</f>
        <v/>
      </c>
      <c r="K1250" s="23"/>
      <c r="L1250" s="49" t="s">
        <v>691</v>
      </c>
    </row>
    <row r="1251" customFormat="false" ht="15" hidden="true" customHeight="false" outlineLevel="1" collapsed="false">
      <c r="A1251" s="20" t="n">
        <v>113</v>
      </c>
      <c r="B1251" s="6" t="s">
        <v>692</v>
      </c>
      <c r="C1251" s="20"/>
      <c r="D1251" s="23"/>
      <c r="E1251" s="23"/>
      <c r="F1251" s="52" t="str">
        <f aca="false">IF(AND(F1244&gt;0,COUNTIF($F$1244:F$1244,"&gt;0")=1),F$1183,"")</f>
        <v/>
      </c>
      <c r="G1251" s="52" t="str">
        <f aca="false">IF(AND(G1244&gt;0,COUNTIF($F$1244:G$1244,"&gt;0")=1),G$1183,"")</f>
        <v/>
      </c>
      <c r="H1251" s="52" t="str">
        <f aca="false">IF(AND(H1244&gt;0,COUNTIF($F$1244:H$1244,"&gt;0")=1),H$1183,"")</f>
        <v/>
      </c>
      <c r="I1251" s="52" t="str">
        <f aca="false">IF(AND(I1244&gt;0,COUNTIF($F$1244:I$1244,"&gt;0")=1),I$1183,"")</f>
        <v/>
      </c>
      <c r="J1251" s="52" t="str">
        <f aca="false">IF(AND(J1244&gt;0,COUNTIF($F$1244:J$1244,"&gt;0")=1),J$1183,"")</f>
        <v/>
      </c>
      <c r="K1251" s="23"/>
      <c r="L1251" s="49" t="s">
        <v>691</v>
      </c>
    </row>
    <row r="1252" customFormat="false" ht="15" hidden="true" customHeight="false" outlineLevel="1" collapsed="false">
      <c r="A1252" s="19" t="s">
        <v>693</v>
      </c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</row>
    <row r="1253" customFormat="false" ht="15" hidden="true" customHeight="false" outlineLevel="1" collapsed="false">
      <c r="A1253" s="20" t="n">
        <v>114</v>
      </c>
      <c r="B1253" s="6" t="s">
        <v>70</v>
      </c>
      <c r="C1253" s="20" t="s">
        <v>71</v>
      </c>
      <c r="D1253" s="51" t="n">
        <f aca="false">SUM(F1201:J1201)</f>
        <v>180.04403273817</v>
      </c>
      <c r="E1253" s="23"/>
      <c r="F1253" s="23"/>
      <c r="G1253" s="23"/>
      <c r="H1253" s="23"/>
      <c r="I1253" s="23"/>
      <c r="J1253" s="23"/>
      <c r="K1253" s="23"/>
      <c r="L1253" s="49"/>
    </row>
    <row r="1254" customFormat="false" ht="15" hidden="true" customHeight="false" outlineLevel="1" collapsed="false">
      <c r="A1254" s="20" t="n">
        <v>115</v>
      </c>
      <c r="B1254" s="6" t="s">
        <v>694</v>
      </c>
      <c r="C1254" s="20" t="s">
        <v>71</v>
      </c>
      <c r="D1254" s="51" t="n">
        <f aca="false">J1201</f>
        <v>71.1803697321333</v>
      </c>
      <c r="E1254" s="23"/>
      <c r="F1254" s="23"/>
      <c r="G1254" s="23"/>
      <c r="H1254" s="23"/>
      <c r="I1254" s="23"/>
      <c r="J1254" s="23"/>
      <c r="K1254" s="23"/>
      <c r="L1254" s="49"/>
    </row>
    <row r="1255" customFormat="false" ht="15" hidden="true" customHeight="false" outlineLevel="1" collapsed="false">
      <c r="A1255" s="20" t="n">
        <v>116</v>
      </c>
      <c r="B1255" s="6" t="s">
        <v>695</v>
      </c>
      <c r="C1255" s="20" t="s">
        <v>71</v>
      </c>
      <c r="D1255" s="51" t="n">
        <f aca="false">J1202</f>
        <v>74.6329671070812</v>
      </c>
      <c r="E1255" s="23"/>
      <c r="F1255" s="23"/>
      <c r="G1255" s="23"/>
      <c r="H1255" s="23"/>
      <c r="I1255" s="23"/>
      <c r="J1255" s="23"/>
      <c r="K1255" s="23"/>
      <c r="L1255" s="49"/>
    </row>
    <row r="1256" customFormat="false" ht="15" hidden="true" customHeight="false" outlineLevel="1" collapsed="false">
      <c r="A1256" s="20" t="n">
        <v>117</v>
      </c>
      <c r="B1256" s="6" t="s">
        <v>696</v>
      </c>
      <c r="C1256" s="20" t="s">
        <v>71</v>
      </c>
      <c r="D1256" s="51" t="n">
        <f aca="false">J1232</f>
        <v>23.4832257689889</v>
      </c>
      <c r="E1256" s="23"/>
      <c r="F1256" s="23"/>
      <c r="G1256" s="23"/>
      <c r="H1256" s="23"/>
      <c r="I1256" s="23"/>
      <c r="J1256" s="23"/>
      <c r="K1256" s="23"/>
      <c r="L1256" s="49"/>
    </row>
    <row r="1257" customFormat="false" ht="15" hidden="true" customHeight="false" outlineLevel="1" collapsed="false">
      <c r="A1257" s="20" t="n">
        <v>118</v>
      </c>
      <c r="B1257" s="6" t="s">
        <v>697</v>
      </c>
      <c r="C1257" s="20" t="s">
        <v>76</v>
      </c>
      <c r="D1257" s="54" t="n">
        <f aca="false">J1193</f>
        <v>11</v>
      </c>
      <c r="E1257" s="23"/>
      <c r="F1257" s="23"/>
      <c r="G1257" s="23"/>
      <c r="H1257" s="23"/>
      <c r="I1257" s="23"/>
      <c r="J1257" s="23"/>
      <c r="K1257" s="23"/>
      <c r="L1257" s="49"/>
    </row>
    <row r="1258" customFormat="false" ht="15" hidden="true" customHeight="false" outlineLevel="1" collapsed="false">
      <c r="A1258" s="20" t="n">
        <v>119</v>
      </c>
      <c r="B1258" s="6" t="s">
        <v>698</v>
      </c>
      <c r="C1258" s="20" t="s">
        <v>53</v>
      </c>
      <c r="D1258" s="51" t="n">
        <f aca="false">J1204</f>
        <v>8</v>
      </c>
      <c r="E1258" s="23"/>
      <c r="F1258" s="23"/>
      <c r="G1258" s="23"/>
      <c r="H1258" s="23"/>
      <c r="I1258" s="23"/>
      <c r="J1258" s="23"/>
      <c r="K1258" s="23"/>
      <c r="L1258" s="49"/>
    </row>
    <row r="1259" customFormat="false" ht="15" hidden="true" customHeight="false" outlineLevel="1" collapsed="false">
      <c r="A1259" s="20" t="n">
        <v>120</v>
      </c>
      <c r="B1259" s="6" t="s">
        <v>699</v>
      </c>
      <c r="C1259" s="20" t="s">
        <v>71</v>
      </c>
      <c r="D1259" s="51" t="n">
        <f aca="false">MIN(0,MIN(F1244:J1244))</f>
        <v>-23.8294842271141</v>
      </c>
      <c r="E1259" s="23"/>
      <c r="F1259" s="23"/>
      <c r="G1259" s="23"/>
      <c r="H1259" s="23"/>
      <c r="I1259" s="23"/>
      <c r="J1259" s="23"/>
      <c r="K1259" s="23"/>
      <c r="L1259" s="49"/>
    </row>
    <row r="1260" customFormat="false" ht="15" hidden="true" customHeight="false" outlineLevel="1" collapsed="false">
      <c r="A1260" s="20" t="n">
        <v>121</v>
      </c>
      <c r="B1260" s="6" t="s">
        <v>700</v>
      </c>
      <c r="C1260" s="20" t="s">
        <v>71</v>
      </c>
      <c r="D1260" s="51" t="n">
        <f aca="false">-$D$1259*(1+$D$1165)</f>
        <v>28.5953810725369</v>
      </c>
      <c r="E1260" s="23"/>
      <c r="F1260" s="23"/>
      <c r="G1260" s="23"/>
      <c r="H1260" s="23"/>
      <c r="I1260" s="23"/>
      <c r="J1260" s="23"/>
      <c r="K1260" s="23"/>
      <c r="L1260" s="49"/>
    </row>
    <row r="1261" customFormat="false" ht="15" hidden="true" customHeight="false" outlineLevel="1" collapsed="false">
      <c r="A1261" s="20" t="n">
        <v>122</v>
      </c>
      <c r="B1261" s="6" t="s">
        <v>701</v>
      </c>
      <c r="C1261" s="20" t="s">
        <v>71</v>
      </c>
      <c r="D1261" s="51" t="n">
        <f aca="false">J1244</f>
        <v>-4.58557588688718</v>
      </c>
      <c r="E1261" s="23"/>
      <c r="F1261" s="23"/>
      <c r="G1261" s="23"/>
      <c r="H1261" s="23"/>
      <c r="I1261" s="23"/>
      <c r="J1261" s="23"/>
      <c r="K1261" s="23"/>
      <c r="L1261" s="49"/>
    </row>
    <row r="1262" customFormat="false" ht="15" hidden="true" customHeight="false" outlineLevel="1" collapsed="false">
      <c r="A1262" s="20" t="n">
        <v>123</v>
      </c>
      <c r="B1262" s="6" t="s">
        <v>702</v>
      </c>
      <c r="C1262" s="20" t="s">
        <v>71</v>
      </c>
      <c r="D1262" s="51" t="n">
        <f aca="false">SUM(F1246:J1246)</f>
        <v>-11.2899727673457</v>
      </c>
      <c r="E1262" s="23"/>
      <c r="F1262" s="23"/>
      <c r="G1262" s="23"/>
      <c r="H1262" s="23"/>
      <c r="I1262" s="23"/>
      <c r="J1262" s="23"/>
      <c r="K1262" s="23"/>
      <c r="L1262" s="49"/>
    </row>
    <row r="1263" customFormat="false" ht="15" hidden="true" customHeight="false" outlineLevel="1" collapsed="false">
      <c r="A1263" s="20" t="n">
        <v>124</v>
      </c>
      <c r="B1263" s="6" t="s">
        <v>82</v>
      </c>
      <c r="C1263" s="20" t="s">
        <v>71</v>
      </c>
      <c r="D1263" s="51" t="n">
        <f aca="false">SUM(F1246:J1246)+SUM(F1248:J1248)</f>
        <v>6.23346847182858</v>
      </c>
      <c r="E1263" s="23"/>
      <c r="F1263" s="23"/>
      <c r="G1263" s="23"/>
      <c r="H1263" s="23"/>
      <c r="I1263" s="23"/>
      <c r="J1263" s="23"/>
      <c r="K1263" s="23"/>
      <c r="L1263" s="49"/>
    </row>
    <row r="1264" customFormat="false" ht="15" hidden="true" customHeight="false" outlineLevel="1" collapsed="false">
      <c r="A1264" s="20" t="n">
        <v>125</v>
      </c>
      <c r="B1264" s="6" t="s">
        <v>83</v>
      </c>
      <c r="C1264" s="20" t="s">
        <v>68</v>
      </c>
      <c r="D1264" s="55" t="n">
        <f aca="false">IFERROR(IRR(F1249:J1249),"н/д")</f>
        <v>0.418237294144313</v>
      </c>
      <c r="E1264" s="23"/>
      <c r="F1264" s="23"/>
      <c r="G1264" s="23"/>
      <c r="H1264" s="23"/>
      <c r="I1264" s="23"/>
      <c r="J1264" s="23"/>
      <c r="K1264" s="23"/>
      <c r="L1264" s="49"/>
    </row>
    <row r="1265" customFormat="false" ht="15" hidden="true" customHeight="false" outlineLevel="1" collapsed="false">
      <c r="A1265" s="20" t="n">
        <v>126</v>
      </c>
      <c r="B1265" s="6" t="s">
        <v>13</v>
      </c>
      <c r="C1265" s="20" t="s">
        <v>79</v>
      </c>
      <c r="D1265" s="56" t="n">
        <f aca="false">IF(COUNT(F1250:J1250)=0,"после 2031",MIN(F1250:J1250))</f>
        <v>2029</v>
      </c>
      <c r="E1265" s="23"/>
      <c r="F1265" s="23"/>
      <c r="G1265" s="23"/>
      <c r="H1265" s="23"/>
      <c r="I1265" s="23"/>
      <c r="J1265" s="23"/>
      <c r="K1265" s="23"/>
      <c r="L1265" s="49"/>
    </row>
    <row r="1266" customFormat="false" ht="15" hidden="true" customHeight="false" outlineLevel="1" collapsed="false">
      <c r="A1266" s="20" t="n">
        <v>127</v>
      </c>
      <c r="B1266" s="6" t="s">
        <v>703</v>
      </c>
      <c r="C1266" s="20" t="s">
        <v>79</v>
      </c>
      <c r="D1266" s="56" t="str">
        <f aca="false">IF(COUNT(F1251:J1251)=0,"после 2031",MIN(F1251:J1251))</f>
        <v>после 2031</v>
      </c>
      <c r="E1266" s="23"/>
      <c r="F1266" s="23"/>
      <c r="G1266" s="23"/>
      <c r="H1266" s="23"/>
      <c r="I1266" s="23"/>
      <c r="J1266" s="23"/>
      <c r="K1266" s="23"/>
      <c r="L1266" s="49"/>
    </row>
    <row r="1269" customFormat="false" ht="15" hidden="true" customHeight="false" outlineLevel="1" collapsed="false">
      <c r="A1269" s="57" t="s">
        <v>732</v>
      </c>
    </row>
    <row r="1270" customFormat="false" ht="30" hidden="true" customHeight="true" outlineLevel="1" collapsed="false">
      <c r="A1270" s="4" t="s">
        <v>49</v>
      </c>
      <c r="B1270" s="4" t="s">
        <v>3</v>
      </c>
      <c r="C1270" s="5" t="s">
        <v>50</v>
      </c>
      <c r="D1270" s="5" t="s">
        <v>551</v>
      </c>
      <c r="E1270" s="5" t="s">
        <v>356</v>
      </c>
      <c r="F1270" s="5" t="s">
        <v>86</v>
      </c>
      <c r="G1270" s="5" t="s">
        <v>87</v>
      </c>
      <c r="H1270" s="5" t="s">
        <v>88</v>
      </c>
      <c r="I1270" s="5" t="s">
        <v>89</v>
      </c>
      <c r="J1270" s="5" t="s">
        <v>90</v>
      </c>
      <c r="K1270" s="5" t="s">
        <v>552</v>
      </c>
      <c r="L1270" s="5" t="s">
        <v>393</v>
      </c>
    </row>
    <row r="1271" customFormat="false" ht="15" hidden="true" customHeight="false" outlineLevel="1" collapsed="false">
      <c r="A1271" s="19" t="s">
        <v>553</v>
      </c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</row>
    <row r="1272" customFormat="false" ht="15" hidden="true" customHeight="false" outlineLevel="1" collapsed="false">
      <c r="A1272" s="20" t="n">
        <v>1</v>
      </c>
      <c r="B1272" s="6" t="s">
        <v>554</v>
      </c>
      <c r="C1272" s="20" t="s">
        <v>79</v>
      </c>
      <c r="D1272" s="10" t="n">
        <f aca="false">Допущения!$E$49</f>
        <v>2027</v>
      </c>
      <c r="E1272" s="23"/>
      <c r="F1272" s="23"/>
      <c r="G1272" s="23"/>
      <c r="H1272" s="23"/>
      <c r="I1272" s="23"/>
      <c r="J1272" s="23"/>
      <c r="K1272" s="23"/>
      <c r="L1272" s="49"/>
    </row>
    <row r="1273" customFormat="false" ht="15" hidden="true" customHeight="false" outlineLevel="1" collapsed="false">
      <c r="A1273" s="20" t="n">
        <v>2</v>
      </c>
      <c r="B1273" s="6" t="s">
        <v>555</v>
      </c>
      <c r="C1273" s="20" t="s">
        <v>105</v>
      </c>
      <c r="D1273" s="45" t="n">
        <f aca="false">Допущения!$E$7</f>
        <v>1.8</v>
      </c>
      <c r="E1273" s="23"/>
      <c r="F1273" s="23"/>
      <c r="G1273" s="23"/>
      <c r="H1273" s="23"/>
      <c r="I1273" s="23"/>
      <c r="J1273" s="23"/>
      <c r="K1273" s="23"/>
      <c r="L1273" s="49"/>
    </row>
    <row r="1274" customFormat="false" ht="15" hidden="true" customHeight="false" outlineLevel="1" collapsed="false">
      <c r="A1274" s="20" t="n">
        <v>3</v>
      </c>
      <c r="B1274" s="6" t="s">
        <v>556</v>
      </c>
      <c r="C1274" s="20" t="s">
        <v>55</v>
      </c>
      <c r="D1274" s="9" t="n">
        <f aca="false">Допущения!$E$42</f>
        <v>6</v>
      </c>
      <c r="E1274" s="23"/>
      <c r="F1274" s="23"/>
      <c r="G1274" s="23"/>
      <c r="H1274" s="23"/>
      <c r="I1274" s="23"/>
      <c r="J1274" s="23"/>
      <c r="K1274" s="23"/>
      <c r="L1274" s="49"/>
    </row>
    <row r="1275" customFormat="false" ht="15" hidden="true" customHeight="false" outlineLevel="1" collapsed="false">
      <c r="A1275" s="20" t="n">
        <v>4</v>
      </c>
      <c r="B1275" s="6" t="s">
        <v>557</v>
      </c>
      <c r="C1275" s="20" t="s">
        <v>244</v>
      </c>
      <c r="D1275" s="9" t="n">
        <f aca="false">Допущения!$E$43</f>
        <v>5</v>
      </c>
      <c r="E1275" s="23"/>
      <c r="F1275" s="23"/>
      <c r="G1275" s="23"/>
      <c r="H1275" s="23"/>
      <c r="I1275" s="23"/>
      <c r="J1275" s="23"/>
      <c r="K1275" s="23"/>
      <c r="L1275" s="49"/>
    </row>
    <row r="1276" customFormat="false" ht="15" hidden="true" customHeight="false" outlineLevel="1" collapsed="false">
      <c r="A1276" s="20" t="n">
        <v>5</v>
      </c>
      <c r="B1276" s="6" t="s">
        <v>558</v>
      </c>
      <c r="C1276" s="20" t="s">
        <v>55</v>
      </c>
      <c r="D1276" s="9" t="n">
        <f aca="false">Допущения!$E$44</f>
        <v>1.5</v>
      </c>
      <c r="E1276" s="23"/>
      <c r="F1276" s="23"/>
      <c r="G1276" s="23"/>
      <c r="H1276" s="23"/>
      <c r="I1276" s="23"/>
      <c r="J1276" s="23"/>
      <c r="K1276" s="23"/>
      <c r="L1276" s="49"/>
    </row>
    <row r="1277" customFormat="false" ht="15" hidden="true" customHeight="false" outlineLevel="1" collapsed="false">
      <c r="A1277" s="20" t="n">
        <v>6</v>
      </c>
      <c r="B1277" s="6" t="s">
        <v>559</v>
      </c>
      <c r="C1277" s="20" t="s">
        <v>71</v>
      </c>
      <c r="D1277" s="9" t="n">
        <f aca="false">Допущения!$E$45</f>
        <v>8</v>
      </c>
      <c r="E1277" s="23"/>
      <c r="F1277" s="23"/>
      <c r="G1277" s="23"/>
      <c r="H1277" s="23"/>
      <c r="I1277" s="23"/>
      <c r="J1277" s="23"/>
      <c r="K1277" s="23"/>
      <c r="L1277" s="49"/>
    </row>
    <row r="1278" customFormat="false" ht="15" hidden="true" customHeight="false" outlineLevel="1" collapsed="false">
      <c r="A1278" s="20" t="n">
        <v>7</v>
      </c>
      <c r="B1278" s="6" t="s">
        <v>560</v>
      </c>
      <c r="C1278" s="20" t="s">
        <v>71</v>
      </c>
      <c r="D1278" s="9" t="n">
        <f aca="false">Допущения!$E$46</f>
        <v>2</v>
      </c>
      <c r="E1278" s="23"/>
      <c r="F1278" s="23"/>
      <c r="G1278" s="23"/>
      <c r="H1278" s="23"/>
      <c r="I1278" s="23"/>
      <c r="J1278" s="23"/>
      <c r="K1278" s="23"/>
      <c r="L1278" s="49"/>
    </row>
    <row r="1279" customFormat="false" ht="15" hidden="true" customHeight="false" outlineLevel="1" collapsed="false">
      <c r="A1279" s="20" t="n">
        <v>8</v>
      </c>
      <c r="B1279" s="6" t="s">
        <v>260</v>
      </c>
      <c r="C1279" s="20" t="s">
        <v>261</v>
      </c>
      <c r="D1279" s="22" t="n">
        <f aca="false">Допущения!$E$47</f>
        <v>0.05</v>
      </c>
      <c r="E1279" s="23"/>
      <c r="F1279" s="23"/>
      <c r="G1279" s="23"/>
      <c r="H1279" s="23"/>
      <c r="I1279" s="23"/>
      <c r="J1279" s="23"/>
      <c r="K1279" s="23"/>
      <c r="L1279" s="49"/>
    </row>
    <row r="1280" customFormat="false" ht="15" hidden="true" customHeight="false" outlineLevel="1" collapsed="false">
      <c r="A1280" s="20" t="n">
        <v>9</v>
      </c>
      <c r="B1280" s="6" t="s">
        <v>561</v>
      </c>
      <c r="C1280" s="20" t="s">
        <v>261</v>
      </c>
      <c r="D1280" s="22" t="n">
        <f aca="false">Допущения!$E$48</f>
        <v>0.15</v>
      </c>
      <c r="E1280" s="23"/>
      <c r="F1280" s="23"/>
      <c r="G1280" s="23"/>
      <c r="H1280" s="23"/>
      <c r="I1280" s="23"/>
      <c r="J1280" s="23"/>
      <c r="K1280" s="23"/>
      <c r="L1280" s="49"/>
    </row>
    <row r="1281" customFormat="false" ht="15" hidden="true" customHeight="false" outlineLevel="1" collapsed="false">
      <c r="A1281" s="20" t="n">
        <v>10</v>
      </c>
      <c r="B1281" s="6" t="s">
        <v>274</v>
      </c>
      <c r="C1281" s="20" t="s">
        <v>261</v>
      </c>
      <c r="D1281" s="22" t="n">
        <f aca="false">Допущения!$E$51</f>
        <v>0.07</v>
      </c>
      <c r="E1281" s="23"/>
      <c r="F1281" s="23"/>
      <c r="G1281" s="23"/>
      <c r="H1281" s="23"/>
      <c r="I1281" s="23"/>
      <c r="J1281" s="23"/>
      <c r="K1281" s="23"/>
      <c r="L1281" s="49"/>
    </row>
    <row r="1282" customFormat="false" ht="15" hidden="true" customHeight="false" outlineLevel="1" collapsed="false">
      <c r="A1282" s="20" t="n">
        <v>11</v>
      </c>
      <c r="B1282" s="6" t="s">
        <v>562</v>
      </c>
      <c r="C1282" s="20" t="s">
        <v>68</v>
      </c>
      <c r="D1282" s="22" t="n">
        <f aca="false">Допущения!$E$52</f>
        <v>0.15</v>
      </c>
      <c r="E1282" s="23"/>
      <c r="F1282" s="23"/>
      <c r="G1282" s="23"/>
      <c r="H1282" s="23"/>
      <c r="I1282" s="23"/>
      <c r="J1282" s="23"/>
      <c r="K1282" s="23"/>
      <c r="L1282" s="49"/>
    </row>
    <row r="1283" customFormat="false" ht="15" hidden="true" customHeight="false" outlineLevel="1" collapsed="false">
      <c r="A1283" s="20" t="n">
        <v>12</v>
      </c>
      <c r="B1283" s="6" t="s">
        <v>563</v>
      </c>
      <c r="C1283" s="20" t="s">
        <v>68</v>
      </c>
      <c r="D1283" s="22" t="n">
        <f aca="false">Допущения!$E$53</f>
        <v>0.076</v>
      </c>
      <c r="E1283" s="23"/>
      <c r="F1283" s="23"/>
      <c r="G1283" s="23"/>
      <c r="H1283" s="23"/>
      <c r="I1283" s="23"/>
      <c r="J1283" s="23"/>
      <c r="K1283" s="23"/>
      <c r="L1283" s="49"/>
    </row>
    <row r="1284" customFormat="false" ht="15" hidden="true" customHeight="false" outlineLevel="1" collapsed="false">
      <c r="A1284" s="20" t="n">
        <v>13</v>
      </c>
      <c r="B1284" s="6" t="s">
        <v>284</v>
      </c>
      <c r="C1284" s="20" t="s">
        <v>68</v>
      </c>
      <c r="D1284" s="22" t="n">
        <f aca="false">Допущения!$E$54</f>
        <v>0.002</v>
      </c>
      <c r="E1284" s="23"/>
      <c r="F1284" s="23"/>
      <c r="G1284" s="23"/>
      <c r="H1284" s="23"/>
      <c r="I1284" s="23"/>
      <c r="J1284" s="23"/>
      <c r="K1284" s="23"/>
      <c r="L1284" s="49"/>
    </row>
    <row r="1285" customFormat="false" ht="15" hidden="true" customHeight="false" outlineLevel="1" collapsed="false">
      <c r="A1285" s="20" t="n">
        <v>14</v>
      </c>
      <c r="B1285" s="6" t="s">
        <v>564</v>
      </c>
      <c r="C1285" s="20" t="s">
        <v>55</v>
      </c>
      <c r="D1285" s="50" t="n">
        <f aca="false">Допущения!$E$55</f>
        <v>2.979</v>
      </c>
      <c r="E1285" s="23"/>
      <c r="F1285" s="23"/>
      <c r="G1285" s="23"/>
      <c r="H1285" s="23"/>
      <c r="I1285" s="23"/>
      <c r="J1285" s="23"/>
      <c r="K1285" s="23"/>
      <c r="L1285" s="49"/>
    </row>
    <row r="1286" customFormat="false" ht="15" hidden="true" customHeight="false" outlineLevel="1" collapsed="false">
      <c r="A1286" s="20" t="n">
        <v>15</v>
      </c>
      <c r="B1286" s="6" t="s">
        <v>565</v>
      </c>
      <c r="C1286" s="20" t="s">
        <v>261</v>
      </c>
      <c r="D1286" s="22" t="n">
        <f aca="false">Допущения!$E$56</f>
        <v>0.08</v>
      </c>
      <c r="E1286" s="23"/>
      <c r="F1286" s="23"/>
      <c r="G1286" s="23"/>
      <c r="H1286" s="23"/>
      <c r="I1286" s="23"/>
      <c r="J1286" s="23"/>
      <c r="K1286" s="23"/>
      <c r="L1286" s="49"/>
    </row>
    <row r="1287" customFormat="false" ht="15" hidden="true" customHeight="false" outlineLevel="1" collapsed="false">
      <c r="A1287" s="20" t="n">
        <v>16</v>
      </c>
      <c r="B1287" s="6" t="s">
        <v>566</v>
      </c>
      <c r="C1287" s="20" t="s">
        <v>71</v>
      </c>
      <c r="D1287" s="9" t="n">
        <f aca="false">Допущения!$E$58</f>
        <v>2.5</v>
      </c>
      <c r="E1287" s="23"/>
      <c r="F1287" s="23"/>
      <c r="G1287" s="23"/>
      <c r="H1287" s="23"/>
      <c r="I1287" s="23"/>
      <c r="J1287" s="23"/>
      <c r="K1287" s="23"/>
      <c r="L1287" s="49"/>
    </row>
    <row r="1288" customFormat="false" ht="15" hidden="true" customHeight="false" outlineLevel="1" collapsed="false">
      <c r="A1288" s="20" t="n">
        <v>17</v>
      </c>
      <c r="B1288" s="6" t="s">
        <v>299</v>
      </c>
      <c r="C1288" s="20" t="s">
        <v>55</v>
      </c>
      <c r="D1288" s="9" t="n">
        <f aca="false">Допущения!$E$59</f>
        <v>1</v>
      </c>
      <c r="E1288" s="23"/>
      <c r="F1288" s="23"/>
      <c r="G1288" s="23"/>
      <c r="H1288" s="23"/>
      <c r="I1288" s="23"/>
      <c r="J1288" s="23"/>
      <c r="K1288" s="23"/>
      <c r="L1288" s="49"/>
    </row>
    <row r="1289" customFormat="false" ht="15" hidden="true" customHeight="false" outlineLevel="1" collapsed="false">
      <c r="A1289" s="20" t="n">
        <v>18</v>
      </c>
      <c r="B1289" s="6" t="s">
        <v>302</v>
      </c>
      <c r="C1289" s="20" t="s">
        <v>55</v>
      </c>
      <c r="D1289" s="9" t="n">
        <f aca="false">Допущения!$E$60</f>
        <v>0.6</v>
      </c>
      <c r="E1289" s="23"/>
      <c r="F1289" s="23"/>
      <c r="G1289" s="23"/>
      <c r="H1289" s="23"/>
      <c r="I1289" s="23"/>
      <c r="J1289" s="23"/>
      <c r="K1289" s="23"/>
      <c r="L1289" s="49"/>
    </row>
    <row r="1290" customFormat="false" ht="15" hidden="true" customHeight="false" outlineLevel="1" collapsed="false">
      <c r="A1290" s="20" t="n">
        <v>19</v>
      </c>
      <c r="B1290" s="6" t="s">
        <v>567</v>
      </c>
      <c r="C1290" s="20" t="s">
        <v>55</v>
      </c>
      <c r="D1290" s="45" t="n">
        <f aca="false">Допущения!$E$61</f>
        <v>0.15</v>
      </c>
      <c r="E1290" s="23"/>
      <c r="F1290" s="23"/>
      <c r="G1290" s="23"/>
      <c r="H1290" s="23"/>
      <c r="I1290" s="23"/>
      <c r="J1290" s="23"/>
      <c r="K1290" s="23"/>
      <c r="L1290" s="49"/>
    </row>
    <row r="1291" customFormat="false" ht="15" hidden="true" customHeight="false" outlineLevel="1" collapsed="false">
      <c r="A1291" s="20" t="n">
        <v>20</v>
      </c>
      <c r="B1291" s="6" t="s">
        <v>568</v>
      </c>
      <c r="C1291" s="20" t="s">
        <v>55</v>
      </c>
      <c r="D1291" s="9" t="n">
        <f aca="false">Допущения!$E$62</f>
        <v>1</v>
      </c>
      <c r="E1291" s="23"/>
      <c r="F1291" s="23"/>
      <c r="G1291" s="23"/>
      <c r="H1291" s="23"/>
      <c r="I1291" s="23"/>
      <c r="J1291" s="23"/>
      <c r="K1291" s="23"/>
      <c r="L1291" s="49"/>
    </row>
    <row r="1292" customFormat="false" ht="15" hidden="true" customHeight="false" outlineLevel="1" collapsed="false">
      <c r="A1292" s="20" t="n">
        <v>21</v>
      </c>
      <c r="B1292" s="6" t="s">
        <v>569</v>
      </c>
      <c r="C1292" s="20" t="s">
        <v>71</v>
      </c>
      <c r="D1292" s="9" t="n">
        <f aca="false">Допущения!$E$63</f>
        <v>0.4</v>
      </c>
      <c r="E1292" s="23"/>
      <c r="F1292" s="23"/>
      <c r="G1292" s="23"/>
      <c r="H1292" s="23"/>
      <c r="I1292" s="23"/>
      <c r="J1292" s="23"/>
      <c r="K1292" s="23"/>
      <c r="L1292" s="49"/>
    </row>
    <row r="1293" customFormat="false" ht="15" hidden="true" customHeight="false" outlineLevel="1" collapsed="false">
      <c r="A1293" s="20" t="n">
        <v>22</v>
      </c>
      <c r="B1293" s="6" t="s">
        <v>314</v>
      </c>
      <c r="C1293" s="20" t="s">
        <v>55</v>
      </c>
      <c r="D1293" s="9" t="n">
        <f aca="false">Допущения!$E$64</f>
        <v>1.2</v>
      </c>
      <c r="E1293" s="23"/>
      <c r="F1293" s="23"/>
      <c r="G1293" s="23"/>
      <c r="H1293" s="23"/>
      <c r="I1293" s="23"/>
      <c r="J1293" s="23"/>
      <c r="K1293" s="23"/>
      <c r="L1293" s="49"/>
    </row>
    <row r="1294" customFormat="false" ht="15" hidden="true" customHeight="false" outlineLevel="1" collapsed="false">
      <c r="A1294" s="20" t="n">
        <v>23</v>
      </c>
      <c r="B1294" s="6" t="s">
        <v>317</v>
      </c>
      <c r="C1294" s="20" t="s">
        <v>55</v>
      </c>
      <c r="D1294" s="45" t="n">
        <f aca="false">Допущения!$E$65</f>
        <v>0.1</v>
      </c>
      <c r="E1294" s="23"/>
      <c r="F1294" s="23"/>
      <c r="G1294" s="23"/>
      <c r="H1294" s="23"/>
      <c r="I1294" s="23"/>
      <c r="J1294" s="23"/>
      <c r="K1294" s="23"/>
      <c r="L1294" s="49"/>
    </row>
    <row r="1295" customFormat="false" ht="15" hidden="true" customHeight="false" outlineLevel="1" collapsed="false">
      <c r="A1295" s="20" t="n">
        <v>24</v>
      </c>
      <c r="B1295" s="6" t="s">
        <v>320</v>
      </c>
      <c r="C1295" s="20" t="s">
        <v>71</v>
      </c>
      <c r="D1295" s="45" t="n">
        <f aca="false">Допущения!$E$66</f>
        <v>0.25</v>
      </c>
      <c r="E1295" s="23"/>
      <c r="F1295" s="23"/>
      <c r="G1295" s="23"/>
      <c r="H1295" s="23"/>
      <c r="I1295" s="23"/>
      <c r="J1295" s="23"/>
      <c r="K1295" s="23"/>
      <c r="L1295" s="49"/>
    </row>
    <row r="1296" customFormat="false" ht="15" hidden="true" customHeight="false" outlineLevel="1" collapsed="false">
      <c r="A1296" s="20" t="n">
        <v>25</v>
      </c>
      <c r="B1296" s="6" t="s">
        <v>570</v>
      </c>
      <c r="C1296" s="20" t="s">
        <v>71</v>
      </c>
      <c r="D1296" s="9" t="n">
        <f aca="false">Допущения!$E$67</f>
        <v>0.3</v>
      </c>
      <c r="E1296" s="23"/>
      <c r="F1296" s="23"/>
      <c r="G1296" s="23"/>
      <c r="H1296" s="23"/>
      <c r="I1296" s="23"/>
      <c r="J1296" s="23"/>
      <c r="K1296" s="23"/>
      <c r="L1296" s="49"/>
    </row>
    <row r="1297" customFormat="false" ht="15" hidden="true" customHeight="false" outlineLevel="1" collapsed="false">
      <c r="A1297" s="20" t="n">
        <v>26</v>
      </c>
      <c r="B1297" s="6" t="s">
        <v>326</v>
      </c>
      <c r="C1297" s="20" t="s">
        <v>261</v>
      </c>
      <c r="D1297" s="22" t="n">
        <f aca="false">Допущения!$E$68</f>
        <v>0.05</v>
      </c>
      <c r="E1297" s="23"/>
      <c r="F1297" s="23"/>
      <c r="G1297" s="23"/>
      <c r="H1297" s="23"/>
      <c r="I1297" s="23"/>
      <c r="J1297" s="23"/>
      <c r="K1297" s="23"/>
      <c r="L1297" s="49"/>
    </row>
    <row r="1298" customFormat="false" ht="15" hidden="true" customHeight="false" outlineLevel="1" collapsed="false">
      <c r="A1298" s="20" t="n">
        <v>27</v>
      </c>
      <c r="B1298" s="6" t="s">
        <v>571</v>
      </c>
      <c r="C1298" s="20" t="s">
        <v>330</v>
      </c>
      <c r="D1298" s="22" t="n">
        <f aca="false">Допущения!$E$69</f>
        <v>0.1</v>
      </c>
      <c r="E1298" s="23"/>
      <c r="F1298" s="23"/>
      <c r="G1298" s="23"/>
      <c r="H1298" s="23"/>
      <c r="I1298" s="23"/>
      <c r="J1298" s="23"/>
      <c r="K1298" s="23"/>
      <c r="L1298" s="49"/>
    </row>
    <row r="1299" customFormat="false" ht="15" hidden="true" customHeight="false" outlineLevel="1" collapsed="false">
      <c r="A1299" s="20" t="n">
        <v>28</v>
      </c>
      <c r="B1299" s="6" t="s">
        <v>572</v>
      </c>
      <c r="C1299" s="20" t="s">
        <v>68</v>
      </c>
      <c r="D1299" s="22" t="n">
        <f aca="false">Допущения!$E$71</f>
        <v>0.05</v>
      </c>
      <c r="E1299" s="23"/>
      <c r="F1299" s="23"/>
      <c r="G1299" s="23"/>
      <c r="H1299" s="23"/>
      <c r="I1299" s="23"/>
      <c r="J1299" s="23"/>
      <c r="K1299" s="23"/>
      <c r="L1299" s="49"/>
    </row>
    <row r="1300" customFormat="false" ht="15" hidden="true" customHeight="false" outlineLevel="1" collapsed="false">
      <c r="A1300" s="20" t="n">
        <v>29</v>
      </c>
      <c r="B1300" s="6" t="s">
        <v>573</v>
      </c>
      <c r="C1300" s="20" t="s">
        <v>68</v>
      </c>
      <c r="D1300" s="22" t="n">
        <f aca="false">Допущения!$E$72</f>
        <v>0.5</v>
      </c>
      <c r="E1300" s="23"/>
      <c r="F1300" s="23"/>
      <c r="G1300" s="23"/>
      <c r="H1300" s="23"/>
      <c r="I1300" s="23"/>
      <c r="J1300" s="23"/>
      <c r="K1300" s="23"/>
      <c r="L1300" s="49"/>
    </row>
    <row r="1301" customFormat="false" ht="15" hidden="true" customHeight="false" outlineLevel="1" collapsed="false">
      <c r="A1301" s="20" t="n">
        <v>30</v>
      </c>
      <c r="B1301" s="6" t="s">
        <v>574</v>
      </c>
      <c r="C1301" s="20" t="s">
        <v>575</v>
      </c>
      <c r="D1301" s="7" t="n">
        <f aca="false">Допущения!$E$73</f>
        <v>90</v>
      </c>
      <c r="E1301" s="23"/>
      <c r="F1301" s="23"/>
      <c r="G1301" s="23"/>
      <c r="H1301" s="23"/>
      <c r="I1301" s="23"/>
      <c r="J1301" s="23"/>
      <c r="K1301" s="23"/>
      <c r="L1301" s="49"/>
    </row>
    <row r="1302" customFormat="false" ht="15" hidden="true" customHeight="false" outlineLevel="1" collapsed="false">
      <c r="A1302" s="20" t="n">
        <v>31</v>
      </c>
      <c r="B1302" s="6" t="s">
        <v>345</v>
      </c>
      <c r="C1302" s="20" t="s">
        <v>68</v>
      </c>
      <c r="D1302" s="22" t="n">
        <f aca="false">Допущения!$E$74</f>
        <v>0.3</v>
      </c>
      <c r="E1302" s="23"/>
      <c r="F1302" s="23"/>
      <c r="G1302" s="23"/>
      <c r="H1302" s="23"/>
      <c r="I1302" s="23"/>
      <c r="J1302" s="23"/>
      <c r="K1302" s="23"/>
      <c r="L1302" s="49"/>
    </row>
    <row r="1303" customFormat="false" ht="15" hidden="true" customHeight="false" outlineLevel="1" collapsed="false">
      <c r="A1303" s="20" t="n">
        <v>32</v>
      </c>
      <c r="B1303" s="6" t="s">
        <v>576</v>
      </c>
      <c r="C1303" s="20" t="s">
        <v>261</v>
      </c>
      <c r="D1303" s="22" t="n">
        <f aca="false">Допущения!$E$75</f>
        <v>0.04</v>
      </c>
      <c r="E1303" s="23"/>
      <c r="F1303" s="23"/>
      <c r="G1303" s="23"/>
      <c r="H1303" s="23"/>
      <c r="I1303" s="23"/>
      <c r="J1303" s="23"/>
      <c r="K1303" s="23"/>
      <c r="L1303" s="49"/>
    </row>
    <row r="1304" customFormat="false" ht="15" hidden="true" customHeight="false" outlineLevel="1" collapsed="false">
      <c r="A1304" s="20" t="n">
        <v>33</v>
      </c>
      <c r="B1304" s="6" t="s">
        <v>577</v>
      </c>
      <c r="C1304" s="20" t="s">
        <v>68</v>
      </c>
      <c r="D1304" s="22" t="n">
        <f aca="false">Допущения!$E$76</f>
        <v>0.2</v>
      </c>
      <c r="E1304" s="23"/>
      <c r="F1304" s="23"/>
      <c r="G1304" s="23"/>
      <c r="H1304" s="23"/>
      <c r="I1304" s="23"/>
      <c r="J1304" s="23"/>
      <c r="K1304" s="23"/>
      <c r="L1304" s="49"/>
    </row>
    <row r="1305" customFormat="false" ht="15" hidden="true" customHeight="false" outlineLevel="1" collapsed="false">
      <c r="A1305" s="20" t="n">
        <v>34</v>
      </c>
      <c r="B1305" s="6" t="s">
        <v>578</v>
      </c>
      <c r="C1305" s="20" t="s">
        <v>105</v>
      </c>
      <c r="D1305" s="50" t="n">
        <f aca="false">Рынок!$E$30</f>
        <v>0.490909090909091</v>
      </c>
      <c r="E1305" s="23"/>
      <c r="F1305" s="23"/>
      <c r="G1305" s="23"/>
      <c r="H1305" s="23"/>
      <c r="I1305" s="23"/>
      <c r="J1305" s="23"/>
      <c r="K1305" s="23"/>
      <c r="L1305" s="49" t="s">
        <v>579</v>
      </c>
    </row>
    <row r="1306" customFormat="false" ht="15" hidden="true" customHeight="false" outlineLevel="1" collapsed="false">
      <c r="A1306" s="20" t="n">
        <v>35</v>
      </c>
      <c r="B1306" s="6" t="s">
        <v>580</v>
      </c>
      <c r="C1306" s="20" t="s">
        <v>105</v>
      </c>
      <c r="D1306" s="50" t="n">
        <f aca="false">Рынок!$E$31</f>
        <v>0.028125</v>
      </c>
      <c r="E1306" s="23"/>
      <c r="F1306" s="23"/>
      <c r="G1306" s="23"/>
      <c r="H1306" s="23"/>
      <c r="I1306" s="23"/>
      <c r="J1306" s="23"/>
      <c r="K1306" s="23"/>
      <c r="L1306" s="49" t="s">
        <v>579</v>
      </c>
    </row>
    <row r="1307" customFormat="false" ht="15" hidden="true" customHeight="false" outlineLevel="1" collapsed="false">
      <c r="A1307" s="20" t="n">
        <v>36</v>
      </c>
      <c r="B1307" s="6" t="s">
        <v>581</v>
      </c>
      <c r="C1307" s="20" t="s">
        <v>142</v>
      </c>
      <c r="D1307" s="7" t="n">
        <f aca="false">План!$D$18*0.8</f>
        <v>160</v>
      </c>
      <c r="E1307" s="23"/>
      <c r="F1307" s="23"/>
      <c r="G1307" s="23"/>
      <c r="H1307" s="23"/>
      <c r="I1307" s="23"/>
      <c r="J1307" s="23"/>
      <c r="K1307" s="23"/>
      <c r="L1307" s="49" t="s">
        <v>582</v>
      </c>
    </row>
    <row r="1308" customFormat="false" ht="15" hidden="true" customHeight="false" outlineLevel="1" collapsed="false">
      <c r="A1308" s="20" t="n">
        <v>37</v>
      </c>
      <c r="B1308" s="6" t="s">
        <v>583</v>
      </c>
      <c r="C1308" s="20" t="s">
        <v>142</v>
      </c>
      <c r="D1308" s="7" t="n">
        <f aca="false">План!$D$19*0.8</f>
        <v>224</v>
      </c>
      <c r="E1308" s="23"/>
      <c r="F1308" s="23"/>
      <c r="G1308" s="23"/>
      <c r="H1308" s="23"/>
      <c r="I1308" s="23"/>
      <c r="J1308" s="23"/>
      <c r="K1308" s="23"/>
      <c r="L1308" s="49" t="s">
        <v>582</v>
      </c>
    </row>
    <row r="1309" customFormat="false" ht="15" hidden="true" customHeight="false" outlineLevel="1" collapsed="false">
      <c r="A1309" s="20" t="n">
        <v>38</v>
      </c>
      <c r="B1309" s="6" t="s">
        <v>584</v>
      </c>
      <c r="C1309" s="20" t="s">
        <v>142</v>
      </c>
      <c r="D1309" s="7" t="n">
        <f aca="false">План!$D$20*0.8</f>
        <v>184</v>
      </c>
      <c r="E1309" s="23"/>
      <c r="F1309" s="23"/>
      <c r="G1309" s="23"/>
      <c r="H1309" s="23"/>
      <c r="I1309" s="23"/>
      <c r="J1309" s="23"/>
      <c r="K1309" s="23"/>
      <c r="L1309" s="49" t="s">
        <v>582</v>
      </c>
    </row>
    <row r="1310" customFormat="false" ht="15" hidden="true" customHeight="false" outlineLevel="1" collapsed="false">
      <c r="A1310" s="20" t="n">
        <v>39</v>
      </c>
      <c r="B1310" s="6" t="s">
        <v>585</v>
      </c>
      <c r="C1310" s="20" t="s">
        <v>142</v>
      </c>
      <c r="D1310" s="7" t="n">
        <f aca="false">План!$D$21*0.8</f>
        <v>176</v>
      </c>
      <c r="E1310" s="23"/>
      <c r="F1310" s="23"/>
      <c r="G1310" s="23"/>
      <c r="H1310" s="23"/>
      <c r="I1310" s="23"/>
      <c r="J1310" s="23"/>
      <c r="K1310" s="23"/>
      <c r="L1310" s="49" t="s">
        <v>582</v>
      </c>
    </row>
    <row r="1311" customFormat="false" ht="15" hidden="true" customHeight="false" outlineLevel="1" collapsed="false">
      <c r="A1311" s="20" t="n">
        <v>40</v>
      </c>
      <c r="B1311" s="6" t="s">
        <v>586</v>
      </c>
      <c r="C1311" s="20" t="s">
        <v>142</v>
      </c>
      <c r="D1311" s="7" t="n">
        <f aca="false">План!$D$22*0.8</f>
        <v>200</v>
      </c>
      <c r="E1311" s="23"/>
      <c r="F1311" s="23"/>
      <c r="G1311" s="23"/>
      <c r="H1311" s="23"/>
      <c r="I1311" s="23"/>
      <c r="J1311" s="23"/>
      <c r="K1311" s="23"/>
      <c r="L1311" s="49" t="s">
        <v>582</v>
      </c>
    </row>
    <row r="1312" customFormat="false" ht="15" hidden="true" customHeight="false" outlineLevel="1" collapsed="false">
      <c r="A1312" s="20" t="n">
        <v>41</v>
      </c>
      <c r="B1312" s="6" t="s">
        <v>587</v>
      </c>
      <c r="C1312" s="20" t="s">
        <v>142</v>
      </c>
      <c r="D1312" s="7" t="n">
        <f aca="false">План!$D$23*0.8</f>
        <v>176</v>
      </c>
      <c r="E1312" s="23"/>
      <c r="F1312" s="23"/>
      <c r="G1312" s="23"/>
      <c r="H1312" s="23"/>
      <c r="I1312" s="23"/>
      <c r="J1312" s="23"/>
      <c r="K1312" s="23"/>
      <c r="L1312" s="49" t="s">
        <v>582</v>
      </c>
    </row>
    <row r="1313" customFormat="false" ht="15" hidden="true" customHeight="false" outlineLevel="1" collapsed="false">
      <c r="A1313" s="20" t="n">
        <v>42</v>
      </c>
      <c r="B1313" s="6" t="s">
        <v>359</v>
      </c>
      <c r="C1313" s="20" t="s">
        <v>76</v>
      </c>
      <c r="D1313" s="23"/>
      <c r="E1313" s="9" t="n">
        <f aca="false">План!E16</f>
        <v>0</v>
      </c>
      <c r="F1313" s="9" t="n">
        <f aca="false">План!F16</f>
        <v>0</v>
      </c>
      <c r="G1313" s="9" t="n">
        <f aca="false">План!G16</f>
        <v>0</v>
      </c>
      <c r="H1313" s="9" t="n">
        <f aca="false">План!H16</f>
        <v>1</v>
      </c>
      <c r="I1313" s="9" t="n">
        <f aca="false">План!I16</f>
        <v>0</v>
      </c>
      <c r="J1313" s="9" t="n">
        <f aca="false">План!J16</f>
        <v>1</v>
      </c>
      <c r="K1313" s="51" t="n">
        <f aca="false">SUM(F1313:J1313)</f>
        <v>2</v>
      </c>
      <c r="L1313" s="49" t="s">
        <v>582</v>
      </c>
    </row>
    <row r="1314" customFormat="false" ht="15" hidden="true" customHeight="false" outlineLevel="1" collapsed="false">
      <c r="A1314" s="20" t="n">
        <v>43</v>
      </c>
      <c r="B1314" s="6" t="s">
        <v>361</v>
      </c>
      <c r="C1314" s="20" t="s">
        <v>76</v>
      </c>
      <c r="D1314" s="23"/>
      <c r="E1314" s="9" t="n">
        <f aca="false">План!E17</f>
        <v>0</v>
      </c>
      <c r="F1314" s="9" t="n">
        <f aca="false">План!F17</f>
        <v>0</v>
      </c>
      <c r="G1314" s="9" t="n">
        <f aca="false">План!G17</f>
        <v>1</v>
      </c>
      <c r="H1314" s="9" t="n">
        <f aca="false">План!H17</f>
        <v>2</v>
      </c>
      <c r="I1314" s="9" t="n">
        <f aca="false">План!I17</f>
        <v>2</v>
      </c>
      <c r="J1314" s="9" t="n">
        <f aca="false">План!J17</f>
        <v>3</v>
      </c>
      <c r="K1314" s="51" t="n">
        <f aca="false">SUM(F1314:J1314)</f>
        <v>8</v>
      </c>
      <c r="L1314" s="49" t="s">
        <v>582</v>
      </c>
    </row>
    <row r="1315" customFormat="false" ht="15" hidden="true" customHeight="false" outlineLevel="1" collapsed="false">
      <c r="A1315" s="20" t="n">
        <v>44</v>
      </c>
      <c r="B1315" s="6" t="s">
        <v>588</v>
      </c>
      <c r="C1315" s="20" t="s">
        <v>53</v>
      </c>
      <c r="D1315" s="23"/>
      <c r="E1315" s="9" t="n">
        <f aca="false">План!E18</f>
        <v>2</v>
      </c>
      <c r="F1315" s="9" t="n">
        <f aca="false">План!F18</f>
        <v>2</v>
      </c>
      <c r="G1315" s="9" t="n">
        <f aca="false">План!G18</f>
        <v>2</v>
      </c>
      <c r="H1315" s="9" t="n">
        <f aca="false">План!H18</f>
        <v>2</v>
      </c>
      <c r="I1315" s="9" t="n">
        <f aca="false">План!I18</f>
        <v>2</v>
      </c>
      <c r="J1315" s="9" t="n">
        <f aca="false">План!J18</f>
        <v>2</v>
      </c>
      <c r="K1315" s="23"/>
      <c r="L1315" s="49" t="s">
        <v>582</v>
      </c>
    </row>
    <row r="1316" customFormat="false" ht="15" hidden="true" customHeight="false" outlineLevel="1" collapsed="false">
      <c r="A1316" s="20" t="n">
        <v>45</v>
      </c>
      <c r="B1316" s="6" t="s">
        <v>589</v>
      </c>
      <c r="C1316" s="20" t="s">
        <v>53</v>
      </c>
      <c r="D1316" s="23"/>
      <c r="E1316" s="9" t="n">
        <f aca="false">План!E19</f>
        <v>0</v>
      </c>
      <c r="F1316" s="9" t="n">
        <f aca="false">План!F19</f>
        <v>1</v>
      </c>
      <c r="G1316" s="9" t="n">
        <f aca="false">План!G19</f>
        <v>1</v>
      </c>
      <c r="H1316" s="9" t="n">
        <f aca="false">План!H19</f>
        <v>1</v>
      </c>
      <c r="I1316" s="9" t="n">
        <f aca="false">План!I19</f>
        <v>2</v>
      </c>
      <c r="J1316" s="9" t="n">
        <f aca="false">План!J19</f>
        <v>2</v>
      </c>
      <c r="K1316" s="23"/>
      <c r="L1316" s="49" t="s">
        <v>582</v>
      </c>
    </row>
    <row r="1317" customFormat="false" ht="15" hidden="true" customHeight="false" outlineLevel="1" collapsed="false">
      <c r="A1317" s="20" t="n">
        <v>46</v>
      </c>
      <c r="B1317" s="6" t="s">
        <v>590</v>
      </c>
      <c r="C1317" s="20" t="s">
        <v>53</v>
      </c>
      <c r="D1317" s="23"/>
      <c r="E1317" s="9" t="n">
        <f aca="false">План!E20</f>
        <v>0</v>
      </c>
      <c r="F1317" s="9" t="n">
        <f aca="false">План!F20</f>
        <v>1</v>
      </c>
      <c r="G1317" s="9" t="n">
        <f aca="false">План!G20</f>
        <v>1</v>
      </c>
      <c r="H1317" s="9" t="n">
        <f aca="false">План!H20</f>
        <v>1</v>
      </c>
      <c r="I1317" s="9" t="n">
        <f aca="false">План!I20</f>
        <v>1</v>
      </c>
      <c r="J1317" s="9" t="n">
        <f aca="false">План!J20</f>
        <v>1</v>
      </c>
      <c r="K1317" s="23"/>
      <c r="L1317" s="49" t="s">
        <v>582</v>
      </c>
    </row>
    <row r="1318" customFormat="false" ht="15" hidden="true" customHeight="false" outlineLevel="1" collapsed="false">
      <c r="A1318" s="20" t="n">
        <v>47</v>
      </c>
      <c r="B1318" s="6" t="s">
        <v>591</v>
      </c>
      <c r="C1318" s="20" t="s">
        <v>53</v>
      </c>
      <c r="D1318" s="23"/>
      <c r="E1318" s="9" t="n">
        <f aca="false">План!E21</f>
        <v>0</v>
      </c>
      <c r="F1318" s="9" t="n">
        <f aca="false">План!F21</f>
        <v>0</v>
      </c>
      <c r="G1318" s="9" t="n">
        <f aca="false">План!G21</f>
        <v>1</v>
      </c>
      <c r="H1318" s="9" t="n">
        <f aca="false">План!H21</f>
        <v>1</v>
      </c>
      <c r="I1318" s="9" t="n">
        <f aca="false">План!I21</f>
        <v>1</v>
      </c>
      <c r="J1318" s="9" t="n">
        <f aca="false">План!J21</f>
        <v>1</v>
      </c>
      <c r="K1318" s="23"/>
      <c r="L1318" s="49" t="s">
        <v>582</v>
      </c>
    </row>
    <row r="1319" customFormat="false" ht="15" hidden="true" customHeight="false" outlineLevel="1" collapsed="false">
      <c r="A1319" s="20" t="n">
        <v>48</v>
      </c>
      <c r="B1319" s="6" t="s">
        <v>592</v>
      </c>
      <c r="C1319" s="20" t="s">
        <v>53</v>
      </c>
      <c r="D1319" s="23"/>
      <c r="E1319" s="9" t="n">
        <f aca="false">План!E22</f>
        <v>0</v>
      </c>
      <c r="F1319" s="9" t="n">
        <f aca="false">План!F22</f>
        <v>0</v>
      </c>
      <c r="G1319" s="9" t="n">
        <f aca="false">План!G22</f>
        <v>0</v>
      </c>
      <c r="H1319" s="9" t="n">
        <f aca="false">План!H22</f>
        <v>1</v>
      </c>
      <c r="I1319" s="9" t="n">
        <f aca="false">План!I22</f>
        <v>1</v>
      </c>
      <c r="J1319" s="9" t="n">
        <f aca="false">План!J22</f>
        <v>1</v>
      </c>
      <c r="K1319" s="23"/>
      <c r="L1319" s="49" t="s">
        <v>582</v>
      </c>
    </row>
    <row r="1320" customFormat="false" ht="15" hidden="true" customHeight="false" outlineLevel="1" collapsed="false">
      <c r="A1320" s="20" t="n">
        <v>49</v>
      </c>
      <c r="B1320" s="6" t="s">
        <v>593</v>
      </c>
      <c r="C1320" s="20" t="s">
        <v>53</v>
      </c>
      <c r="D1320" s="23"/>
      <c r="E1320" s="9" t="n">
        <f aca="false">План!E23</f>
        <v>0</v>
      </c>
      <c r="F1320" s="9" t="n">
        <f aca="false">План!F23</f>
        <v>0</v>
      </c>
      <c r="G1320" s="9" t="n">
        <f aca="false">План!G23</f>
        <v>0</v>
      </c>
      <c r="H1320" s="9" t="n">
        <f aca="false">План!H23</f>
        <v>0</v>
      </c>
      <c r="I1320" s="9" t="n">
        <f aca="false">План!I23</f>
        <v>0</v>
      </c>
      <c r="J1320" s="9" t="n">
        <f aca="false">План!J23</f>
        <v>1</v>
      </c>
      <c r="K1320" s="23"/>
      <c r="L1320" s="49" t="s">
        <v>582</v>
      </c>
    </row>
    <row r="1321" customFormat="false" ht="15" hidden="true" customHeight="false" outlineLevel="1" collapsed="false">
      <c r="A1321" s="19" t="s">
        <v>594</v>
      </c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</row>
    <row r="1322" customFormat="false" ht="15" hidden="true" customHeight="false" outlineLevel="1" collapsed="false">
      <c r="A1322" s="20" t="n">
        <v>50</v>
      </c>
      <c r="B1322" s="6" t="s">
        <v>595</v>
      </c>
      <c r="C1322" s="20"/>
      <c r="D1322" s="23"/>
      <c r="E1322" s="10" t="n">
        <f aca="false">Допущения!$D$3</f>
        <v>2026</v>
      </c>
      <c r="F1322" s="52" t="n">
        <f aca="false">E1322+1</f>
        <v>2027</v>
      </c>
      <c r="G1322" s="52" t="n">
        <f aca="false">F1322+1</f>
        <v>2028</v>
      </c>
      <c r="H1322" s="52" t="n">
        <f aca="false">G1322+1</f>
        <v>2029</v>
      </c>
      <c r="I1322" s="52" t="n">
        <f aca="false">H1322+1</f>
        <v>2030</v>
      </c>
      <c r="J1322" s="52" t="n">
        <f aca="false">I1322+1</f>
        <v>2031</v>
      </c>
      <c r="K1322" s="23"/>
      <c r="L1322" s="49" t="s">
        <v>596</v>
      </c>
    </row>
    <row r="1323" customFormat="false" ht="15" hidden="true" customHeight="false" outlineLevel="1" collapsed="false">
      <c r="A1323" s="20" t="n">
        <v>51</v>
      </c>
      <c r="B1323" s="6" t="s">
        <v>597</v>
      </c>
      <c r="C1323" s="20" t="s">
        <v>62</v>
      </c>
      <c r="D1323" s="23"/>
      <c r="E1323" s="23"/>
      <c r="F1323" s="53" t="n">
        <f aca="false">(1+$D$1279)^(F$1322-$E$1322-1)</f>
        <v>1</v>
      </c>
      <c r="G1323" s="53" t="n">
        <f aca="false">(1+$D$1279)^(G$1322-$E$1322-1)</f>
        <v>1.05</v>
      </c>
      <c r="H1323" s="53" t="n">
        <f aca="false">(1+$D$1279)^(H$1322-$E$1322-1)</f>
        <v>1.1025</v>
      </c>
      <c r="I1323" s="53" t="n">
        <f aca="false">(1+$D$1279)^(I$1322-$E$1322-1)</f>
        <v>1.157625</v>
      </c>
      <c r="J1323" s="53" t="n">
        <f aca="false">(1+$D$1279)^(J$1322-$E$1322-1)</f>
        <v>1.21550625</v>
      </c>
      <c r="K1323" s="23"/>
      <c r="L1323" s="49" t="s">
        <v>598</v>
      </c>
    </row>
    <row r="1324" customFormat="false" ht="15" hidden="true" customHeight="false" outlineLevel="1" collapsed="false">
      <c r="A1324" s="20" t="n">
        <v>52</v>
      </c>
      <c r="B1324" s="6" t="s">
        <v>599</v>
      </c>
      <c r="C1324" s="20" t="s">
        <v>62</v>
      </c>
      <c r="D1324" s="23"/>
      <c r="E1324" s="23"/>
      <c r="F1324" s="53" t="n">
        <f aca="false">(1+$D$1297)^(F$1322-$E$1322-1)</f>
        <v>1</v>
      </c>
      <c r="G1324" s="53" t="n">
        <f aca="false">(1+$D$1297)^(G$1322-$E$1322-1)</f>
        <v>1.05</v>
      </c>
      <c r="H1324" s="53" t="n">
        <f aca="false">(1+$D$1297)^(H$1322-$E$1322-1)</f>
        <v>1.1025</v>
      </c>
      <c r="I1324" s="53" t="n">
        <f aca="false">(1+$D$1297)^(I$1322-$E$1322-1)</f>
        <v>1.157625</v>
      </c>
      <c r="J1324" s="53" t="n">
        <f aca="false">(1+$D$1297)^(J$1322-$E$1322-1)</f>
        <v>1.21550625</v>
      </c>
      <c r="K1324" s="23"/>
      <c r="L1324" s="49" t="s">
        <v>600</v>
      </c>
    </row>
    <row r="1325" customFormat="false" ht="15" hidden="true" customHeight="false" outlineLevel="1" collapsed="false">
      <c r="A1325" s="20" t="n">
        <v>53</v>
      </c>
      <c r="B1325" s="6" t="s">
        <v>601</v>
      </c>
      <c r="C1325" s="20" t="s">
        <v>62</v>
      </c>
      <c r="D1325" s="23"/>
      <c r="E1325" s="23"/>
      <c r="F1325" s="53" t="n">
        <f aca="false">(1+$D$1281)^(F$1322-$E$1322-1)</f>
        <v>1</v>
      </c>
      <c r="G1325" s="53" t="n">
        <f aca="false">(1+$D$1281)^(G$1322-$E$1322-1)</f>
        <v>1.07</v>
      </c>
      <c r="H1325" s="53" t="n">
        <f aca="false">(1+$D$1281)^(H$1322-$E$1322-1)</f>
        <v>1.1449</v>
      </c>
      <c r="I1325" s="53" t="n">
        <f aca="false">(1+$D$1281)^(I$1322-$E$1322-1)</f>
        <v>1.225043</v>
      </c>
      <c r="J1325" s="53" t="n">
        <f aca="false">(1+$D$1281)^(J$1322-$E$1322-1)</f>
        <v>1.31079601</v>
      </c>
      <c r="K1325" s="23"/>
      <c r="L1325" s="49" t="s">
        <v>602</v>
      </c>
    </row>
    <row r="1326" customFormat="false" ht="15" hidden="true" customHeight="false" outlineLevel="1" collapsed="false">
      <c r="A1326" s="20" t="n">
        <v>54</v>
      </c>
      <c r="B1326" s="6" t="s">
        <v>603</v>
      </c>
      <c r="C1326" s="20" t="s">
        <v>55</v>
      </c>
      <c r="D1326" s="23"/>
      <c r="E1326" s="23"/>
      <c r="F1326" s="46" t="n">
        <f aca="false">$D$1285*(1+$D$1286)^(F$1322-$E$1322)</f>
        <v>3.21732</v>
      </c>
      <c r="G1326" s="46" t="n">
        <f aca="false">$D$1285*(1+$D$1286)^(G$1322-$E$1322)</f>
        <v>3.4747056</v>
      </c>
      <c r="H1326" s="46" t="n">
        <f aca="false">$D$1285*(1+$D$1286)^(H$1322-$E$1322)</f>
        <v>3.752682048</v>
      </c>
      <c r="I1326" s="46" t="n">
        <f aca="false">$D$1285*(1+$D$1286)^(I$1322-$E$1322)</f>
        <v>4.05289661184</v>
      </c>
      <c r="J1326" s="46" t="n">
        <f aca="false">$D$1285*(1+$D$1286)^(J$1322-$E$1322)</f>
        <v>4.3771283407872</v>
      </c>
      <c r="K1326" s="23"/>
      <c r="L1326" s="49" t="s">
        <v>604</v>
      </c>
    </row>
    <row r="1327" customFormat="false" ht="15" hidden="true" customHeight="false" outlineLevel="1" collapsed="false">
      <c r="A1327" s="19" t="s">
        <v>605</v>
      </c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</row>
    <row r="1328" customFormat="false" ht="15" hidden="true" customHeight="false" outlineLevel="1" collapsed="false">
      <c r="A1328" s="20" t="n">
        <v>55</v>
      </c>
      <c r="B1328" s="6" t="s">
        <v>606</v>
      </c>
      <c r="C1328" s="20" t="s">
        <v>76</v>
      </c>
      <c r="D1328" s="23"/>
      <c r="E1328" s="23"/>
      <c r="F1328" s="38" t="n">
        <f aca="false">IF(F$1322=$D$1272,1,0)</f>
        <v>1</v>
      </c>
      <c r="G1328" s="38" t="n">
        <f aca="false">IF(G$1322=$D$1272,1,0)</f>
        <v>0</v>
      </c>
      <c r="H1328" s="38" t="n">
        <f aca="false">IF(H$1322=$D$1272,1,0)</f>
        <v>0</v>
      </c>
      <c r="I1328" s="38" t="n">
        <f aca="false">IF(I$1322=$D$1272,1,0)</f>
        <v>0</v>
      </c>
      <c r="J1328" s="38" t="n">
        <f aca="false">IF(J$1322=$D$1272,1,0)</f>
        <v>0</v>
      </c>
      <c r="K1328" s="23"/>
      <c r="L1328" s="49" t="s">
        <v>607</v>
      </c>
    </row>
    <row r="1329" customFormat="false" ht="15" hidden="true" customHeight="false" outlineLevel="1" collapsed="false">
      <c r="A1329" s="20" t="n">
        <v>56</v>
      </c>
      <c r="B1329" s="6" t="s">
        <v>608</v>
      </c>
      <c r="C1329" s="20" t="s">
        <v>76</v>
      </c>
      <c r="D1329" s="23"/>
      <c r="E1329" s="38" t="n">
        <f aca="false">0</f>
        <v>0</v>
      </c>
      <c r="F1329" s="38" t="n">
        <f aca="false">F1328+F1313</f>
        <v>1</v>
      </c>
      <c r="G1329" s="38" t="n">
        <f aca="false">G1328+G1313</f>
        <v>0</v>
      </c>
      <c r="H1329" s="38" t="n">
        <f aca="false">H1328+H1313</f>
        <v>1</v>
      </c>
      <c r="I1329" s="38" t="n">
        <f aca="false">I1328+I1313</f>
        <v>0</v>
      </c>
      <c r="J1329" s="38" t="n">
        <f aca="false">J1328+J1313</f>
        <v>1</v>
      </c>
      <c r="K1329" s="54" t="n">
        <f aca="false">SUM(F1329:J1329)</f>
        <v>3</v>
      </c>
      <c r="L1329" s="49" t="s">
        <v>609</v>
      </c>
    </row>
    <row r="1330" customFormat="false" ht="15" hidden="true" customHeight="false" outlineLevel="1" collapsed="false">
      <c r="A1330" s="20" t="n">
        <v>57</v>
      </c>
      <c r="B1330" s="6" t="s">
        <v>610</v>
      </c>
      <c r="C1330" s="20" t="s">
        <v>76</v>
      </c>
      <c r="D1330" s="23"/>
      <c r="E1330" s="38" t="n">
        <f aca="false">0</f>
        <v>0</v>
      </c>
      <c r="F1330" s="38" t="n">
        <f aca="false">E1330+F1329</f>
        <v>1</v>
      </c>
      <c r="G1330" s="38" t="n">
        <f aca="false">F1330+G1329</f>
        <v>1</v>
      </c>
      <c r="H1330" s="38" t="n">
        <f aca="false">G1330+H1329</f>
        <v>2</v>
      </c>
      <c r="I1330" s="38" t="n">
        <f aca="false">H1330+I1329</f>
        <v>2</v>
      </c>
      <c r="J1330" s="38" t="n">
        <f aca="false">I1330+J1329</f>
        <v>3</v>
      </c>
      <c r="K1330" s="23"/>
      <c r="L1330" s="49" t="s">
        <v>611</v>
      </c>
    </row>
    <row r="1331" customFormat="false" ht="15" hidden="true" customHeight="false" outlineLevel="1" collapsed="false">
      <c r="A1331" s="20" t="n">
        <v>58</v>
      </c>
      <c r="B1331" s="6" t="s">
        <v>612</v>
      </c>
      <c r="C1331" s="20" t="s">
        <v>76</v>
      </c>
      <c r="D1331" s="23"/>
      <c r="E1331" s="38" t="n">
        <f aca="false">0</f>
        <v>0</v>
      </c>
      <c r="F1331" s="38" t="n">
        <f aca="false">E1331+F1314</f>
        <v>0</v>
      </c>
      <c r="G1331" s="38" t="n">
        <f aca="false">F1331+G1314</f>
        <v>1</v>
      </c>
      <c r="H1331" s="38" t="n">
        <f aca="false">G1331+H1314</f>
        <v>3</v>
      </c>
      <c r="I1331" s="38" t="n">
        <f aca="false">H1331+I1314</f>
        <v>5</v>
      </c>
      <c r="J1331" s="38" t="n">
        <f aca="false">I1331+J1314</f>
        <v>8</v>
      </c>
      <c r="K1331" s="23"/>
      <c r="L1331" s="49" t="s">
        <v>611</v>
      </c>
    </row>
    <row r="1332" customFormat="false" ht="15" hidden="true" customHeight="false" outlineLevel="1" collapsed="false">
      <c r="A1332" s="20" t="n">
        <v>59</v>
      </c>
      <c r="B1332" s="6" t="s">
        <v>613</v>
      </c>
      <c r="C1332" s="20" t="s">
        <v>76</v>
      </c>
      <c r="D1332" s="23"/>
      <c r="E1332" s="38" t="n">
        <f aca="false">0</f>
        <v>0</v>
      </c>
      <c r="F1332" s="38" t="n">
        <f aca="false">F1330+F1331</f>
        <v>1</v>
      </c>
      <c r="G1332" s="38" t="n">
        <f aca="false">G1330+G1331</f>
        <v>2</v>
      </c>
      <c r="H1332" s="38" t="n">
        <f aca="false">H1330+H1331</f>
        <v>5</v>
      </c>
      <c r="I1332" s="38" t="n">
        <f aca="false">I1330+I1331</f>
        <v>7</v>
      </c>
      <c r="J1332" s="38" t="n">
        <f aca="false">J1330+J1331</f>
        <v>11</v>
      </c>
      <c r="K1332" s="23"/>
      <c r="L1332" s="49" t="s">
        <v>614</v>
      </c>
    </row>
    <row r="1333" customFormat="false" ht="15" hidden="true" customHeight="false" outlineLevel="1" collapsed="false">
      <c r="A1333" s="20" t="n">
        <v>60</v>
      </c>
      <c r="B1333" s="6" t="s">
        <v>615</v>
      </c>
      <c r="C1333" s="20" t="s">
        <v>76</v>
      </c>
      <c r="D1333" s="23"/>
      <c r="E1333" s="23"/>
      <c r="F1333" s="38" t="n">
        <f aca="false">F1329+F1314</f>
        <v>1</v>
      </c>
      <c r="G1333" s="38" t="n">
        <f aca="false">G1329+G1314</f>
        <v>1</v>
      </c>
      <c r="H1333" s="38" t="n">
        <f aca="false">H1329+H1314</f>
        <v>3</v>
      </c>
      <c r="I1333" s="38" t="n">
        <f aca="false">I1329+I1314</f>
        <v>2</v>
      </c>
      <c r="J1333" s="38" t="n">
        <f aca="false">J1329+J1314</f>
        <v>4</v>
      </c>
      <c r="K1333" s="54" t="n">
        <f aca="false">SUM(F1333:J1333)</f>
        <v>11</v>
      </c>
      <c r="L1333" s="49"/>
    </row>
    <row r="1334" customFormat="false" ht="15" hidden="true" customHeight="false" outlineLevel="1" collapsed="false">
      <c r="A1334" s="19" t="s">
        <v>616</v>
      </c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</row>
    <row r="1335" customFormat="false" ht="15" hidden="true" customHeight="false" outlineLevel="1" collapsed="false">
      <c r="A1335" s="20" t="n">
        <v>61</v>
      </c>
      <c r="B1335" s="6" t="s">
        <v>617</v>
      </c>
      <c r="C1335" s="20" t="s">
        <v>71</v>
      </c>
      <c r="D1335" s="23"/>
      <c r="E1335" s="23"/>
      <c r="F1335" s="40" t="n">
        <f aca="false">IF(F$1322&gt;$D$1272,($D$1274+$D$1273*$D$1275)*(1+$D$1280)^(F$1322-$D$1272-1)*F1323,0)</f>
        <v>0</v>
      </c>
      <c r="G1335" s="40" t="n">
        <f aca="false">IF(G$1322&gt;$D$1272,($D$1274+$D$1273*$D$1275)*(1+$D$1280)^(G$1322-$D$1272-1)*G1323,0)</f>
        <v>15.75</v>
      </c>
      <c r="H1335" s="40" t="n">
        <f aca="false">IF(H$1322&gt;$D$1272,($D$1274+$D$1273*$D$1275)*(1+$D$1280)^(H$1322-$D$1272-1)*H1323,0)</f>
        <v>19.018125</v>
      </c>
      <c r="I1335" s="40" t="n">
        <f aca="false">IF(I$1322&gt;$D$1272,($D$1274+$D$1273*$D$1275)*(1+$D$1280)^(I$1322-$D$1272-1)*I1323,0)</f>
        <v>22.9643859375</v>
      </c>
      <c r="J1335" s="40" t="n">
        <f aca="false">IF(J$1322&gt;$D$1272,($D$1274+$D$1273*$D$1275)*(1+$D$1280)^(J$1322-$D$1272-1)*J1323,0)</f>
        <v>27.7294960195313</v>
      </c>
      <c r="K1335" s="51" t="n">
        <f aca="false">SUM(F1335:J1335)</f>
        <v>85.4620069570313</v>
      </c>
      <c r="L1335" s="49" t="s">
        <v>618</v>
      </c>
    </row>
    <row r="1336" customFormat="false" ht="15" hidden="true" customHeight="false" outlineLevel="1" collapsed="false">
      <c r="A1336" s="20" t="n">
        <v>62</v>
      </c>
      <c r="B1336" s="6" t="s">
        <v>619</v>
      </c>
      <c r="C1336" s="20" t="s">
        <v>71</v>
      </c>
      <c r="D1336" s="23"/>
      <c r="E1336" s="23"/>
      <c r="F1336" s="40" t="n">
        <f aca="false">($D$1274+$D$1305*$D$1275)*F1323*SUMPRODUCT($E$1313:E$1313,(1+$D$1280)^(F$1322-$E$1322:E$1322-1))</f>
        <v>0</v>
      </c>
      <c r="G1336" s="40" t="n">
        <f aca="false">($D$1274+$D$1305*$D$1275)*G1323*SUMPRODUCT($E$1313:F$1313,(1+$D$1280)^(G$1322-$E$1322:F$1322-1))</f>
        <v>0</v>
      </c>
      <c r="H1336" s="40" t="n">
        <f aca="false">($D$1274+$D$1305*$D$1275)*H1323*SUMPRODUCT($E$1313:G$1313,(1+$D$1280)^(H$1322-$E$1322:G$1322-1))</f>
        <v>0</v>
      </c>
      <c r="I1336" s="40" t="n">
        <f aca="false">($D$1274+$D$1305*$D$1275)*I1323*SUMPRODUCT($E$1313:H$1313,(1+$D$1280)^(I$1322-$E$1322:H$1322-1))</f>
        <v>9.78719318181818</v>
      </c>
      <c r="J1336" s="40" t="n">
        <f aca="false">($D$1274+$D$1305*$D$1275)*J1323*SUMPRODUCT($E$1313:I$1313,(1+$D$1280)^(J$1322-$E$1322:I$1322-1))</f>
        <v>11.8180357670455</v>
      </c>
      <c r="K1336" s="51" t="n">
        <f aca="false">SUM(F1336:J1336)</f>
        <v>21.6052289488636</v>
      </c>
      <c r="L1336" s="49" t="s">
        <v>620</v>
      </c>
    </row>
    <row r="1337" customFormat="false" ht="15" hidden="true" customHeight="false" outlineLevel="1" collapsed="false">
      <c r="A1337" s="20" t="n">
        <v>63</v>
      </c>
      <c r="B1337" s="6" t="s">
        <v>621</v>
      </c>
      <c r="C1337" s="20" t="s">
        <v>71</v>
      </c>
      <c r="D1337" s="23"/>
      <c r="E1337" s="23"/>
      <c r="F1337" s="40" t="n">
        <f aca="false">($D$1276+$D$1306*$D$1275)*F1323*SUMPRODUCT($E$1314:E$1314,(1+$D$1280)^(F$1322-$E$1322:E$1322-1))</f>
        <v>0</v>
      </c>
      <c r="G1337" s="40" t="n">
        <f aca="false">($D$1276+$D$1306*$D$1275)*G1323*SUMPRODUCT($E$1314:F$1314,(1+$D$1280)^(G$1322-$E$1322:F$1322-1))</f>
        <v>0</v>
      </c>
      <c r="H1337" s="40" t="n">
        <f aca="false">($D$1276+$D$1306*$D$1275)*H1323*SUMPRODUCT($E$1314:G$1314,(1+$D$1280)^(H$1322-$E$1322:G$1322-1))</f>
        <v>1.8087890625</v>
      </c>
      <c r="I1337" s="40" t="n">
        <f aca="false">($D$1276+$D$1306*$D$1275)*I1323*SUMPRODUCT($E$1314:H$1314,(1+$D$1280)^(I$1322-$E$1322:H$1322-1))</f>
        <v>5.98256982421875</v>
      </c>
      <c r="J1337" s="40" t="n">
        <f aca="false">($D$1276+$D$1306*$D$1275)*J1323*SUMPRODUCT($E$1314:I$1314,(1+$D$1280)^(J$1322-$E$1322:I$1322-1))</f>
        <v>11.2123329455566</v>
      </c>
      <c r="K1337" s="51" t="n">
        <f aca="false">SUM(F1337:J1337)</f>
        <v>19.0036918322754</v>
      </c>
      <c r="L1337" s="49" t="s">
        <v>622</v>
      </c>
    </row>
    <row r="1338" customFormat="false" ht="15" hidden="true" customHeight="false" outlineLevel="1" collapsed="false">
      <c r="A1338" s="20" t="n">
        <v>64</v>
      </c>
      <c r="B1338" s="6" t="s">
        <v>623</v>
      </c>
      <c r="C1338" s="20" t="s">
        <v>71</v>
      </c>
      <c r="D1338" s="23"/>
      <c r="E1338" s="23"/>
      <c r="F1338" s="40" t="n">
        <f aca="false">(F1329*$D$1277+F1314*$D$1278)*F1323</f>
        <v>8</v>
      </c>
      <c r="G1338" s="40" t="n">
        <f aca="false">(G1329*$D$1277+G1314*$D$1278)*G1323</f>
        <v>2.1</v>
      </c>
      <c r="H1338" s="40" t="n">
        <f aca="false">(H1329*$D$1277+H1314*$D$1278)*H1323</f>
        <v>13.23</v>
      </c>
      <c r="I1338" s="40" t="n">
        <f aca="false">(I1329*$D$1277+I1314*$D$1278)*I1323</f>
        <v>4.6305</v>
      </c>
      <c r="J1338" s="40" t="n">
        <f aca="false">(J1329*$D$1277+J1314*$D$1278)*J1323</f>
        <v>17.0170875</v>
      </c>
      <c r="K1338" s="51" t="n">
        <f aca="false">SUM(F1338:J1338)</f>
        <v>44.9775875</v>
      </c>
      <c r="L1338" s="49" t="s">
        <v>624</v>
      </c>
    </row>
    <row r="1339" customFormat="false" ht="15" hidden="true" customHeight="false" outlineLevel="1" collapsed="false">
      <c r="A1339" s="20" t="n">
        <v>65</v>
      </c>
      <c r="B1339" s="6" t="s">
        <v>625</v>
      </c>
      <c r="C1339" s="20" t="s">
        <v>71</v>
      </c>
      <c r="D1339" s="23"/>
      <c r="E1339" s="23"/>
      <c r="F1339" s="40" t="n">
        <f aca="false">F1335+F1336+F1337</f>
        <v>0</v>
      </c>
      <c r="G1339" s="40" t="n">
        <f aca="false">G1335+G1336+G1337</f>
        <v>15.75</v>
      </c>
      <c r="H1339" s="40" t="n">
        <f aca="false">H1335+H1336+H1337</f>
        <v>20.8269140625</v>
      </c>
      <c r="I1339" s="40" t="n">
        <f aca="false">I1335+I1336+I1337</f>
        <v>38.7341489435369</v>
      </c>
      <c r="J1339" s="40" t="n">
        <f aca="false">J1335+J1336+J1337</f>
        <v>50.7598647321333</v>
      </c>
      <c r="K1339" s="51" t="n">
        <f aca="false">SUM(F1339:J1339)</f>
        <v>126.07092773817</v>
      </c>
      <c r="L1339" s="49"/>
    </row>
    <row r="1340" customFormat="false" ht="15" hidden="true" customHeight="false" outlineLevel="1" collapsed="false">
      <c r="A1340" s="20" t="n">
        <v>66</v>
      </c>
      <c r="B1340" s="6" t="s">
        <v>91</v>
      </c>
      <c r="C1340" s="20" t="s">
        <v>71</v>
      </c>
      <c r="D1340" s="23"/>
      <c r="E1340" s="23"/>
      <c r="F1340" s="40" t="n">
        <f aca="false">F1339+F1338</f>
        <v>8</v>
      </c>
      <c r="G1340" s="40" t="n">
        <f aca="false">G1339+G1338</f>
        <v>17.85</v>
      </c>
      <c r="H1340" s="40" t="n">
        <f aca="false">H1339+H1338</f>
        <v>34.0569140625</v>
      </c>
      <c r="I1340" s="40" t="n">
        <f aca="false">I1339+I1338</f>
        <v>43.3646489435369</v>
      </c>
      <c r="J1340" s="40" t="n">
        <f aca="false">J1339+J1338</f>
        <v>67.7769522321333</v>
      </c>
      <c r="K1340" s="51" t="n">
        <f aca="false">SUM(F1340:J1340)</f>
        <v>171.04851523817</v>
      </c>
      <c r="L1340" s="49" t="s">
        <v>626</v>
      </c>
    </row>
    <row r="1341" customFormat="false" ht="15" hidden="true" customHeight="false" outlineLevel="1" collapsed="false">
      <c r="A1341" s="20" t="n">
        <v>67</v>
      </c>
      <c r="B1341" s="6" t="s">
        <v>627</v>
      </c>
      <c r="C1341" s="20" t="s">
        <v>55</v>
      </c>
      <c r="D1341" s="23"/>
      <c r="E1341" s="23"/>
      <c r="F1341" s="40" t="n">
        <f aca="false">IF(F$1322&gt;=$D$1272,($D$1274+$D$1273*$D$1275)*(1+$D$1280)^(F$1322-$D$1272)*F1323,0)+($D$1274+$D$1305*$D$1275)*F1323*SUMPRODUCT($E$1313:F$1313,(1+$D$1280)^(F$1322-$E$1322:F$1322))+($D$1276+$D$1306*$D$1275)*F1323*SUMPRODUCT($E$1314:F$1314,(1+$D$1280)^(F$1322-$E$1322:F$1322))</f>
        <v>15</v>
      </c>
      <c r="G1341" s="40" t="n">
        <f aca="false">IF(G$1322&gt;=$D$1272,($D$1274+$D$1273*$D$1275)*(1+$D$1280)^(G$1322-$D$1272)*G1323,0)+($D$1274+$D$1305*$D$1275)*G1323*SUMPRODUCT($E$1313:G$1313,(1+$D$1280)^(G$1322-$E$1322:G$1322))+($D$1276+$D$1306*$D$1275)*G1323*SUMPRODUCT($E$1314:G$1314,(1+$D$1280)^(G$1322-$E$1322:G$1322))</f>
        <v>19.83515625</v>
      </c>
      <c r="H1341" s="40" t="n">
        <f aca="false">IF(H$1322&gt;=$D$1272,($D$1274+$D$1273*$D$1275)*(1+$D$1280)^(H$1322-$D$1272)*H1323,0)+($D$1274+$D$1305*$D$1275)*H1323*SUMPRODUCT($E$1313:H$1313,(1+$D$1280)^(H$1322-$E$1322:H$1322))+($D$1276+$D$1306*$D$1275)*H1323*SUMPRODUCT($E$1314:H$1314,(1+$D$1280)^(H$1322-$E$1322:H$1322))</f>
        <v>36.8896656605114</v>
      </c>
      <c r="I1341" s="40" t="n">
        <f aca="false">IF(I$1322&gt;=$D$1272,($D$1274+$D$1273*$D$1275)*(1+$D$1280)^(I$1322-$D$1272)*I1323,0)+($D$1274+$D$1305*$D$1275)*I1323*SUMPRODUCT($E$1313:I$1313,(1+$D$1280)^(I$1322-$E$1322:I$1322))+($D$1276+$D$1306*$D$1275)*I1323*SUMPRODUCT($E$1314:I$1314,(1+$D$1280)^(I$1322-$E$1322:I$1322))</f>
        <v>48.3427283163175</v>
      </c>
      <c r="J1341" s="40" t="n">
        <f aca="false">IF(J$1322&gt;=$D$1272,($D$1274+$D$1273*$D$1275)*(1+$D$1280)^(J$1322-$D$1272)*J1323,0)+($D$1274+$D$1305*$D$1275)*J1323*SUMPRODUCT($E$1313:J$1313,(1+$D$1280)^(J$1322-$E$1322:J$1322))+($D$1276+$D$1306*$D$1275)*J1323*SUMPRODUCT($E$1314:J$1314,(1+$D$1280)^(J$1322-$E$1322:J$1322))</f>
        <v>74.6329671070812</v>
      </c>
      <c r="K1341" s="23"/>
      <c r="L1341" s="49" t="s">
        <v>628</v>
      </c>
    </row>
    <row r="1342" customFormat="false" ht="15" hidden="true" customHeight="false" outlineLevel="1" collapsed="false">
      <c r="A1342" s="19" t="s">
        <v>629</v>
      </c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</row>
    <row r="1343" customFormat="false" ht="15" hidden="true" customHeight="false" outlineLevel="1" collapsed="false">
      <c r="A1343" s="20" t="n">
        <v>68</v>
      </c>
      <c r="B1343" s="6" t="s">
        <v>630</v>
      </c>
      <c r="C1343" s="20" t="s">
        <v>53</v>
      </c>
      <c r="D1343" s="23"/>
      <c r="E1343" s="40" t="n">
        <f aca="false">E1315+E1316+E1317+E1318+E1319+E1320</f>
        <v>2</v>
      </c>
      <c r="F1343" s="40" t="n">
        <f aca="false">F1315+F1316+F1317+F1318+F1319+F1320</f>
        <v>4</v>
      </c>
      <c r="G1343" s="40" t="n">
        <f aca="false">G1315+G1316+G1317+G1318+G1319+G1320</f>
        <v>5</v>
      </c>
      <c r="H1343" s="40" t="n">
        <f aca="false">H1315+H1316+H1317+H1318+H1319+H1320</f>
        <v>6</v>
      </c>
      <c r="I1343" s="40" t="n">
        <f aca="false">I1315+I1316+I1317+I1318+I1319+I1320</f>
        <v>7</v>
      </c>
      <c r="J1343" s="40" t="n">
        <f aca="false">J1315+J1316+J1317+J1318+J1319+J1320</f>
        <v>8</v>
      </c>
      <c r="K1343" s="23"/>
      <c r="L1343" s="49" t="s">
        <v>631</v>
      </c>
    </row>
    <row r="1344" customFormat="false" ht="15" hidden="true" customHeight="false" outlineLevel="1" collapsed="false">
      <c r="A1344" s="20" t="n">
        <v>69</v>
      </c>
      <c r="B1344" s="6" t="s">
        <v>632</v>
      </c>
      <c r="C1344" s="20" t="s">
        <v>53</v>
      </c>
      <c r="D1344" s="23"/>
      <c r="E1344" s="23"/>
      <c r="F1344" s="40" t="n">
        <f aca="false">MAX(0,F1343-E1343)</f>
        <v>2</v>
      </c>
      <c r="G1344" s="40" t="n">
        <f aca="false">MAX(0,G1343-F1343)</f>
        <v>1</v>
      </c>
      <c r="H1344" s="40" t="n">
        <f aca="false">MAX(0,H1343-G1343)</f>
        <v>1</v>
      </c>
      <c r="I1344" s="40" t="n">
        <f aca="false">MAX(0,I1343-H1343)</f>
        <v>1</v>
      </c>
      <c r="J1344" s="40" t="n">
        <f aca="false">MAX(0,J1343-I1343)</f>
        <v>1</v>
      </c>
      <c r="K1344" s="23"/>
      <c r="L1344" s="49" t="s">
        <v>633</v>
      </c>
    </row>
    <row r="1345" customFormat="false" ht="15" hidden="true" customHeight="false" outlineLevel="1" collapsed="false">
      <c r="A1345" s="20" t="n">
        <v>70</v>
      </c>
      <c r="B1345" s="6" t="s">
        <v>634</v>
      </c>
      <c r="C1345" s="20" t="s">
        <v>71</v>
      </c>
      <c r="D1345" s="23"/>
      <c r="E1345" s="23"/>
      <c r="F1345" s="41" t="n">
        <f aca="false">$D$1307*12/1000*F1325</f>
        <v>1.92</v>
      </c>
      <c r="G1345" s="41" t="n">
        <f aca="false">$D$1307*12/1000*G1325</f>
        <v>2.0544</v>
      </c>
      <c r="H1345" s="41" t="n">
        <f aca="false">$D$1307*12/1000*H1325</f>
        <v>2.198208</v>
      </c>
      <c r="I1345" s="41" t="n">
        <f aca="false">$D$1307*12/1000*I1325</f>
        <v>2.35208256</v>
      </c>
      <c r="J1345" s="41" t="n">
        <f aca="false">$D$1307*12/1000*J1325</f>
        <v>2.5167283392</v>
      </c>
      <c r="K1345" s="23"/>
      <c r="L1345" s="49" t="s">
        <v>635</v>
      </c>
    </row>
    <row r="1346" customFormat="false" ht="15" hidden="true" customHeight="false" outlineLevel="1" collapsed="false">
      <c r="A1346" s="20" t="n">
        <v>71</v>
      </c>
      <c r="B1346" s="6" t="s">
        <v>636</v>
      </c>
      <c r="C1346" s="20" t="s">
        <v>71</v>
      </c>
      <c r="D1346" s="23"/>
      <c r="E1346" s="23"/>
      <c r="F1346" s="41" t="n">
        <f aca="false">$D$1308*12/1000*F1325</f>
        <v>2.688</v>
      </c>
      <c r="G1346" s="41" t="n">
        <f aca="false">$D$1308*12/1000*G1325</f>
        <v>2.87616</v>
      </c>
      <c r="H1346" s="41" t="n">
        <f aca="false">$D$1308*12/1000*H1325</f>
        <v>3.0774912</v>
      </c>
      <c r="I1346" s="41" t="n">
        <f aca="false">$D$1308*12/1000*I1325</f>
        <v>3.292915584</v>
      </c>
      <c r="J1346" s="41" t="n">
        <f aca="false">$D$1308*12/1000*J1325</f>
        <v>3.52341967488</v>
      </c>
      <c r="K1346" s="23"/>
      <c r="L1346" s="49" t="s">
        <v>635</v>
      </c>
    </row>
    <row r="1347" customFormat="false" ht="15" hidden="true" customHeight="false" outlineLevel="1" collapsed="false">
      <c r="A1347" s="20" t="n">
        <v>72</v>
      </c>
      <c r="B1347" s="6" t="s">
        <v>637</v>
      </c>
      <c r="C1347" s="20" t="s">
        <v>71</v>
      </c>
      <c r="D1347" s="23"/>
      <c r="E1347" s="23"/>
      <c r="F1347" s="41" t="n">
        <f aca="false">$D$1309*12/1000*F1325</f>
        <v>2.208</v>
      </c>
      <c r="G1347" s="41" t="n">
        <f aca="false">$D$1309*12/1000*G1325</f>
        <v>2.36256</v>
      </c>
      <c r="H1347" s="41" t="n">
        <f aca="false">$D$1309*12/1000*H1325</f>
        <v>2.5279392</v>
      </c>
      <c r="I1347" s="41" t="n">
        <f aca="false">$D$1309*12/1000*I1325</f>
        <v>2.704894944</v>
      </c>
      <c r="J1347" s="41" t="n">
        <f aca="false">$D$1309*12/1000*J1325</f>
        <v>2.89423759008</v>
      </c>
      <c r="K1347" s="23"/>
      <c r="L1347" s="49" t="s">
        <v>635</v>
      </c>
    </row>
    <row r="1348" customFormat="false" ht="15" hidden="true" customHeight="false" outlineLevel="1" collapsed="false">
      <c r="A1348" s="20" t="n">
        <v>73</v>
      </c>
      <c r="B1348" s="6" t="s">
        <v>638</v>
      </c>
      <c r="C1348" s="20" t="s">
        <v>71</v>
      </c>
      <c r="D1348" s="23"/>
      <c r="E1348" s="23"/>
      <c r="F1348" s="41" t="n">
        <f aca="false">$D$1310*12/1000*F1325</f>
        <v>2.112</v>
      </c>
      <c r="G1348" s="41" t="n">
        <f aca="false">$D$1310*12/1000*G1325</f>
        <v>2.25984</v>
      </c>
      <c r="H1348" s="41" t="n">
        <f aca="false">$D$1310*12/1000*H1325</f>
        <v>2.4180288</v>
      </c>
      <c r="I1348" s="41" t="n">
        <f aca="false">$D$1310*12/1000*I1325</f>
        <v>2.587290816</v>
      </c>
      <c r="J1348" s="41" t="n">
        <f aca="false">$D$1310*12/1000*J1325</f>
        <v>2.76840117312</v>
      </c>
      <c r="K1348" s="23"/>
      <c r="L1348" s="49" t="s">
        <v>635</v>
      </c>
    </row>
    <row r="1349" customFormat="false" ht="15" hidden="true" customHeight="false" outlineLevel="1" collapsed="false">
      <c r="A1349" s="20" t="n">
        <v>74</v>
      </c>
      <c r="B1349" s="6" t="s">
        <v>639</v>
      </c>
      <c r="C1349" s="20" t="s">
        <v>71</v>
      </c>
      <c r="D1349" s="23"/>
      <c r="E1349" s="23"/>
      <c r="F1349" s="41" t="n">
        <f aca="false">$D$1311*12/1000*F1325</f>
        <v>2.4</v>
      </c>
      <c r="G1349" s="41" t="n">
        <f aca="false">$D$1311*12/1000*G1325</f>
        <v>2.568</v>
      </c>
      <c r="H1349" s="41" t="n">
        <f aca="false">$D$1311*12/1000*H1325</f>
        <v>2.74776</v>
      </c>
      <c r="I1349" s="41" t="n">
        <f aca="false">$D$1311*12/1000*I1325</f>
        <v>2.9401032</v>
      </c>
      <c r="J1349" s="41" t="n">
        <f aca="false">$D$1311*12/1000*J1325</f>
        <v>3.145910424</v>
      </c>
      <c r="K1349" s="23"/>
      <c r="L1349" s="49" t="s">
        <v>635</v>
      </c>
    </row>
    <row r="1350" customFormat="false" ht="15" hidden="true" customHeight="false" outlineLevel="1" collapsed="false">
      <c r="A1350" s="20" t="n">
        <v>75</v>
      </c>
      <c r="B1350" s="6" t="s">
        <v>640</v>
      </c>
      <c r="C1350" s="20" t="s">
        <v>71</v>
      </c>
      <c r="D1350" s="23"/>
      <c r="E1350" s="23"/>
      <c r="F1350" s="41" t="n">
        <f aca="false">$D$1312*12/1000*F1325</f>
        <v>2.112</v>
      </c>
      <c r="G1350" s="41" t="n">
        <f aca="false">$D$1312*12/1000*G1325</f>
        <v>2.25984</v>
      </c>
      <c r="H1350" s="41" t="n">
        <f aca="false">$D$1312*12/1000*H1325</f>
        <v>2.4180288</v>
      </c>
      <c r="I1350" s="41" t="n">
        <f aca="false">$D$1312*12/1000*I1325</f>
        <v>2.587290816</v>
      </c>
      <c r="J1350" s="41" t="n">
        <f aca="false">$D$1312*12/1000*J1325</f>
        <v>2.76840117312</v>
      </c>
      <c r="K1350" s="23"/>
      <c r="L1350" s="49" t="s">
        <v>635</v>
      </c>
    </row>
    <row r="1351" customFormat="false" ht="15" hidden="true" customHeight="false" outlineLevel="1" collapsed="false">
      <c r="A1351" s="20" t="n">
        <v>76</v>
      </c>
      <c r="B1351" s="6" t="s">
        <v>641</v>
      </c>
      <c r="C1351" s="20" t="s">
        <v>71</v>
      </c>
      <c r="D1351" s="23"/>
      <c r="E1351" s="23"/>
      <c r="F1351" s="40" t="n">
        <f aca="false">F1315*F1345</f>
        <v>3.84</v>
      </c>
      <c r="G1351" s="40" t="n">
        <f aca="false">G1315*G1345</f>
        <v>4.1088</v>
      </c>
      <c r="H1351" s="40" t="n">
        <f aca="false">H1315*H1345</f>
        <v>4.396416</v>
      </c>
      <c r="I1351" s="40" t="n">
        <f aca="false">I1315*I1345</f>
        <v>4.70416512</v>
      </c>
      <c r="J1351" s="40" t="n">
        <f aca="false">J1315*J1345</f>
        <v>5.0334566784</v>
      </c>
      <c r="K1351" s="51" t="n">
        <f aca="false">SUM(F1351:J1351)</f>
        <v>22.0828377984</v>
      </c>
      <c r="L1351" s="49" t="s">
        <v>642</v>
      </c>
    </row>
    <row r="1352" customFormat="false" ht="15" hidden="true" customHeight="false" outlineLevel="1" collapsed="false">
      <c r="A1352" s="20" t="n">
        <v>77</v>
      </c>
      <c r="B1352" s="6" t="s">
        <v>643</v>
      </c>
      <c r="C1352" s="20" t="s">
        <v>71</v>
      </c>
      <c r="D1352" s="23"/>
      <c r="E1352" s="23"/>
      <c r="F1352" s="40" t="n">
        <f aca="false">F1316*F1346</f>
        <v>2.688</v>
      </c>
      <c r="G1352" s="40" t="n">
        <f aca="false">G1316*G1346</f>
        <v>2.87616</v>
      </c>
      <c r="H1352" s="40" t="n">
        <f aca="false">H1316*H1346</f>
        <v>3.0774912</v>
      </c>
      <c r="I1352" s="40" t="n">
        <f aca="false">I1316*I1346</f>
        <v>6.585831168</v>
      </c>
      <c r="J1352" s="40" t="n">
        <f aca="false">J1316*J1346</f>
        <v>7.04683934976</v>
      </c>
      <c r="K1352" s="51" t="n">
        <f aca="false">SUM(F1352:J1352)</f>
        <v>22.27432171776</v>
      </c>
      <c r="L1352" s="49" t="s">
        <v>642</v>
      </c>
    </row>
    <row r="1353" customFormat="false" ht="15" hidden="true" customHeight="false" outlineLevel="1" collapsed="false">
      <c r="A1353" s="20" t="n">
        <v>78</v>
      </c>
      <c r="B1353" s="6" t="s">
        <v>644</v>
      </c>
      <c r="C1353" s="20" t="s">
        <v>71</v>
      </c>
      <c r="D1353" s="23"/>
      <c r="E1353" s="23"/>
      <c r="F1353" s="40" t="n">
        <f aca="false">F1317*F1347</f>
        <v>2.208</v>
      </c>
      <c r="G1353" s="40" t="n">
        <f aca="false">G1317*G1347</f>
        <v>2.36256</v>
      </c>
      <c r="H1353" s="40" t="n">
        <f aca="false">H1317*H1347</f>
        <v>2.5279392</v>
      </c>
      <c r="I1353" s="40" t="n">
        <f aca="false">I1317*I1347</f>
        <v>2.704894944</v>
      </c>
      <c r="J1353" s="40" t="n">
        <f aca="false">J1317*J1347</f>
        <v>2.89423759008</v>
      </c>
      <c r="K1353" s="51" t="n">
        <f aca="false">SUM(F1353:J1353)</f>
        <v>12.69763173408</v>
      </c>
      <c r="L1353" s="49" t="s">
        <v>642</v>
      </c>
    </row>
    <row r="1354" customFormat="false" ht="15" hidden="true" customHeight="false" outlineLevel="1" collapsed="false">
      <c r="A1354" s="20" t="n">
        <v>79</v>
      </c>
      <c r="B1354" s="6" t="s">
        <v>645</v>
      </c>
      <c r="C1354" s="20" t="s">
        <v>71</v>
      </c>
      <c r="D1354" s="23"/>
      <c r="E1354" s="23"/>
      <c r="F1354" s="40" t="n">
        <f aca="false">F1318*F1348</f>
        <v>0</v>
      </c>
      <c r="G1354" s="40" t="n">
        <f aca="false">G1318*G1348</f>
        <v>2.25984</v>
      </c>
      <c r="H1354" s="40" t="n">
        <f aca="false">H1318*H1348</f>
        <v>2.4180288</v>
      </c>
      <c r="I1354" s="40" t="n">
        <f aca="false">I1318*I1348</f>
        <v>2.587290816</v>
      </c>
      <c r="J1354" s="40" t="n">
        <f aca="false">J1318*J1348</f>
        <v>2.76840117312</v>
      </c>
      <c r="K1354" s="51" t="n">
        <f aca="false">SUM(F1354:J1354)</f>
        <v>10.03356078912</v>
      </c>
      <c r="L1354" s="49" t="s">
        <v>642</v>
      </c>
    </row>
    <row r="1355" customFormat="false" ht="15" hidden="true" customHeight="false" outlineLevel="1" collapsed="false">
      <c r="A1355" s="20" t="n">
        <v>80</v>
      </c>
      <c r="B1355" s="6" t="s">
        <v>646</v>
      </c>
      <c r="C1355" s="20" t="s">
        <v>71</v>
      </c>
      <c r="D1355" s="23"/>
      <c r="E1355" s="23"/>
      <c r="F1355" s="40" t="n">
        <f aca="false">F1319*F1349</f>
        <v>0</v>
      </c>
      <c r="G1355" s="40" t="n">
        <f aca="false">G1319*G1349</f>
        <v>0</v>
      </c>
      <c r="H1355" s="40" t="n">
        <f aca="false">H1319*H1349</f>
        <v>2.74776</v>
      </c>
      <c r="I1355" s="40" t="n">
        <f aca="false">I1319*I1349</f>
        <v>2.9401032</v>
      </c>
      <c r="J1355" s="40" t="n">
        <f aca="false">J1319*J1349</f>
        <v>3.145910424</v>
      </c>
      <c r="K1355" s="51" t="n">
        <f aca="false">SUM(F1355:J1355)</f>
        <v>8.833773624</v>
      </c>
      <c r="L1355" s="49" t="s">
        <v>642</v>
      </c>
    </row>
    <row r="1356" customFormat="false" ht="15" hidden="true" customHeight="false" outlineLevel="1" collapsed="false">
      <c r="A1356" s="20" t="n">
        <v>81</v>
      </c>
      <c r="B1356" s="6" t="s">
        <v>647</v>
      </c>
      <c r="C1356" s="20" t="s">
        <v>71</v>
      </c>
      <c r="D1356" s="23"/>
      <c r="E1356" s="23"/>
      <c r="F1356" s="40" t="n">
        <f aca="false">F1320*F1350</f>
        <v>0</v>
      </c>
      <c r="G1356" s="40" t="n">
        <f aca="false">G1320*G1350</f>
        <v>0</v>
      </c>
      <c r="H1356" s="40" t="n">
        <f aca="false">H1320*H1350</f>
        <v>0</v>
      </c>
      <c r="I1356" s="40" t="n">
        <f aca="false">I1320*I1350</f>
        <v>0</v>
      </c>
      <c r="J1356" s="40" t="n">
        <f aca="false">J1320*J1350</f>
        <v>2.76840117312</v>
      </c>
      <c r="K1356" s="51" t="n">
        <f aca="false">SUM(F1356:J1356)</f>
        <v>2.76840117312</v>
      </c>
      <c r="L1356" s="49" t="s">
        <v>642</v>
      </c>
    </row>
    <row r="1357" customFormat="false" ht="15" hidden="true" customHeight="false" outlineLevel="1" collapsed="false">
      <c r="A1357" s="20" t="n">
        <v>82</v>
      </c>
      <c r="B1357" s="6" t="s">
        <v>648</v>
      </c>
      <c r="C1357" s="20" t="s">
        <v>71</v>
      </c>
      <c r="D1357" s="23"/>
      <c r="E1357" s="23"/>
      <c r="F1357" s="40" t="n">
        <f aca="false">F1351+F1352+F1353+F1354+F1355+F1356</f>
        <v>8.736</v>
      </c>
      <c r="G1357" s="40" t="n">
        <f aca="false">G1351+G1352+G1353+G1354+G1355+G1356</f>
        <v>11.60736</v>
      </c>
      <c r="H1357" s="40" t="n">
        <f aca="false">H1351+H1352+H1353+H1354+H1355+H1356</f>
        <v>15.1676352</v>
      </c>
      <c r="I1357" s="40" t="n">
        <f aca="false">I1351+I1352+I1353+I1354+I1355+I1356</f>
        <v>19.522285248</v>
      </c>
      <c r="J1357" s="40" t="n">
        <f aca="false">J1351+J1352+J1353+J1354+J1355+J1356</f>
        <v>23.65724638848</v>
      </c>
      <c r="K1357" s="51" t="n">
        <f aca="false">SUM(F1357:J1357)</f>
        <v>78.69052683648</v>
      </c>
      <c r="L1357" s="49"/>
    </row>
    <row r="1358" customFormat="false" ht="15" hidden="true" customHeight="false" outlineLevel="1" collapsed="false">
      <c r="A1358" s="20" t="n">
        <v>83</v>
      </c>
      <c r="B1358" s="6" t="s">
        <v>649</v>
      </c>
      <c r="C1358" s="20" t="s">
        <v>71</v>
      </c>
      <c r="D1358" s="23"/>
      <c r="E1358" s="23"/>
      <c r="F1358" s="40" t="n">
        <f aca="false">F1315*(MIN(F1345,F1326)*$D$1282+MAX(0,F1345-F1326)*$D$1283+F1345*$D$1284)+F1316*(MIN(F1346,F1326)*$D$1282+MAX(0,F1346-F1326)*$D$1283+F1346*$D$1284)+F1317*(MIN(F1347,F1326)*$D$1282+MAX(0,F1347-F1326)*$D$1283+F1347*$D$1284)+F1318*(MIN(F1348,F1326)*$D$1282+MAX(0,F1348-F1326)*$D$1283+F1348*$D$1284)+F1319*(MIN(F1349,F1326)*$D$1282+MAX(0,F1349-F1326)*$D$1283+F1349*$D$1284)+F1320*(MIN(F1350,F1326)*$D$1282+MAX(0,F1350-F1326)*$D$1283+F1350*$D$1284)</f>
        <v>1.327872</v>
      </c>
      <c r="G1358" s="40" t="n">
        <f aca="false">G1315*(MIN(G1345,G1326)*$D$1282+MAX(0,G1345-G1326)*$D$1283+G1345*$D$1284)+G1316*(MIN(G1346,G1326)*$D$1282+MAX(0,G1346-G1326)*$D$1283+G1346*$D$1284)+G1317*(MIN(G1347,G1326)*$D$1282+MAX(0,G1347-G1326)*$D$1283+G1347*$D$1284)+G1318*(MIN(G1348,G1326)*$D$1282+MAX(0,G1348-G1326)*$D$1283+G1348*$D$1284)+G1319*(MIN(G1349,G1326)*$D$1282+MAX(0,G1349-G1326)*$D$1283+G1349*$D$1284)+G1320*(MIN(G1350,G1326)*$D$1282+MAX(0,G1350-G1326)*$D$1283+G1350*$D$1284)</f>
        <v>1.76431872</v>
      </c>
      <c r="H1358" s="40" t="n">
        <f aca="false">H1315*(MIN(H1345,H1326)*$D$1282+MAX(0,H1345-H1326)*$D$1283+H1345*$D$1284)+H1316*(MIN(H1346,H1326)*$D$1282+MAX(0,H1346-H1326)*$D$1283+H1346*$D$1284)+H1317*(MIN(H1347,H1326)*$D$1282+MAX(0,H1347-H1326)*$D$1283+H1347*$D$1284)+H1318*(MIN(H1348,H1326)*$D$1282+MAX(0,H1348-H1326)*$D$1283+H1348*$D$1284)+H1319*(MIN(H1349,H1326)*$D$1282+MAX(0,H1349-H1326)*$D$1283+H1349*$D$1284)+H1320*(MIN(H1350,H1326)*$D$1282+MAX(0,H1350-H1326)*$D$1283+H1350*$D$1284)</f>
        <v>2.3054805504</v>
      </c>
      <c r="I1358" s="40" t="n">
        <f aca="false">I1315*(MIN(I1345,I1326)*$D$1282+MAX(0,I1345-I1326)*$D$1283+I1345*$D$1284)+I1316*(MIN(I1346,I1326)*$D$1282+MAX(0,I1346-I1326)*$D$1283+I1346*$D$1284)+I1317*(MIN(I1347,I1326)*$D$1282+MAX(0,I1347-I1326)*$D$1283+I1347*$D$1284)+I1318*(MIN(I1348,I1326)*$D$1282+MAX(0,I1348-I1326)*$D$1283+I1348*$D$1284)+I1319*(MIN(I1349,I1326)*$D$1282+MAX(0,I1349-I1326)*$D$1283+I1349*$D$1284)+I1320*(MIN(I1350,I1326)*$D$1282+MAX(0,I1350-I1326)*$D$1283+I1350*$D$1284)</f>
        <v>2.967387357696</v>
      </c>
      <c r="J1358" s="40" t="n">
        <f aca="false">J1315*(MIN(J1345,J1326)*$D$1282+MAX(0,J1345-J1326)*$D$1283+J1345*$D$1284)+J1316*(MIN(J1346,J1326)*$D$1282+MAX(0,J1346-J1326)*$D$1283+J1346*$D$1284)+J1317*(MIN(J1347,J1326)*$D$1282+MAX(0,J1347-J1326)*$D$1283+J1347*$D$1284)+J1318*(MIN(J1348,J1326)*$D$1282+MAX(0,J1348-J1326)*$D$1283+J1348*$D$1284)+J1319*(MIN(J1349,J1326)*$D$1282+MAX(0,J1349-J1326)*$D$1283+J1349*$D$1284)+J1320*(MIN(J1350,J1326)*$D$1282+MAX(0,J1350-J1326)*$D$1283+J1350*$D$1284)</f>
        <v>3.59590145104896</v>
      </c>
      <c r="K1358" s="51" t="n">
        <f aca="false">SUM(F1358:J1358)</f>
        <v>11.960960079145</v>
      </c>
      <c r="L1358" s="49" t="s">
        <v>650</v>
      </c>
    </row>
    <row r="1359" customFormat="false" ht="15" hidden="true" customHeight="false" outlineLevel="1" collapsed="false">
      <c r="A1359" s="20" t="n">
        <v>84</v>
      </c>
      <c r="B1359" s="6" t="s">
        <v>651</v>
      </c>
      <c r="C1359" s="20"/>
      <c r="D1359" s="23"/>
      <c r="E1359" s="23"/>
      <c r="F1359" s="38" t="n">
        <f aca="false">IF(AND(F1332&gt;0,E1332=0),1,0)</f>
        <v>1</v>
      </c>
      <c r="G1359" s="38" t="n">
        <f aca="false">IF(AND(G1332&gt;0,F1332=0),1,0)</f>
        <v>0</v>
      </c>
      <c r="H1359" s="38" t="n">
        <f aca="false">IF(AND(H1332&gt;0,G1332=0),1,0)</f>
        <v>0</v>
      </c>
      <c r="I1359" s="38" t="n">
        <f aca="false">IF(AND(I1332&gt;0,H1332=0),1,0)</f>
        <v>0</v>
      </c>
      <c r="J1359" s="38" t="n">
        <f aca="false">IF(AND(J1332&gt;0,I1332=0),1,0)</f>
        <v>0</v>
      </c>
      <c r="K1359" s="23"/>
      <c r="L1359" s="49"/>
    </row>
    <row r="1360" customFormat="false" ht="15" hidden="true" customHeight="false" outlineLevel="1" collapsed="false">
      <c r="A1360" s="20" t="n">
        <v>85</v>
      </c>
      <c r="B1360" s="6" t="s">
        <v>652</v>
      </c>
      <c r="C1360" s="20" t="s">
        <v>71</v>
      </c>
      <c r="D1360" s="23"/>
      <c r="E1360" s="23"/>
      <c r="F1360" s="40" t="n">
        <f aca="false">(F1359*$D$1287+IF(E1332&gt;0,1,0)*$D$1288)*F1324</f>
        <v>2.5</v>
      </c>
      <c r="G1360" s="40" t="n">
        <f aca="false">(G1359*$D$1287+IF(F1332&gt;0,1,0)*$D$1288)*G1324</f>
        <v>1.05</v>
      </c>
      <c r="H1360" s="40" t="n">
        <f aca="false">(H1359*$D$1287+IF(G1332&gt;0,1,0)*$D$1288)*H1324</f>
        <v>1.1025</v>
      </c>
      <c r="I1360" s="40" t="n">
        <f aca="false">(I1359*$D$1287+IF(H1332&gt;0,1,0)*$D$1288)*I1324</f>
        <v>1.157625</v>
      </c>
      <c r="J1360" s="40" t="n">
        <f aca="false">(J1359*$D$1287+IF(I1332&gt;0,1,0)*$D$1288)*J1324</f>
        <v>1.21550625</v>
      </c>
      <c r="K1360" s="51" t="n">
        <f aca="false">SUM(F1360:J1360)</f>
        <v>7.02563125</v>
      </c>
      <c r="L1360" s="49" t="s">
        <v>653</v>
      </c>
    </row>
    <row r="1361" customFormat="false" ht="15" hidden="true" customHeight="false" outlineLevel="1" collapsed="false">
      <c r="A1361" s="20" t="n">
        <v>86</v>
      </c>
      <c r="B1361" s="6" t="s">
        <v>302</v>
      </c>
      <c r="C1361" s="20" t="s">
        <v>71</v>
      </c>
      <c r="D1361" s="23"/>
      <c r="E1361" s="23"/>
      <c r="F1361" s="40" t="n">
        <f aca="false">$D$1289*F1324</f>
        <v>0.6</v>
      </c>
      <c r="G1361" s="40" t="n">
        <f aca="false">$D$1289*G1324</f>
        <v>0.63</v>
      </c>
      <c r="H1361" s="40" t="n">
        <f aca="false">$D$1289*H1324</f>
        <v>0.6615</v>
      </c>
      <c r="I1361" s="40" t="n">
        <f aca="false">$D$1289*I1324</f>
        <v>0.694575</v>
      </c>
      <c r="J1361" s="40" t="n">
        <f aca="false">$D$1289*J1324</f>
        <v>0.72930375</v>
      </c>
      <c r="K1361" s="51" t="n">
        <f aca="false">SUM(F1361:J1361)</f>
        <v>3.31537875</v>
      </c>
      <c r="L1361" s="49"/>
    </row>
    <row r="1362" customFormat="false" ht="15" hidden="true" customHeight="false" outlineLevel="1" collapsed="false">
      <c r="A1362" s="20" t="n">
        <v>87</v>
      </c>
      <c r="B1362" s="6" t="s">
        <v>654</v>
      </c>
      <c r="C1362" s="20" t="s">
        <v>71</v>
      </c>
      <c r="D1362" s="23"/>
      <c r="E1362" s="23"/>
      <c r="F1362" s="40" t="n">
        <f aca="false">$D$1290*F1343*F1324</f>
        <v>0.6</v>
      </c>
      <c r="G1362" s="40" t="n">
        <f aca="false">$D$1290*G1343*G1324</f>
        <v>0.7875</v>
      </c>
      <c r="H1362" s="40" t="n">
        <f aca="false">$D$1290*H1343*H1324</f>
        <v>0.99225</v>
      </c>
      <c r="I1362" s="40" t="n">
        <f aca="false">$D$1290*I1343*I1324</f>
        <v>1.21550625</v>
      </c>
      <c r="J1362" s="40" t="n">
        <f aca="false">$D$1290*J1343*J1324</f>
        <v>1.4586075</v>
      </c>
      <c r="K1362" s="51" t="n">
        <f aca="false">SUM(F1362:J1362)</f>
        <v>5.05386375</v>
      </c>
      <c r="L1362" s="49" t="s">
        <v>655</v>
      </c>
    </row>
    <row r="1363" customFormat="false" ht="15" hidden="true" customHeight="false" outlineLevel="1" collapsed="false">
      <c r="A1363" s="20" t="n">
        <v>88</v>
      </c>
      <c r="B1363" s="6" t="s">
        <v>656</v>
      </c>
      <c r="C1363" s="20" t="s">
        <v>71</v>
      </c>
      <c r="D1363" s="23"/>
      <c r="E1363" s="23"/>
      <c r="F1363" s="40" t="n">
        <f aca="false">($D$1291+$D$1292*F1333)*F1324</f>
        <v>1.4</v>
      </c>
      <c r="G1363" s="40" t="n">
        <f aca="false">($D$1291+$D$1292*G1333)*G1324</f>
        <v>1.47</v>
      </c>
      <c r="H1363" s="40" t="n">
        <f aca="false">($D$1291+$D$1292*H1333)*H1324</f>
        <v>2.4255</v>
      </c>
      <c r="I1363" s="40" t="n">
        <f aca="false">($D$1291+$D$1292*I1333)*I1324</f>
        <v>2.083725</v>
      </c>
      <c r="J1363" s="40" t="n">
        <f aca="false">($D$1291+$D$1292*J1333)*J1324</f>
        <v>3.16031625</v>
      </c>
      <c r="K1363" s="51" t="n">
        <f aca="false">SUM(F1363:J1363)</f>
        <v>10.53954125</v>
      </c>
      <c r="L1363" s="49" t="s">
        <v>657</v>
      </c>
    </row>
    <row r="1364" customFormat="false" ht="15" hidden="true" customHeight="false" outlineLevel="1" collapsed="false">
      <c r="A1364" s="20" t="n">
        <v>89</v>
      </c>
      <c r="B1364" s="6" t="s">
        <v>658</v>
      </c>
      <c r="C1364" s="20" t="s">
        <v>71</v>
      </c>
      <c r="D1364" s="23"/>
      <c r="E1364" s="23"/>
      <c r="F1364" s="40" t="n">
        <f aca="false">($D$1293+$D$1294*F1343)*F1324</f>
        <v>1.6</v>
      </c>
      <c r="G1364" s="40" t="n">
        <f aca="false">($D$1293+$D$1294*G1343)*G1324</f>
        <v>1.785</v>
      </c>
      <c r="H1364" s="40" t="n">
        <f aca="false">($D$1293+$D$1294*H1343)*H1324</f>
        <v>1.9845</v>
      </c>
      <c r="I1364" s="40" t="n">
        <f aca="false">($D$1293+$D$1294*I1343)*I1324</f>
        <v>2.1994875</v>
      </c>
      <c r="J1364" s="40" t="n">
        <f aca="false">($D$1293+$D$1294*J1343)*J1324</f>
        <v>2.4310125</v>
      </c>
      <c r="K1364" s="51" t="n">
        <f aca="false">SUM(F1364:J1364)</f>
        <v>10</v>
      </c>
      <c r="L1364" s="49" t="s">
        <v>659</v>
      </c>
    </row>
    <row r="1365" customFormat="false" ht="15" hidden="true" customHeight="false" outlineLevel="1" collapsed="false">
      <c r="A1365" s="20" t="n">
        <v>90</v>
      </c>
      <c r="B1365" s="6" t="s">
        <v>660</v>
      </c>
      <c r="C1365" s="20" t="s">
        <v>71</v>
      </c>
      <c r="D1365" s="23"/>
      <c r="E1365" s="23"/>
      <c r="F1365" s="40" t="n">
        <f aca="false">$D$1295*F1344*F1324</f>
        <v>0.5</v>
      </c>
      <c r="G1365" s="40" t="n">
        <f aca="false">$D$1295*G1344*G1324</f>
        <v>0.2625</v>
      </c>
      <c r="H1365" s="40" t="n">
        <f aca="false">$D$1295*H1344*H1324</f>
        <v>0.275625</v>
      </c>
      <c r="I1365" s="40" t="n">
        <f aca="false">$D$1295*I1344*I1324</f>
        <v>0.28940625</v>
      </c>
      <c r="J1365" s="40" t="n">
        <f aca="false">$D$1295*J1344*J1324</f>
        <v>0.3038765625</v>
      </c>
      <c r="K1365" s="51" t="n">
        <f aca="false">SUM(F1365:J1365)</f>
        <v>1.6314078125</v>
      </c>
      <c r="L1365" s="49" t="s">
        <v>661</v>
      </c>
    </row>
    <row r="1366" customFormat="false" ht="15" hidden="true" customHeight="false" outlineLevel="1" collapsed="false">
      <c r="A1366" s="20" t="n">
        <v>91</v>
      </c>
      <c r="B1366" s="6" t="s">
        <v>570</v>
      </c>
      <c r="C1366" s="20" t="s">
        <v>71</v>
      </c>
      <c r="D1366" s="23"/>
      <c r="E1366" s="23"/>
      <c r="F1366" s="40" t="n">
        <f aca="false">IF(F$1322=$F$1322,$D$1296,0)</f>
        <v>0.3</v>
      </c>
      <c r="G1366" s="40" t="n">
        <f aca="false">IF(G$1322=$F$1322,$D$1296,0)</f>
        <v>0</v>
      </c>
      <c r="H1366" s="40" t="n">
        <f aca="false">IF(H$1322=$F$1322,$D$1296,0)</f>
        <v>0</v>
      </c>
      <c r="I1366" s="40" t="n">
        <f aca="false">IF(I$1322=$F$1322,$D$1296,0)</f>
        <v>0</v>
      </c>
      <c r="J1366" s="40" t="n">
        <f aca="false">IF(J$1322=$F$1322,$D$1296,0)</f>
        <v>0</v>
      </c>
      <c r="K1366" s="51" t="n">
        <f aca="false">SUM(F1366:J1366)</f>
        <v>0.3</v>
      </c>
      <c r="L1366" s="49" t="s">
        <v>662</v>
      </c>
    </row>
    <row r="1367" customFormat="false" ht="15" hidden="true" customHeight="false" outlineLevel="1" collapsed="false">
      <c r="A1367" s="20" t="n">
        <v>92</v>
      </c>
      <c r="B1367" s="6" t="s">
        <v>663</v>
      </c>
      <c r="C1367" s="20" t="s">
        <v>71</v>
      </c>
      <c r="D1367" s="23"/>
      <c r="E1367" s="23"/>
      <c r="F1367" s="40" t="n">
        <f aca="false">F1357+F1358+F1360+F1361+F1362+F1363+F1364+F1365+F1366</f>
        <v>17.563872</v>
      </c>
      <c r="G1367" s="40" t="n">
        <f aca="false">G1357+G1358+G1360+G1361+G1362+G1363+G1364+G1365+G1366</f>
        <v>19.35667872</v>
      </c>
      <c r="H1367" s="40" t="n">
        <f aca="false">H1357+H1358+H1360+H1361+H1362+H1363+H1364+H1365+H1366</f>
        <v>24.9149907504</v>
      </c>
      <c r="I1367" s="40" t="n">
        <f aca="false">I1357+I1358+I1360+I1361+I1362+I1363+I1364+I1365+I1366</f>
        <v>30.129997605696</v>
      </c>
      <c r="J1367" s="40" t="n">
        <f aca="false">J1357+J1358+J1360+J1361+J1362+J1363+J1364+J1365+J1366</f>
        <v>36.551770652029</v>
      </c>
      <c r="K1367" s="51" t="n">
        <f aca="false">SUM(F1367:J1367)</f>
        <v>128.517309728125</v>
      </c>
      <c r="L1367" s="49"/>
    </row>
    <row r="1368" customFormat="false" ht="15" hidden="true" customHeight="false" outlineLevel="1" collapsed="false">
      <c r="A1368" s="20" t="n">
        <v>93</v>
      </c>
      <c r="B1368" s="6" t="s">
        <v>329</v>
      </c>
      <c r="C1368" s="20" t="s">
        <v>71</v>
      </c>
      <c r="D1368" s="23"/>
      <c r="E1368" s="23"/>
      <c r="F1368" s="40" t="n">
        <f aca="false">F1367*$D$1298</f>
        <v>1.7563872</v>
      </c>
      <c r="G1368" s="40" t="n">
        <f aca="false">G1367*$D$1298</f>
        <v>1.935667872</v>
      </c>
      <c r="H1368" s="40" t="n">
        <f aca="false">H1367*$D$1298</f>
        <v>2.49149907504</v>
      </c>
      <c r="I1368" s="40" t="n">
        <f aca="false">I1367*$D$1298</f>
        <v>3.0129997605696</v>
      </c>
      <c r="J1368" s="40" t="n">
        <f aca="false">J1367*$D$1298</f>
        <v>3.6551770652029</v>
      </c>
      <c r="K1368" s="51" t="n">
        <f aca="false">SUM(F1368:J1368)</f>
        <v>12.8517309728125</v>
      </c>
      <c r="L1368" s="49"/>
    </row>
    <row r="1369" customFormat="false" ht="15" hidden="true" customHeight="false" outlineLevel="1" collapsed="false">
      <c r="A1369" s="20" t="n">
        <v>94</v>
      </c>
      <c r="B1369" s="6" t="s">
        <v>664</v>
      </c>
      <c r="C1369" s="20" t="s">
        <v>71</v>
      </c>
      <c r="D1369" s="23"/>
      <c r="E1369" s="23"/>
      <c r="F1369" s="40" t="n">
        <f aca="false">F1367+F1368</f>
        <v>19.3202592</v>
      </c>
      <c r="G1369" s="40" t="n">
        <f aca="false">G1367+G1368</f>
        <v>21.292346592</v>
      </c>
      <c r="H1369" s="40" t="n">
        <f aca="false">H1367+H1368</f>
        <v>27.40648982544</v>
      </c>
      <c r="I1369" s="40" t="n">
        <f aca="false">I1367+I1368</f>
        <v>33.1429973662656</v>
      </c>
      <c r="J1369" s="40" t="n">
        <f aca="false">J1367+J1368</f>
        <v>40.2069477172319</v>
      </c>
      <c r="K1369" s="51" t="n">
        <f aca="false">SUM(F1369:J1369)</f>
        <v>141.369040700937</v>
      </c>
      <c r="L1369" s="49"/>
    </row>
    <row r="1370" customFormat="false" ht="15" hidden="true" customHeight="false" outlineLevel="1" collapsed="false">
      <c r="A1370" s="19" t="s">
        <v>665</v>
      </c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</row>
    <row r="1371" customFormat="false" ht="15" hidden="true" customHeight="false" outlineLevel="1" collapsed="false">
      <c r="A1371" s="20" t="n">
        <v>95</v>
      </c>
      <c r="B1371" s="6" t="s">
        <v>666</v>
      </c>
      <c r="C1371" s="20" t="s">
        <v>71</v>
      </c>
      <c r="D1371" s="23"/>
      <c r="E1371" s="23"/>
      <c r="F1371" s="40" t="n">
        <f aca="false">F1340-F1369</f>
        <v>-11.3202592</v>
      </c>
      <c r="G1371" s="40" t="n">
        <f aca="false">G1340-G1369</f>
        <v>-3.442346592</v>
      </c>
      <c r="H1371" s="40" t="n">
        <f aca="false">H1340-H1369</f>
        <v>6.65042423706</v>
      </c>
      <c r="I1371" s="40" t="n">
        <f aca="false">I1340-I1369</f>
        <v>10.2216515772713</v>
      </c>
      <c r="J1371" s="40" t="n">
        <f aca="false">J1340-J1369</f>
        <v>27.5700045149015</v>
      </c>
      <c r="K1371" s="51" t="n">
        <f aca="false">SUM(F1371:J1371)</f>
        <v>29.6794745372328</v>
      </c>
      <c r="L1371" s="49" t="s">
        <v>667</v>
      </c>
    </row>
    <row r="1372" customFormat="false" ht="15" hidden="true" customHeight="false" outlineLevel="1" collapsed="false">
      <c r="A1372" s="20" t="n">
        <v>96</v>
      </c>
      <c r="B1372" s="6" t="s">
        <v>668</v>
      </c>
      <c r="C1372" s="20" t="s">
        <v>68</v>
      </c>
      <c r="D1372" s="23"/>
      <c r="E1372" s="23"/>
      <c r="F1372" s="44" t="n">
        <f aca="false">IF(F1340&gt;0,F1371/F1340,0)</f>
        <v>-1.4150324</v>
      </c>
      <c r="G1372" s="44" t="n">
        <f aca="false">IF(G1340&gt;0,G1371/G1340,0)</f>
        <v>-0.192848548571429</v>
      </c>
      <c r="H1372" s="44" t="n">
        <f aca="false">IF(H1340&gt;0,H1371/H1340,0)</f>
        <v>0.195273835581679</v>
      </c>
      <c r="I1372" s="44" t="n">
        <f aca="false">IF(I1340&gt;0,I1371/I1340,0)</f>
        <v>0.235713924274597</v>
      </c>
      <c r="J1372" s="44" t="n">
        <f aca="false">IF(J1340&gt;0,J1371/J1340,0)</f>
        <v>0.406775513016214</v>
      </c>
      <c r="K1372" s="23"/>
      <c r="L1372" s="49"/>
    </row>
    <row r="1373" customFormat="false" ht="15" hidden="true" customHeight="false" outlineLevel="1" collapsed="false">
      <c r="A1373" s="20" t="n">
        <v>97</v>
      </c>
      <c r="B1373" s="6" t="s">
        <v>669</v>
      </c>
      <c r="C1373" s="20" t="s">
        <v>71</v>
      </c>
      <c r="D1373" s="23"/>
      <c r="E1373" s="23"/>
      <c r="F1373" s="40" t="n">
        <f aca="false">E1377</f>
        <v>0</v>
      </c>
      <c r="G1373" s="40" t="n">
        <f aca="false">F1377</f>
        <v>11.3202592</v>
      </c>
      <c r="H1373" s="40" t="n">
        <f aca="false">G1377</f>
        <v>14.762605792</v>
      </c>
      <c r="I1373" s="40" t="n">
        <f aca="false">H1377</f>
        <v>11.43739367347</v>
      </c>
      <c r="J1373" s="40" t="n">
        <f aca="false">I1377</f>
        <v>6.32656788483433</v>
      </c>
      <c r="K1373" s="23"/>
      <c r="L1373" s="49"/>
    </row>
    <row r="1374" customFormat="false" ht="15" hidden="true" customHeight="false" outlineLevel="1" collapsed="false">
      <c r="A1374" s="20" t="n">
        <v>98</v>
      </c>
      <c r="B1374" s="6" t="s">
        <v>670</v>
      </c>
      <c r="C1374" s="20" t="s">
        <v>71</v>
      </c>
      <c r="D1374" s="23"/>
      <c r="E1374" s="23"/>
      <c r="F1374" s="40" t="n">
        <f aca="false">MIN(F1373,MAX(0,F1371)*$D$1300)</f>
        <v>0</v>
      </c>
      <c r="G1374" s="40" t="n">
        <f aca="false">MIN(G1373,MAX(0,G1371)*$D$1300)</f>
        <v>0</v>
      </c>
      <c r="H1374" s="40" t="n">
        <f aca="false">MIN(H1373,MAX(0,H1371)*$D$1300)</f>
        <v>3.32521211853</v>
      </c>
      <c r="I1374" s="40" t="n">
        <f aca="false">MIN(I1373,MAX(0,I1371)*$D$1300)</f>
        <v>5.11082578863567</v>
      </c>
      <c r="J1374" s="40" t="n">
        <f aca="false">MIN(J1373,MAX(0,J1371)*$D$1300)</f>
        <v>6.32656788483433</v>
      </c>
      <c r="K1374" s="23"/>
      <c r="L1374" s="49" t="s">
        <v>671</v>
      </c>
    </row>
    <row r="1375" customFormat="false" ht="15" hidden="true" customHeight="false" outlineLevel="1" collapsed="false">
      <c r="A1375" s="20" t="n">
        <v>99</v>
      </c>
      <c r="B1375" s="6" t="s">
        <v>672</v>
      </c>
      <c r="C1375" s="20" t="s">
        <v>71</v>
      </c>
      <c r="D1375" s="23"/>
      <c r="E1375" s="23"/>
      <c r="F1375" s="40" t="n">
        <f aca="false">MAX(0,F1371)-F1374</f>
        <v>0</v>
      </c>
      <c r="G1375" s="40" t="n">
        <f aca="false">MAX(0,G1371)-G1374</f>
        <v>0</v>
      </c>
      <c r="H1375" s="40" t="n">
        <f aca="false">MAX(0,H1371)-H1374</f>
        <v>3.32521211853</v>
      </c>
      <c r="I1375" s="40" t="n">
        <f aca="false">MAX(0,I1371)-I1374</f>
        <v>5.11082578863567</v>
      </c>
      <c r="J1375" s="40" t="n">
        <f aca="false">MAX(0,J1371)-J1374</f>
        <v>21.2434366300671</v>
      </c>
      <c r="K1375" s="23"/>
      <c r="L1375" s="49"/>
    </row>
    <row r="1376" customFormat="false" ht="15" hidden="true" customHeight="false" outlineLevel="1" collapsed="false">
      <c r="A1376" s="20" t="n">
        <v>100</v>
      </c>
      <c r="B1376" s="6" t="s">
        <v>572</v>
      </c>
      <c r="C1376" s="20" t="s">
        <v>71</v>
      </c>
      <c r="D1376" s="23"/>
      <c r="E1376" s="23"/>
      <c r="F1376" s="40" t="n">
        <f aca="false">F1375*$D$1299</f>
        <v>0</v>
      </c>
      <c r="G1376" s="40" t="n">
        <f aca="false">G1375*$D$1299</f>
        <v>0</v>
      </c>
      <c r="H1376" s="40" t="n">
        <f aca="false">H1375*$D$1299</f>
        <v>0.1662606059265</v>
      </c>
      <c r="I1376" s="40" t="n">
        <f aca="false">I1375*$D$1299</f>
        <v>0.255541289431783</v>
      </c>
      <c r="J1376" s="40" t="n">
        <f aca="false">J1375*$D$1299</f>
        <v>1.06217183150336</v>
      </c>
      <c r="K1376" s="51" t="n">
        <f aca="false">SUM(F1376:J1376)</f>
        <v>1.48397372686164</v>
      </c>
      <c r="L1376" s="49"/>
    </row>
    <row r="1377" customFormat="false" ht="15" hidden="true" customHeight="false" outlineLevel="1" collapsed="false">
      <c r="A1377" s="20" t="n">
        <v>101</v>
      </c>
      <c r="B1377" s="6" t="s">
        <v>673</v>
      </c>
      <c r="C1377" s="20" t="s">
        <v>71</v>
      </c>
      <c r="D1377" s="23"/>
      <c r="E1377" s="40" t="n">
        <f aca="false">0</f>
        <v>0</v>
      </c>
      <c r="F1377" s="40" t="n">
        <f aca="false">F1373-F1374+MAX(0,-F1371)</f>
        <v>11.3202592</v>
      </c>
      <c r="G1377" s="40" t="n">
        <f aca="false">G1373-G1374+MAX(0,-G1371)</f>
        <v>14.762605792</v>
      </c>
      <c r="H1377" s="40" t="n">
        <f aca="false">H1373-H1374+MAX(0,-H1371)</f>
        <v>11.43739367347</v>
      </c>
      <c r="I1377" s="40" t="n">
        <f aca="false">I1373-I1374+MAX(0,-I1371)</f>
        <v>6.32656788483433</v>
      </c>
      <c r="J1377" s="40" t="n">
        <f aca="false">J1373-J1374+MAX(0,-J1371)</f>
        <v>0</v>
      </c>
      <c r="K1377" s="23"/>
      <c r="L1377" s="49"/>
    </row>
    <row r="1378" customFormat="false" ht="15" hidden="true" customHeight="false" outlineLevel="1" collapsed="false">
      <c r="A1378" s="20" t="n">
        <v>102</v>
      </c>
      <c r="B1378" s="6" t="s">
        <v>674</v>
      </c>
      <c r="C1378" s="20" t="s">
        <v>71</v>
      </c>
      <c r="D1378" s="23"/>
      <c r="E1378" s="23"/>
      <c r="F1378" s="40" t="n">
        <f aca="false">F1371-F1376</f>
        <v>-11.3202592</v>
      </c>
      <c r="G1378" s="40" t="n">
        <f aca="false">G1371-G1376</f>
        <v>-3.442346592</v>
      </c>
      <c r="H1378" s="40" t="n">
        <f aca="false">H1371-H1376</f>
        <v>6.4841636311335</v>
      </c>
      <c r="I1378" s="40" t="n">
        <f aca="false">I1371-I1376</f>
        <v>9.96611028783955</v>
      </c>
      <c r="J1378" s="40" t="n">
        <f aca="false">J1371-J1376</f>
        <v>26.5078326833981</v>
      </c>
      <c r="K1378" s="51" t="n">
        <f aca="false">SUM(F1378:J1378)</f>
        <v>28.1955008103712</v>
      </c>
      <c r="L1378" s="49"/>
    </row>
    <row r="1379" customFormat="false" ht="15" hidden="true" customHeight="false" outlineLevel="1" collapsed="false">
      <c r="A1379" s="19" t="s">
        <v>675</v>
      </c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</row>
    <row r="1380" customFormat="false" ht="15" hidden="true" customHeight="false" outlineLevel="1" collapsed="false">
      <c r="A1380" s="20" t="n">
        <v>103</v>
      </c>
      <c r="B1380" s="6" t="s">
        <v>676</v>
      </c>
      <c r="C1380" s="20" t="s">
        <v>71</v>
      </c>
      <c r="D1380" s="23"/>
      <c r="E1380" s="40" t="n">
        <f aca="false">0</f>
        <v>0</v>
      </c>
      <c r="F1380" s="40" t="n">
        <f aca="false">F1340*$D$1301/365</f>
        <v>1.97260273972603</v>
      </c>
      <c r="G1380" s="40" t="n">
        <f aca="false">G1340*$D$1301/365</f>
        <v>4.4013698630137</v>
      </c>
      <c r="H1380" s="40" t="n">
        <f aca="false">H1340*$D$1301/365</f>
        <v>8.39759524828767</v>
      </c>
      <c r="I1380" s="40" t="n">
        <f aca="false">I1340*$D$1301/365</f>
        <v>10.6926531641598</v>
      </c>
      <c r="J1380" s="40" t="n">
        <f aca="false">J1340*$D$1301/365</f>
        <v>16.7121252079233</v>
      </c>
      <c r="K1380" s="23"/>
      <c r="L1380" s="49" t="s">
        <v>677</v>
      </c>
    </row>
    <row r="1381" customFormat="false" ht="15" hidden="true" customHeight="false" outlineLevel="1" collapsed="false">
      <c r="A1381" s="20" t="n">
        <v>104</v>
      </c>
      <c r="B1381" s="6" t="s">
        <v>678</v>
      </c>
      <c r="C1381" s="20" t="s">
        <v>71</v>
      </c>
      <c r="D1381" s="23"/>
      <c r="E1381" s="23"/>
      <c r="F1381" s="40" t="n">
        <f aca="false">F1380-E1380</f>
        <v>1.97260273972603</v>
      </c>
      <c r="G1381" s="40" t="n">
        <f aca="false">G1380-F1380</f>
        <v>2.42876712328767</v>
      </c>
      <c r="H1381" s="40" t="n">
        <f aca="false">H1380-G1380</f>
        <v>3.99622538527397</v>
      </c>
      <c r="I1381" s="40" t="n">
        <f aca="false">I1380-H1380</f>
        <v>2.29505791587212</v>
      </c>
      <c r="J1381" s="40" t="n">
        <f aca="false">J1380-I1380</f>
        <v>6.0194720437635</v>
      </c>
      <c r="K1381" s="51" t="n">
        <f aca="false">SUM(F1381:J1381)</f>
        <v>16.7121252079233</v>
      </c>
      <c r="L1381" s="49"/>
    </row>
    <row r="1382" customFormat="false" ht="15" hidden="true" customHeight="false" outlineLevel="1" collapsed="false">
      <c r="A1382" s="20" t="n">
        <v>105</v>
      </c>
      <c r="B1382" s="6" t="s">
        <v>679</v>
      </c>
      <c r="C1382" s="20" t="s">
        <v>71</v>
      </c>
      <c r="D1382" s="23"/>
      <c r="E1382" s="23"/>
      <c r="F1382" s="40" t="n">
        <f aca="false">F1378-F1381</f>
        <v>-13.292861939726</v>
      </c>
      <c r="G1382" s="40" t="n">
        <f aca="false">G1378-G1381</f>
        <v>-5.87111371528767</v>
      </c>
      <c r="H1382" s="40" t="n">
        <f aca="false">H1378-H1381</f>
        <v>2.48793824585953</v>
      </c>
      <c r="I1382" s="40" t="n">
        <f aca="false">I1378-I1381</f>
        <v>7.67105237196743</v>
      </c>
      <c r="J1382" s="40" t="n">
        <f aca="false">J1378-J1381</f>
        <v>20.4883606396346</v>
      </c>
      <c r="K1382" s="51" t="n">
        <f aca="false">SUM(F1382:J1382)</f>
        <v>11.4833756024479</v>
      </c>
      <c r="L1382" s="49" t="s">
        <v>680</v>
      </c>
    </row>
    <row r="1383" customFormat="false" ht="15" hidden="true" customHeight="false" outlineLevel="1" collapsed="false">
      <c r="A1383" s="20" t="n">
        <v>106</v>
      </c>
      <c r="B1383" s="6" t="s">
        <v>93</v>
      </c>
      <c r="C1383" s="20" t="s">
        <v>71</v>
      </c>
      <c r="D1383" s="23"/>
      <c r="E1383" s="40" t="n">
        <f aca="false">0</f>
        <v>0</v>
      </c>
      <c r="F1383" s="40" t="n">
        <f aca="false">E1383+F1382</f>
        <v>-13.292861939726</v>
      </c>
      <c r="G1383" s="40" t="n">
        <f aca="false">F1383+G1382</f>
        <v>-19.1639756550137</v>
      </c>
      <c r="H1383" s="40" t="n">
        <f aca="false">G1383+H1382</f>
        <v>-16.6760374091542</v>
      </c>
      <c r="I1383" s="40" t="n">
        <f aca="false">H1383+I1382</f>
        <v>-9.00498503718675</v>
      </c>
      <c r="J1383" s="40" t="n">
        <f aca="false">I1383+J1382</f>
        <v>11.4833756024479</v>
      </c>
      <c r="K1383" s="23"/>
      <c r="L1383" s="49" t="s">
        <v>681</v>
      </c>
    </row>
    <row r="1384" customFormat="false" ht="15" hidden="true" customHeight="false" outlineLevel="1" collapsed="false">
      <c r="A1384" s="20" t="n">
        <v>107</v>
      </c>
      <c r="B1384" s="6" t="s">
        <v>682</v>
      </c>
      <c r="C1384" s="20"/>
      <c r="D1384" s="23"/>
      <c r="E1384" s="23"/>
      <c r="F1384" s="53" t="n">
        <f aca="false">1/(1+$D$1302)^(F$1322-$E$1322)</f>
        <v>0.769230769230769</v>
      </c>
      <c r="G1384" s="53" t="n">
        <f aca="false">1/(1+$D$1302)^(G$1322-$E$1322)</f>
        <v>0.591715976331361</v>
      </c>
      <c r="H1384" s="53" t="n">
        <f aca="false">1/(1+$D$1302)^(H$1322-$E$1322)</f>
        <v>0.455166135639508</v>
      </c>
      <c r="I1384" s="53" t="n">
        <f aca="false">1/(1+$D$1302)^(I$1322-$E$1322)</f>
        <v>0.350127796645776</v>
      </c>
      <c r="J1384" s="53" t="n">
        <f aca="false">1/(1+$D$1302)^(J$1322-$E$1322)</f>
        <v>0.269329074342904</v>
      </c>
      <c r="K1384" s="23"/>
      <c r="L1384" s="49" t="s">
        <v>683</v>
      </c>
    </row>
    <row r="1385" customFormat="false" ht="15" hidden="true" customHeight="false" outlineLevel="1" collapsed="false">
      <c r="A1385" s="20" t="n">
        <v>108</v>
      </c>
      <c r="B1385" s="6" t="s">
        <v>684</v>
      </c>
      <c r="C1385" s="20" t="s">
        <v>71</v>
      </c>
      <c r="D1385" s="23"/>
      <c r="E1385" s="23"/>
      <c r="F1385" s="40" t="n">
        <f aca="false">F1382*F1384</f>
        <v>-10.2252784151739</v>
      </c>
      <c r="G1385" s="40" t="n">
        <f aca="false">G1382*G1384</f>
        <v>-3.47403178419389</v>
      </c>
      <c r="H1385" s="40" t="n">
        <f aca="false">H1382*H1384</f>
        <v>1.13242523707762</v>
      </c>
      <c r="I1385" s="40" t="n">
        <f aca="false">I1382*I1384</f>
        <v>2.68584866495131</v>
      </c>
      <c r="J1385" s="40" t="n">
        <f aca="false">J1382*J1384</f>
        <v>5.51811120587639</v>
      </c>
      <c r="K1385" s="51" t="n">
        <f aca="false">SUM(F1385:J1385)</f>
        <v>-4.36292509146244</v>
      </c>
      <c r="L1385" s="49"/>
    </row>
    <row r="1386" customFormat="false" ht="15" hidden="true" customHeight="false" outlineLevel="1" collapsed="false">
      <c r="A1386" s="20" t="n">
        <v>109</v>
      </c>
      <c r="B1386" s="6" t="s">
        <v>685</v>
      </c>
      <c r="C1386" s="20" t="s">
        <v>71</v>
      </c>
      <c r="D1386" s="23"/>
      <c r="E1386" s="23"/>
      <c r="F1386" s="40" t="n">
        <f aca="false">IF(F$1322=$J$1322,MAX(0,F1382)*(1+$D$1303)/($D$1302-$D$1303),0)</f>
        <v>0</v>
      </c>
      <c r="G1386" s="40" t="n">
        <f aca="false">IF(G$1322=$J$1322,MAX(0,G1382)*(1+$D$1303)/($D$1302-$D$1303),0)</f>
        <v>0</v>
      </c>
      <c r="H1386" s="40" t="n">
        <f aca="false">IF(H$1322=$J$1322,MAX(0,H1382)*(1+$D$1303)/($D$1302-$D$1303),0)</f>
        <v>0</v>
      </c>
      <c r="I1386" s="40" t="n">
        <f aca="false">IF(I$1322=$J$1322,MAX(0,I1382)*(1+$D$1303)/($D$1302-$D$1303),0)</f>
        <v>0</v>
      </c>
      <c r="J1386" s="40" t="n">
        <f aca="false">IF(J$1322=$J$1322,MAX(0,J1382)*(1+$D$1303)/($D$1302-$D$1303),0)</f>
        <v>81.9534425585385</v>
      </c>
      <c r="K1386" s="23"/>
      <c r="L1386" s="49" t="s">
        <v>686</v>
      </c>
    </row>
    <row r="1387" customFormat="false" ht="15" hidden="true" customHeight="false" outlineLevel="1" collapsed="false">
      <c r="A1387" s="20" t="n">
        <v>110</v>
      </c>
      <c r="B1387" s="6" t="s">
        <v>687</v>
      </c>
      <c r="C1387" s="20" t="s">
        <v>71</v>
      </c>
      <c r="D1387" s="23"/>
      <c r="E1387" s="23"/>
      <c r="F1387" s="40" t="n">
        <f aca="false">F1386*F1384</f>
        <v>0</v>
      </c>
      <c r="G1387" s="40" t="n">
        <f aca="false">G1386*G1384</f>
        <v>0</v>
      </c>
      <c r="H1387" s="40" t="n">
        <f aca="false">H1386*H1384</f>
        <v>0</v>
      </c>
      <c r="I1387" s="40" t="n">
        <f aca="false">I1386*I1384</f>
        <v>0</v>
      </c>
      <c r="J1387" s="40" t="n">
        <f aca="false">J1386*J1384</f>
        <v>22.0724448235056</v>
      </c>
      <c r="K1387" s="51" t="n">
        <f aca="false">SUM(F1387:J1387)</f>
        <v>22.0724448235056</v>
      </c>
      <c r="L1387" s="49"/>
    </row>
    <row r="1388" customFormat="false" ht="15" hidden="true" customHeight="false" outlineLevel="1" collapsed="false">
      <c r="A1388" s="20" t="n">
        <v>111</v>
      </c>
      <c r="B1388" s="6" t="s">
        <v>688</v>
      </c>
      <c r="C1388" s="20" t="s">
        <v>71</v>
      </c>
      <c r="D1388" s="23"/>
      <c r="E1388" s="23"/>
      <c r="F1388" s="40" t="n">
        <f aca="false">F1382+F1386</f>
        <v>-13.292861939726</v>
      </c>
      <c r="G1388" s="40" t="n">
        <f aca="false">G1382+G1386</f>
        <v>-5.87111371528767</v>
      </c>
      <c r="H1388" s="40" t="n">
        <f aca="false">H1382+H1386</f>
        <v>2.48793824585953</v>
      </c>
      <c r="I1388" s="40" t="n">
        <f aca="false">I1382+I1386</f>
        <v>7.67105237196743</v>
      </c>
      <c r="J1388" s="40" t="n">
        <f aca="false">J1382+J1386</f>
        <v>102.441803198173</v>
      </c>
      <c r="K1388" s="23"/>
      <c r="L1388" s="49" t="s">
        <v>689</v>
      </c>
    </row>
    <row r="1389" customFormat="false" ht="15" hidden="true" customHeight="false" outlineLevel="1" collapsed="false">
      <c r="A1389" s="20" t="n">
        <v>112</v>
      </c>
      <c r="B1389" s="6" t="s">
        <v>690</v>
      </c>
      <c r="C1389" s="20"/>
      <c r="D1389" s="23"/>
      <c r="E1389" s="23"/>
      <c r="F1389" s="52" t="str">
        <f aca="false">IF(AND(F1371&gt;0,COUNTIF($F$1371:F$1371,"&gt;0")=1),F$1322,"")</f>
        <v/>
      </c>
      <c r="G1389" s="52" t="str">
        <f aca="false">IF(AND(G1371&gt;0,COUNTIF($F$1371:G$1371,"&gt;0")=1),G$1322,"")</f>
        <v/>
      </c>
      <c r="H1389" s="52" t="n">
        <f aca="false">IF(AND(H1371&gt;0,COUNTIF($F$1371:H$1371,"&gt;0")=1),H$1322,"")</f>
        <v>2029</v>
      </c>
      <c r="I1389" s="52" t="str">
        <f aca="false">IF(AND(I1371&gt;0,COUNTIF($F$1371:I$1371,"&gt;0")=1),I$1322,"")</f>
        <v/>
      </c>
      <c r="J1389" s="52" t="str">
        <f aca="false">IF(AND(J1371&gt;0,COUNTIF($F$1371:J$1371,"&gt;0")=1),J$1322,"")</f>
        <v/>
      </c>
      <c r="K1389" s="23"/>
      <c r="L1389" s="49" t="s">
        <v>691</v>
      </c>
    </row>
    <row r="1390" customFormat="false" ht="15" hidden="true" customHeight="false" outlineLevel="1" collapsed="false">
      <c r="A1390" s="20" t="n">
        <v>113</v>
      </c>
      <c r="B1390" s="6" t="s">
        <v>692</v>
      </c>
      <c r="C1390" s="20"/>
      <c r="D1390" s="23"/>
      <c r="E1390" s="23"/>
      <c r="F1390" s="52" t="str">
        <f aca="false">IF(AND(F1383&gt;0,COUNTIF($F$1383:F$1383,"&gt;0")=1),F$1322,"")</f>
        <v/>
      </c>
      <c r="G1390" s="52" t="str">
        <f aca="false">IF(AND(G1383&gt;0,COUNTIF($F$1383:G$1383,"&gt;0")=1),G$1322,"")</f>
        <v/>
      </c>
      <c r="H1390" s="52" t="str">
        <f aca="false">IF(AND(H1383&gt;0,COUNTIF($F$1383:H$1383,"&gt;0")=1),H$1322,"")</f>
        <v/>
      </c>
      <c r="I1390" s="52" t="str">
        <f aca="false">IF(AND(I1383&gt;0,COUNTIF($F$1383:I$1383,"&gt;0")=1),I$1322,"")</f>
        <v/>
      </c>
      <c r="J1390" s="52" t="n">
        <f aca="false">IF(AND(J1383&gt;0,COUNTIF($F$1383:J$1383,"&gt;0")=1),J$1322,"")</f>
        <v>2031</v>
      </c>
      <c r="K1390" s="23"/>
      <c r="L1390" s="49" t="s">
        <v>691</v>
      </c>
    </row>
    <row r="1391" customFormat="false" ht="15" hidden="true" customHeight="false" outlineLevel="1" collapsed="false">
      <c r="A1391" s="19" t="s">
        <v>693</v>
      </c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</row>
    <row r="1392" customFormat="false" ht="15" hidden="true" customHeight="false" outlineLevel="1" collapsed="false">
      <c r="A1392" s="20" t="n">
        <v>114</v>
      </c>
      <c r="B1392" s="6" t="s">
        <v>70</v>
      </c>
      <c r="C1392" s="20" t="s">
        <v>71</v>
      </c>
      <c r="D1392" s="51" t="n">
        <f aca="false">SUM(F1340:J1340)</f>
        <v>171.04851523817</v>
      </c>
      <c r="E1392" s="23"/>
      <c r="F1392" s="23"/>
      <c r="G1392" s="23"/>
      <c r="H1392" s="23"/>
      <c r="I1392" s="23"/>
      <c r="J1392" s="23"/>
      <c r="K1392" s="23"/>
      <c r="L1392" s="49"/>
    </row>
    <row r="1393" customFormat="false" ht="15" hidden="true" customHeight="false" outlineLevel="1" collapsed="false">
      <c r="A1393" s="20" t="n">
        <v>115</v>
      </c>
      <c r="B1393" s="6" t="s">
        <v>694</v>
      </c>
      <c r="C1393" s="20" t="s">
        <v>71</v>
      </c>
      <c r="D1393" s="51" t="n">
        <f aca="false">J1340</f>
        <v>67.7769522321333</v>
      </c>
      <c r="E1393" s="23"/>
      <c r="F1393" s="23"/>
      <c r="G1393" s="23"/>
      <c r="H1393" s="23"/>
      <c r="I1393" s="23"/>
      <c r="J1393" s="23"/>
      <c r="K1393" s="23"/>
      <c r="L1393" s="49"/>
    </row>
    <row r="1394" customFormat="false" ht="15" hidden="true" customHeight="false" outlineLevel="1" collapsed="false">
      <c r="A1394" s="20" t="n">
        <v>116</v>
      </c>
      <c r="B1394" s="6" t="s">
        <v>695</v>
      </c>
      <c r="C1394" s="20" t="s">
        <v>71</v>
      </c>
      <c r="D1394" s="51" t="n">
        <f aca="false">J1341</f>
        <v>74.6329671070812</v>
      </c>
      <c r="E1394" s="23"/>
      <c r="F1394" s="23"/>
      <c r="G1394" s="23"/>
      <c r="H1394" s="23"/>
      <c r="I1394" s="23"/>
      <c r="J1394" s="23"/>
      <c r="K1394" s="23"/>
      <c r="L1394" s="49"/>
    </row>
    <row r="1395" customFormat="false" ht="15" hidden="true" customHeight="false" outlineLevel="1" collapsed="false">
      <c r="A1395" s="20" t="n">
        <v>117</v>
      </c>
      <c r="B1395" s="6" t="s">
        <v>696</v>
      </c>
      <c r="C1395" s="20" t="s">
        <v>71</v>
      </c>
      <c r="D1395" s="51" t="n">
        <f aca="false">J1371</f>
        <v>27.5700045149015</v>
      </c>
      <c r="E1395" s="23"/>
      <c r="F1395" s="23"/>
      <c r="G1395" s="23"/>
      <c r="H1395" s="23"/>
      <c r="I1395" s="23"/>
      <c r="J1395" s="23"/>
      <c r="K1395" s="23"/>
      <c r="L1395" s="49"/>
    </row>
    <row r="1396" customFormat="false" ht="15" hidden="true" customHeight="false" outlineLevel="1" collapsed="false">
      <c r="A1396" s="20" t="n">
        <v>118</v>
      </c>
      <c r="B1396" s="6" t="s">
        <v>697</v>
      </c>
      <c r="C1396" s="20" t="s">
        <v>76</v>
      </c>
      <c r="D1396" s="54" t="n">
        <f aca="false">J1332</f>
        <v>11</v>
      </c>
      <c r="E1396" s="23"/>
      <c r="F1396" s="23"/>
      <c r="G1396" s="23"/>
      <c r="H1396" s="23"/>
      <c r="I1396" s="23"/>
      <c r="J1396" s="23"/>
      <c r="K1396" s="23"/>
      <c r="L1396" s="49"/>
    </row>
    <row r="1397" customFormat="false" ht="15" hidden="true" customHeight="false" outlineLevel="1" collapsed="false">
      <c r="A1397" s="20" t="n">
        <v>119</v>
      </c>
      <c r="B1397" s="6" t="s">
        <v>698</v>
      </c>
      <c r="C1397" s="20" t="s">
        <v>53</v>
      </c>
      <c r="D1397" s="51" t="n">
        <f aca="false">J1343</f>
        <v>8</v>
      </c>
      <c r="E1397" s="23"/>
      <c r="F1397" s="23"/>
      <c r="G1397" s="23"/>
      <c r="H1397" s="23"/>
      <c r="I1397" s="23"/>
      <c r="J1397" s="23"/>
      <c r="K1397" s="23"/>
      <c r="L1397" s="49"/>
    </row>
    <row r="1398" customFormat="false" ht="15" hidden="true" customHeight="false" outlineLevel="1" collapsed="false">
      <c r="A1398" s="20" t="n">
        <v>120</v>
      </c>
      <c r="B1398" s="6" t="s">
        <v>699</v>
      </c>
      <c r="C1398" s="20" t="s">
        <v>71</v>
      </c>
      <c r="D1398" s="51" t="n">
        <f aca="false">MIN(0,MIN(F1383:J1383))</f>
        <v>-19.1639756550137</v>
      </c>
      <c r="E1398" s="23"/>
      <c r="F1398" s="23"/>
      <c r="G1398" s="23"/>
      <c r="H1398" s="23"/>
      <c r="I1398" s="23"/>
      <c r="J1398" s="23"/>
      <c r="K1398" s="23"/>
      <c r="L1398" s="49"/>
    </row>
    <row r="1399" customFormat="false" ht="15" hidden="true" customHeight="false" outlineLevel="1" collapsed="false">
      <c r="A1399" s="20" t="n">
        <v>121</v>
      </c>
      <c r="B1399" s="6" t="s">
        <v>700</v>
      </c>
      <c r="C1399" s="20" t="s">
        <v>71</v>
      </c>
      <c r="D1399" s="51" t="n">
        <f aca="false">-$D$1398*(1+$D$1304)</f>
        <v>22.9967707860164</v>
      </c>
      <c r="E1399" s="23"/>
      <c r="F1399" s="23"/>
      <c r="G1399" s="23"/>
      <c r="H1399" s="23"/>
      <c r="I1399" s="23"/>
      <c r="J1399" s="23"/>
      <c r="K1399" s="23"/>
      <c r="L1399" s="49"/>
    </row>
    <row r="1400" customFormat="false" ht="15" hidden="true" customHeight="false" outlineLevel="1" collapsed="false">
      <c r="A1400" s="20" t="n">
        <v>122</v>
      </c>
      <c r="B1400" s="6" t="s">
        <v>701</v>
      </c>
      <c r="C1400" s="20" t="s">
        <v>71</v>
      </c>
      <c r="D1400" s="51" t="n">
        <f aca="false">J1383</f>
        <v>11.4833756024479</v>
      </c>
      <c r="E1400" s="23"/>
      <c r="F1400" s="23"/>
      <c r="G1400" s="23"/>
      <c r="H1400" s="23"/>
      <c r="I1400" s="23"/>
      <c r="J1400" s="23"/>
      <c r="K1400" s="23"/>
      <c r="L1400" s="49"/>
    </row>
    <row r="1401" customFormat="false" ht="15" hidden="true" customHeight="false" outlineLevel="1" collapsed="false">
      <c r="A1401" s="20" t="n">
        <v>123</v>
      </c>
      <c r="B1401" s="6" t="s">
        <v>702</v>
      </c>
      <c r="C1401" s="20" t="s">
        <v>71</v>
      </c>
      <c r="D1401" s="51" t="n">
        <f aca="false">SUM(F1385:J1385)</f>
        <v>-4.36292509146244</v>
      </c>
      <c r="E1401" s="23"/>
      <c r="F1401" s="23"/>
      <c r="G1401" s="23"/>
      <c r="H1401" s="23"/>
      <c r="I1401" s="23"/>
      <c r="J1401" s="23"/>
      <c r="K1401" s="23"/>
      <c r="L1401" s="49"/>
    </row>
    <row r="1402" customFormat="false" ht="15" hidden="true" customHeight="false" outlineLevel="1" collapsed="false">
      <c r="A1402" s="20" t="n">
        <v>124</v>
      </c>
      <c r="B1402" s="6" t="s">
        <v>82</v>
      </c>
      <c r="C1402" s="20" t="s">
        <v>71</v>
      </c>
      <c r="D1402" s="51" t="n">
        <f aca="false">SUM(F1385:J1385)+SUM(F1387:J1387)</f>
        <v>17.7095197320431</v>
      </c>
      <c r="E1402" s="23"/>
      <c r="F1402" s="23"/>
      <c r="G1402" s="23"/>
      <c r="H1402" s="23"/>
      <c r="I1402" s="23"/>
      <c r="J1402" s="23"/>
      <c r="K1402" s="23"/>
      <c r="L1402" s="49"/>
    </row>
    <row r="1403" customFormat="false" ht="15" hidden="true" customHeight="false" outlineLevel="1" collapsed="false">
      <c r="A1403" s="20" t="n">
        <v>125</v>
      </c>
      <c r="B1403" s="6" t="s">
        <v>83</v>
      </c>
      <c r="C1403" s="20" t="s">
        <v>68</v>
      </c>
      <c r="D1403" s="55" t="n">
        <f aca="false">IFERROR(IRR(F1388:J1388),"н/д")</f>
        <v>0.638708867041936</v>
      </c>
      <c r="E1403" s="23"/>
      <c r="F1403" s="23"/>
      <c r="G1403" s="23"/>
      <c r="H1403" s="23"/>
      <c r="I1403" s="23"/>
      <c r="J1403" s="23"/>
      <c r="K1403" s="23"/>
      <c r="L1403" s="49"/>
    </row>
    <row r="1404" customFormat="false" ht="15" hidden="true" customHeight="false" outlineLevel="1" collapsed="false">
      <c r="A1404" s="20" t="n">
        <v>126</v>
      </c>
      <c r="B1404" s="6" t="s">
        <v>13</v>
      </c>
      <c r="C1404" s="20" t="s">
        <v>79</v>
      </c>
      <c r="D1404" s="56" t="n">
        <f aca="false">IF(COUNT(F1389:J1389)=0,"после 2031",MIN(F1389:J1389))</f>
        <v>2029</v>
      </c>
      <c r="E1404" s="23"/>
      <c r="F1404" s="23"/>
      <c r="G1404" s="23"/>
      <c r="H1404" s="23"/>
      <c r="I1404" s="23"/>
      <c r="J1404" s="23"/>
      <c r="K1404" s="23"/>
      <c r="L1404" s="49"/>
    </row>
    <row r="1405" customFormat="false" ht="15" hidden="true" customHeight="false" outlineLevel="1" collapsed="false">
      <c r="A1405" s="20" t="n">
        <v>127</v>
      </c>
      <c r="B1405" s="6" t="s">
        <v>703</v>
      </c>
      <c r="C1405" s="20" t="s">
        <v>79</v>
      </c>
      <c r="D1405" s="56" t="n">
        <f aca="false">IF(COUNT(F1390:J1390)=0,"после 2031",MIN(F1390:J1390))</f>
        <v>2031</v>
      </c>
      <c r="E1405" s="23"/>
      <c r="F1405" s="23"/>
      <c r="G1405" s="23"/>
      <c r="H1405" s="23"/>
      <c r="I1405" s="23"/>
      <c r="J1405" s="23"/>
      <c r="K1405" s="23"/>
      <c r="L1405" s="49"/>
    </row>
    <row r="1408" customFormat="false" ht="15" hidden="true" customHeight="false" outlineLevel="1" collapsed="false">
      <c r="A1408" s="57" t="s">
        <v>733</v>
      </c>
    </row>
    <row r="1409" customFormat="false" ht="30" hidden="true" customHeight="true" outlineLevel="1" collapsed="false">
      <c r="A1409" s="4" t="s">
        <v>49</v>
      </c>
      <c r="B1409" s="4" t="s">
        <v>3</v>
      </c>
      <c r="C1409" s="5" t="s">
        <v>50</v>
      </c>
      <c r="D1409" s="5" t="s">
        <v>551</v>
      </c>
      <c r="E1409" s="5" t="s">
        <v>356</v>
      </c>
      <c r="F1409" s="5" t="s">
        <v>86</v>
      </c>
      <c r="G1409" s="5" t="s">
        <v>87</v>
      </c>
      <c r="H1409" s="5" t="s">
        <v>88</v>
      </c>
      <c r="I1409" s="5" t="s">
        <v>89</v>
      </c>
      <c r="J1409" s="5" t="s">
        <v>90</v>
      </c>
      <c r="K1409" s="5" t="s">
        <v>552</v>
      </c>
      <c r="L1409" s="5" t="s">
        <v>393</v>
      </c>
    </row>
    <row r="1410" customFormat="false" ht="15" hidden="true" customHeight="false" outlineLevel="1" collapsed="false">
      <c r="A1410" s="19" t="s">
        <v>553</v>
      </c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</row>
    <row r="1411" customFormat="false" ht="15" hidden="true" customHeight="false" outlineLevel="1" collapsed="false">
      <c r="A1411" s="20" t="n">
        <v>1</v>
      </c>
      <c r="B1411" s="6" t="s">
        <v>554</v>
      </c>
      <c r="C1411" s="20" t="s">
        <v>79</v>
      </c>
      <c r="D1411" s="10" t="n">
        <f aca="false">Допущения!$E$49</f>
        <v>2027</v>
      </c>
      <c r="E1411" s="23"/>
      <c r="F1411" s="23"/>
      <c r="G1411" s="23"/>
      <c r="H1411" s="23"/>
      <c r="I1411" s="23"/>
      <c r="J1411" s="23"/>
      <c r="K1411" s="23"/>
      <c r="L1411" s="49"/>
    </row>
    <row r="1412" customFormat="false" ht="15" hidden="true" customHeight="false" outlineLevel="1" collapsed="false">
      <c r="A1412" s="20" t="n">
        <v>2</v>
      </c>
      <c r="B1412" s="6" t="s">
        <v>555</v>
      </c>
      <c r="C1412" s="20" t="s">
        <v>105</v>
      </c>
      <c r="D1412" s="45" t="n">
        <f aca="false">Допущения!$E$7</f>
        <v>1.8</v>
      </c>
      <c r="E1412" s="23"/>
      <c r="F1412" s="23"/>
      <c r="G1412" s="23"/>
      <c r="H1412" s="23"/>
      <c r="I1412" s="23"/>
      <c r="J1412" s="23"/>
      <c r="K1412" s="23"/>
      <c r="L1412" s="49"/>
    </row>
    <row r="1413" customFormat="false" ht="15" hidden="true" customHeight="false" outlineLevel="1" collapsed="false">
      <c r="A1413" s="20" t="n">
        <v>3</v>
      </c>
      <c r="B1413" s="6" t="s">
        <v>556</v>
      </c>
      <c r="C1413" s="20" t="s">
        <v>55</v>
      </c>
      <c r="D1413" s="9" t="n">
        <f aca="false">Допущения!$E$42</f>
        <v>6</v>
      </c>
      <c r="E1413" s="23"/>
      <c r="F1413" s="23"/>
      <c r="G1413" s="23"/>
      <c r="H1413" s="23"/>
      <c r="I1413" s="23"/>
      <c r="J1413" s="23"/>
      <c r="K1413" s="23"/>
      <c r="L1413" s="49"/>
    </row>
    <row r="1414" customFormat="false" ht="15" hidden="true" customHeight="false" outlineLevel="1" collapsed="false">
      <c r="A1414" s="20" t="n">
        <v>4</v>
      </c>
      <c r="B1414" s="6" t="s">
        <v>557</v>
      </c>
      <c r="C1414" s="20" t="s">
        <v>244</v>
      </c>
      <c r="D1414" s="9" t="n">
        <f aca="false">Допущения!$E$43</f>
        <v>5</v>
      </c>
      <c r="E1414" s="23"/>
      <c r="F1414" s="23"/>
      <c r="G1414" s="23"/>
      <c r="H1414" s="23"/>
      <c r="I1414" s="23"/>
      <c r="J1414" s="23"/>
      <c r="K1414" s="23"/>
      <c r="L1414" s="49"/>
    </row>
    <row r="1415" customFormat="false" ht="15" hidden="true" customHeight="false" outlineLevel="1" collapsed="false">
      <c r="A1415" s="20" t="n">
        <v>5</v>
      </c>
      <c r="B1415" s="6" t="s">
        <v>558</v>
      </c>
      <c r="C1415" s="20" t="s">
        <v>55</v>
      </c>
      <c r="D1415" s="9" t="n">
        <f aca="false">Допущения!$E$44</f>
        <v>1.5</v>
      </c>
      <c r="E1415" s="23"/>
      <c r="F1415" s="23"/>
      <c r="G1415" s="23"/>
      <c r="H1415" s="23"/>
      <c r="I1415" s="23"/>
      <c r="J1415" s="23"/>
      <c r="K1415" s="23"/>
      <c r="L1415" s="49"/>
    </row>
    <row r="1416" customFormat="false" ht="15" hidden="true" customHeight="false" outlineLevel="1" collapsed="false">
      <c r="A1416" s="20" t="n">
        <v>6</v>
      </c>
      <c r="B1416" s="6" t="s">
        <v>559</v>
      </c>
      <c r="C1416" s="20" t="s">
        <v>71</v>
      </c>
      <c r="D1416" s="9" t="n">
        <f aca="false">Допущения!$E$45</f>
        <v>8</v>
      </c>
      <c r="E1416" s="23"/>
      <c r="F1416" s="23"/>
      <c r="G1416" s="23"/>
      <c r="H1416" s="23"/>
      <c r="I1416" s="23"/>
      <c r="J1416" s="23"/>
      <c r="K1416" s="23"/>
      <c r="L1416" s="49"/>
    </row>
    <row r="1417" customFormat="false" ht="15" hidden="true" customHeight="false" outlineLevel="1" collapsed="false">
      <c r="A1417" s="20" t="n">
        <v>7</v>
      </c>
      <c r="B1417" s="6" t="s">
        <v>560</v>
      </c>
      <c r="C1417" s="20" t="s">
        <v>71</v>
      </c>
      <c r="D1417" s="9" t="n">
        <f aca="false">Допущения!$E$46</f>
        <v>2</v>
      </c>
      <c r="E1417" s="23"/>
      <c r="F1417" s="23"/>
      <c r="G1417" s="23"/>
      <c r="H1417" s="23"/>
      <c r="I1417" s="23"/>
      <c r="J1417" s="23"/>
      <c r="K1417" s="23"/>
      <c r="L1417" s="49"/>
    </row>
    <row r="1418" customFormat="false" ht="15" hidden="true" customHeight="false" outlineLevel="1" collapsed="false">
      <c r="A1418" s="20" t="n">
        <v>8</v>
      </c>
      <c r="B1418" s="6" t="s">
        <v>260</v>
      </c>
      <c r="C1418" s="20" t="s">
        <v>261</v>
      </c>
      <c r="D1418" s="22" t="n">
        <f aca="false">Допущения!$E$47</f>
        <v>0.05</v>
      </c>
      <c r="E1418" s="23"/>
      <c r="F1418" s="23"/>
      <c r="G1418" s="23"/>
      <c r="H1418" s="23"/>
      <c r="I1418" s="23"/>
      <c r="J1418" s="23"/>
      <c r="K1418" s="23"/>
      <c r="L1418" s="49"/>
    </row>
    <row r="1419" customFormat="false" ht="15" hidden="true" customHeight="false" outlineLevel="1" collapsed="false">
      <c r="A1419" s="20" t="n">
        <v>9</v>
      </c>
      <c r="B1419" s="6" t="s">
        <v>561</v>
      </c>
      <c r="C1419" s="20" t="s">
        <v>261</v>
      </c>
      <c r="D1419" s="22" t="n">
        <f aca="false">Допущения!$E$48</f>
        <v>0.15</v>
      </c>
      <c r="E1419" s="23"/>
      <c r="F1419" s="23"/>
      <c r="G1419" s="23"/>
      <c r="H1419" s="23"/>
      <c r="I1419" s="23"/>
      <c r="J1419" s="23"/>
      <c r="K1419" s="23"/>
      <c r="L1419" s="49"/>
    </row>
    <row r="1420" customFormat="false" ht="15" hidden="true" customHeight="false" outlineLevel="1" collapsed="false">
      <c r="A1420" s="20" t="n">
        <v>10</v>
      </c>
      <c r="B1420" s="6" t="s">
        <v>274</v>
      </c>
      <c r="C1420" s="20" t="s">
        <v>261</v>
      </c>
      <c r="D1420" s="22" t="n">
        <f aca="false">Допущения!$E$51</f>
        <v>0.07</v>
      </c>
      <c r="E1420" s="23"/>
      <c r="F1420" s="23"/>
      <c r="G1420" s="23"/>
      <c r="H1420" s="23"/>
      <c r="I1420" s="23"/>
      <c r="J1420" s="23"/>
      <c r="K1420" s="23"/>
      <c r="L1420" s="49"/>
    </row>
    <row r="1421" customFormat="false" ht="15" hidden="true" customHeight="false" outlineLevel="1" collapsed="false">
      <c r="A1421" s="20" t="n">
        <v>11</v>
      </c>
      <c r="B1421" s="6" t="s">
        <v>562</v>
      </c>
      <c r="C1421" s="20" t="s">
        <v>68</v>
      </c>
      <c r="D1421" s="22" t="n">
        <f aca="false">Допущения!$E$52</f>
        <v>0.15</v>
      </c>
      <c r="E1421" s="23"/>
      <c r="F1421" s="23"/>
      <c r="G1421" s="23"/>
      <c r="H1421" s="23"/>
      <c r="I1421" s="23"/>
      <c r="J1421" s="23"/>
      <c r="K1421" s="23"/>
      <c r="L1421" s="49"/>
    </row>
    <row r="1422" customFormat="false" ht="15" hidden="true" customHeight="false" outlineLevel="1" collapsed="false">
      <c r="A1422" s="20" t="n">
        <v>12</v>
      </c>
      <c r="B1422" s="6" t="s">
        <v>563</v>
      </c>
      <c r="C1422" s="20" t="s">
        <v>68</v>
      </c>
      <c r="D1422" s="22" t="n">
        <f aca="false">Допущения!$E$53</f>
        <v>0.076</v>
      </c>
      <c r="E1422" s="23"/>
      <c r="F1422" s="23"/>
      <c r="G1422" s="23"/>
      <c r="H1422" s="23"/>
      <c r="I1422" s="23"/>
      <c r="J1422" s="23"/>
      <c r="K1422" s="23"/>
      <c r="L1422" s="49"/>
    </row>
    <row r="1423" customFormat="false" ht="15" hidden="true" customHeight="false" outlineLevel="1" collapsed="false">
      <c r="A1423" s="20" t="n">
        <v>13</v>
      </c>
      <c r="B1423" s="6" t="s">
        <v>284</v>
      </c>
      <c r="C1423" s="20" t="s">
        <v>68</v>
      </c>
      <c r="D1423" s="22" t="n">
        <f aca="false">Допущения!$E$54</f>
        <v>0.002</v>
      </c>
      <c r="E1423" s="23"/>
      <c r="F1423" s="23"/>
      <c r="G1423" s="23"/>
      <c r="H1423" s="23"/>
      <c r="I1423" s="23"/>
      <c r="J1423" s="23"/>
      <c r="K1423" s="23"/>
      <c r="L1423" s="49"/>
    </row>
    <row r="1424" customFormat="false" ht="15" hidden="true" customHeight="false" outlineLevel="1" collapsed="false">
      <c r="A1424" s="20" t="n">
        <v>14</v>
      </c>
      <c r="B1424" s="6" t="s">
        <v>564</v>
      </c>
      <c r="C1424" s="20" t="s">
        <v>55</v>
      </c>
      <c r="D1424" s="50" t="n">
        <f aca="false">Допущения!$E$55</f>
        <v>2.979</v>
      </c>
      <c r="E1424" s="23"/>
      <c r="F1424" s="23"/>
      <c r="G1424" s="23"/>
      <c r="H1424" s="23"/>
      <c r="I1424" s="23"/>
      <c r="J1424" s="23"/>
      <c r="K1424" s="23"/>
      <c r="L1424" s="49"/>
    </row>
    <row r="1425" customFormat="false" ht="15" hidden="true" customHeight="false" outlineLevel="1" collapsed="false">
      <c r="A1425" s="20" t="n">
        <v>15</v>
      </c>
      <c r="B1425" s="6" t="s">
        <v>565</v>
      </c>
      <c r="C1425" s="20" t="s">
        <v>261</v>
      </c>
      <c r="D1425" s="22" t="n">
        <f aca="false">Допущения!$E$56</f>
        <v>0.08</v>
      </c>
      <c r="E1425" s="23"/>
      <c r="F1425" s="23"/>
      <c r="G1425" s="23"/>
      <c r="H1425" s="23"/>
      <c r="I1425" s="23"/>
      <c r="J1425" s="23"/>
      <c r="K1425" s="23"/>
      <c r="L1425" s="49"/>
    </row>
    <row r="1426" customFormat="false" ht="15" hidden="true" customHeight="false" outlineLevel="1" collapsed="false">
      <c r="A1426" s="20" t="n">
        <v>16</v>
      </c>
      <c r="B1426" s="6" t="s">
        <v>566</v>
      </c>
      <c r="C1426" s="20" t="s">
        <v>71</v>
      </c>
      <c r="D1426" s="9" t="n">
        <f aca="false">Допущения!$E$58</f>
        <v>2.5</v>
      </c>
      <c r="E1426" s="23"/>
      <c r="F1426" s="23"/>
      <c r="G1426" s="23"/>
      <c r="H1426" s="23"/>
      <c r="I1426" s="23"/>
      <c r="J1426" s="23"/>
      <c r="K1426" s="23"/>
      <c r="L1426" s="49"/>
    </row>
    <row r="1427" customFormat="false" ht="15" hidden="true" customHeight="false" outlineLevel="1" collapsed="false">
      <c r="A1427" s="20" t="n">
        <v>17</v>
      </c>
      <c r="B1427" s="6" t="s">
        <v>299</v>
      </c>
      <c r="C1427" s="20" t="s">
        <v>55</v>
      </c>
      <c r="D1427" s="9" t="n">
        <f aca="false">Допущения!$E$59</f>
        <v>1</v>
      </c>
      <c r="E1427" s="23"/>
      <c r="F1427" s="23"/>
      <c r="G1427" s="23"/>
      <c r="H1427" s="23"/>
      <c r="I1427" s="23"/>
      <c r="J1427" s="23"/>
      <c r="K1427" s="23"/>
      <c r="L1427" s="49"/>
    </row>
    <row r="1428" customFormat="false" ht="15" hidden="true" customHeight="false" outlineLevel="1" collapsed="false">
      <c r="A1428" s="20" t="n">
        <v>18</v>
      </c>
      <c r="B1428" s="6" t="s">
        <v>302</v>
      </c>
      <c r="C1428" s="20" t="s">
        <v>55</v>
      </c>
      <c r="D1428" s="9" t="n">
        <f aca="false">Допущения!$E$60</f>
        <v>0.6</v>
      </c>
      <c r="E1428" s="23"/>
      <c r="F1428" s="23"/>
      <c r="G1428" s="23"/>
      <c r="H1428" s="23"/>
      <c r="I1428" s="23"/>
      <c r="J1428" s="23"/>
      <c r="K1428" s="23"/>
      <c r="L1428" s="49"/>
    </row>
    <row r="1429" customFormat="false" ht="15" hidden="true" customHeight="false" outlineLevel="1" collapsed="false">
      <c r="A1429" s="20" t="n">
        <v>19</v>
      </c>
      <c r="B1429" s="6" t="s">
        <v>567</v>
      </c>
      <c r="C1429" s="20" t="s">
        <v>55</v>
      </c>
      <c r="D1429" s="45" t="n">
        <f aca="false">Допущения!$E$61</f>
        <v>0.15</v>
      </c>
      <c r="E1429" s="23"/>
      <c r="F1429" s="23"/>
      <c r="G1429" s="23"/>
      <c r="H1429" s="23"/>
      <c r="I1429" s="23"/>
      <c r="J1429" s="23"/>
      <c r="K1429" s="23"/>
      <c r="L1429" s="49"/>
    </row>
    <row r="1430" customFormat="false" ht="15" hidden="true" customHeight="false" outlineLevel="1" collapsed="false">
      <c r="A1430" s="20" t="n">
        <v>20</v>
      </c>
      <c r="B1430" s="6" t="s">
        <v>568</v>
      </c>
      <c r="C1430" s="20" t="s">
        <v>55</v>
      </c>
      <c r="D1430" s="9" t="n">
        <f aca="false">Допущения!$E$62</f>
        <v>1</v>
      </c>
      <c r="E1430" s="23"/>
      <c r="F1430" s="23"/>
      <c r="G1430" s="23"/>
      <c r="H1430" s="23"/>
      <c r="I1430" s="23"/>
      <c r="J1430" s="23"/>
      <c r="K1430" s="23"/>
      <c r="L1430" s="49"/>
    </row>
    <row r="1431" customFormat="false" ht="15" hidden="true" customHeight="false" outlineLevel="1" collapsed="false">
      <c r="A1431" s="20" t="n">
        <v>21</v>
      </c>
      <c r="B1431" s="6" t="s">
        <v>569</v>
      </c>
      <c r="C1431" s="20" t="s">
        <v>71</v>
      </c>
      <c r="D1431" s="9" t="n">
        <f aca="false">Допущения!$E$63</f>
        <v>0.4</v>
      </c>
      <c r="E1431" s="23"/>
      <c r="F1431" s="23"/>
      <c r="G1431" s="23"/>
      <c r="H1431" s="23"/>
      <c r="I1431" s="23"/>
      <c r="J1431" s="23"/>
      <c r="K1431" s="23"/>
      <c r="L1431" s="49"/>
    </row>
    <row r="1432" customFormat="false" ht="15" hidden="true" customHeight="false" outlineLevel="1" collapsed="false">
      <c r="A1432" s="20" t="n">
        <v>22</v>
      </c>
      <c r="B1432" s="6" t="s">
        <v>314</v>
      </c>
      <c r="C1432" s="20" t="s">
        <v>55</v>
      </c>
      <c r="D1432" s="9" t="n">
        <f aca="false">Допущения!$E$64</f>
        <v>1.2</v>
      </c>
      <c r="E1432" s="23"/>
      <c r="F1432" s="23"/>
      <c r="G1432" s="23"/>
      <c r="H1432" s="23"/>
      <c r="I1432" s="23"/>
      <c r="J1432" s="23"/>
      <c r="K1432" s="23"/>
      <c r="L1432" s="49"/>
    </row>
    <row r="1433" customFormat="false" ht="15" hidden="true" customHeight="false" outlineLevel="1" collapsed="false">
      <c r="A1433" s="20" t="n">
        <v>23</v>
      </c>
      <c r="B1433" s="6" t="s">
        <v>317</v>
      </c>
      <c r="C1433" s="20" t="s">
        <v>55</v>
      </c>
      <c r="D1433" s="45" t="n">
        <f aca="false">Допущения!$E$65</f>
        <v>0.1</v>
      </c>
      <c r="E1433" s="23"/>
      <c r="F1433" s="23"/>
      <c r="G1433" s="23"/>
      <c r="H1433" s="23"/>
      <c r="I1433" s="23"/>
      <c r="J1433" s="23"/>
      <c r="K1433" s="23"/>
      <c r="L1433" s="49"/>
    </row>
    <row r="1434" customFormat="false" ht="15" hidden="true" customHeight="false" outlineLevel="1" collapsed="false">
      <c r="A1434" s="20" t="n">
        <v>24</v>
      </c>
      <c r="B1434" s="6" t="s">
        <v>320</v>
      </c>
      <c r="C1434" s="20" t="s">
        <v>71</v>
      </c>
      <c r="D1434" s="45" t="n">
        <f aca="false">Допущения!$E$66</f>
        <v>0.25</v>
      </c>
      <c r="E1434" s="23"/>
      <c r="F1434" s="23"/>
      <c r="G1434" s="23"/>
      <c r="H1434" s="23"/>
      <c r="I1434" s="23"/>
      <c r="J1434" s="23"/>
      <c r="K1434" s="23"/>
      <c r="L1434" s="49"/>
    </row>
    <row r="1435" customFormat="false" ht="15" hidden="true" customHeight="false" outlineLevel="1" collapsed="false">
      <c r="A1435" s="20" t="n">
        <v>25</v>
      </c>
      <c r="B1435" s="6" t="s">
        <v>570</v>
      </c>
      <c r="C1435" s="20" t="s">
        <v>71</v>
      </c>
      <c r="D1435" s="9" t="n">
        <f aca="false">Допущения!$E$67</f>
        <v>0.3</v>
      </c>
      <c r="E1435" s="23"/>
      <c r="F1435" s="23"/>
      <c r="G1435" s="23"/>
      <c r="H1435" s="23"/>
      <c r="I1435" s="23"/>
      <c r="J1435" s="23"/>
      <c r="K1435" s="23"/>
      <c r="L1435" s="49"/>
    </row>
    <row r="1436" customFormat="false" ht="15" hidden="true" customHeight="false" outlineLevel="1" collapsed="false">
      <c r="A1436" s="20" t="n">
        <v>26</v>
      </c>
      <c r="B1436" s="6" t="s">
        <v>326</v>
      </c>
      <c r="C1436" s="20" t="s">
        <v>261</v>
      </c>
      <c r="D1436" s="22" t="n">
        <f aca="false">Допущения!$E$68</f>
        <v>0.05</v>
      </c>
      <c r="E1436" s="23"/>
      <c r="F1436" s="23"/>
      <c r="G1436" s="23"/>
      <c r="H1436" s="23"/>
      <c r="I1436" s="23"/>
      <c r="J1436" s="23"/>
      <c r="K1436" s="23"/>
      <c r="L1436" s="49"/>
    </row>
    <row r="1437" customFormat="false" ht="15" hidden="true" customHeight="false" outlineLevel="1" collapsed="false">
      <c r="A1437" s="20" t="n">
        <v>27</v>
      </c>
      <c r="B1437" s="6" t="s">
        <v>571</v>
      </c>
      <c r="C1437" s="20" t="s">
        <v>330</v>
      </c>
      <c r="D1437" s="22" t="n">
        <f aca="false">Допущения!$E$69</f>
        <v>0.1</v>
      </c>
      <c r="E1437" s="23"/>
      <c r="F1437" s="23"/>
      <c r="G1437" s="23"/>
      <c r="H1437" s="23"/>
      <c r="I1437" s="23"/>
      <c r="J1437" s="23"/>
      <c r="K1437" s="23"/>
      <c r="L1437" s="49"/>
    </row>
    <row r="1438" customFormat="false" ht="15" hidden="true" customHeight="false" outlineLevel="1" collapsed="false">
      <c r="A1438" s="20" t="n">
        <v>28</v>
      </c>
      <c r="B1438" s="6" t="s">
        <v>572</v>
      </c>
      <c r="C1438" s="20" t="s">
        <v>68</v>
      </c>
      <c r="D1438" s="22" t="n">
        <f aca="false">Допущения!$E$71</f>
        <v>0.05</v>
      </c>
      <c r="E1438" s="23"/>
      <c r="F1438" s="23"/>
      <c r="G1438" s="23"/>
      <c r="H1438" s="23"/>
      <c r="I1438" s="23"/>
      <c r="J1438" s="23"/>
      <c r="K1438" s="23"/>
      <c r="L1438" s="49"/>
    </row>
    <row r="1439" customFormat="false" ht="15" hidden="true" customHeight="false" outlineLevel="1" collapsed="false">
      <c r="A1439" s="20" t="n">
        <v>29</v>
      </c>
      <c r="B1439" s="6" t="s">
        <v>573</v>
      </c>
      <c r="C1439" s="20" t="s">
        <v>68</v>
      </c>
      <c r="D1439" s="22" t="n">
        <f aca="false">Допущения!$E$72</f>
        <v>0.5</v>
      </c>
      <c r="E1439" s="23"/>
      <c r="F1439" s="23"/>
      <c r="G1439" s="23"/>
      <c r="H1439" s="23"/>
      <c r="I1439" s="23"/>
      <c r="J1439" s="23"/>
      <c r="K1439" s="23"/>
      <c r="L1439" s="49"/>
    </row>
    <row r="1440" customFormat="false" ht="15" hidden="true" customHeight="false" outlineLevel="1" collapsed="false">
      <c r="A1440" s="20" t="n">
        <v>30</v>
      </c>
      <c r="B1440" s="6" t="s">
        <v>574</v>
      </c>
      <c r="C1440" s="20" t="s">
        <v>575</v>
      </c>
      <c r="D1440" s="7" t="n">
        <f aca="false">Допущения!$E$73</f>
        <v>90</v>
      </c>
      <c r="E1440" s="23"/>
      <c r="F1440" s="23"/>
      <c r="G1440" s="23"/>
      <c r="H1440" s="23"/>
      <c r="I1440" s="23"/>
      <c r="J1440" s="23"/>
      <c r="K1440" s="23"/>
      <c r="L1440" s="49"/>
    </row>
    <row r="1441" customFormat="false" ht="15" hidden="true" customHeight="false" outlineLevel="1" collapsed="false">
      <c r="A1441" s="20" t="n">
        <v>31</v>
      </c>
      <c r="B1441" s="6" t="s">
        <v>345</v>
      </c>
      <c r="C1441" s="20" t="s">
        <v>68</v>
      </c>
      <c r="D1441" s="22" t="n">
        <f aca="false">Допущения!$E$74</f>
        <v>0.3</v>
      </c>
      <c r="E1441" s="23"/>
      <c r="F1441" s="23"/>
      <c r="G1441" s="23"/>
      <c r="H1441" s="23"/>
      <c r="I1441" s="23"/>
      <c r="J1441" s="23"/>
      <c r="K1441" s="23"/>
      <c r="L1441" s="49"/>
    </row>
    <row r="1442" customFormat="false" ht="15" hidden="true" customHeight="false" outlineLevel="1" collapsed="false">
      <c r="A1442" s="20" t="n">
        <v>32</v>
      </c>
      <c r="B1442" s="6" t="s">
        <v>576</v>
      </c>
      <c r="C1442" s="20" t="s">
        <v>261</v>
      </c>
      <c r="D1442" s="22" t="n">
        <f aca="false">Допущения!$E$75</f>
        <v>0.04</v>
      </c>
      <c r="E1442" s="23"/>
      <c r="F1442" s="23"/>
      <c r="G1442" s="23"/>
      <c r="H1442" s="23"/>
      <c r="I1442" s="23"/>
      <c r="J1442" s="23"/>
      <c r="K1442" s="23"/>
      <c r="L1442" s="49"/>
    </row>
    <row r="1443" customFormat="false" ht="15" hidden="true" customHeight="false" outlineLevel="1" collapsed="false">
      <c r="A1443" s="20" t="n">
        <v>33</v>
      </c>
      <c r="B1443" s="6" t="s">
        <v>577</v>
      </c>
      <c r="C1443" s="20" t="s">
        <v>68</v>
      </c>
      <c r="D1443" s="22" t="n">
        <f aca="false">Допущения!$E$76</f>
        <v>0.2</v>
      </c>
      <c r="E1443" s="23"/>
      <c r="F1443" s="23"/>
      <c r="G1443" s="23"/>
      <c r="H1443" s="23"/>
      <c r="I1443" s="23"/>
      <c r="J1443" s="23"/>
      <c r="K1443" s="23"/>
      <c r="L1443" s="49"/>
    </row>
    <row r="1444" customFormat="false" ht="15" hidden="true" customHeight="false" outlineLevel="1" collapsed="false">
      <c r="A1444" s="20" t="n">
        <v>34</v>
      </c>
      <c r="B1444" s="6" t="s">
        <v>578</v>
      </c>
      <c r="C1444" s="20" t="s">
        <v>105</v>
      </c>
      <c r="D1444" s="50" t="n">
        <f aca="false">Рынок!$E$30</f>
        <v>0.490909090909091</v>
      </c>
      <c r="E1444" s="23"/>
      <c r="F1444" s="23"/>
      <c r="G1444" s="23"/>
      <c r="H1444" s="23"/>
      <c r="I1444" s="23"/>
      <c r="J1444" s="23"/>
      <c r="K1444" s="23"/>
      <c r="L1444" s="49" t="s">
        <v>579</v>
      </c>
    </row>
    <row r="1445" customFormat="false" ht="15" hidden="true" customHeight="false" outlineLevel="1" collapsed="false">
      <c r="A1445" s="20" t="n">
        <v>35</v>
      </c>
      <c r="B1445" s="6" t="s">
        <v>580</v>
      </c>
      <c r="C1445" s="20" t="s">
        <v>105</v>
      </c>
      <c r="D1445" s="50" t="n">
        <f aca="false">Рынок!$E$31</f>
        <v>0.028125</v>
      </c>
      <c r="E1445" s="23"/>
      <c r="F1445" s="23"/>
      <c r="G1445" s="23"/>
      <c r="H1445" s="23"/>
      <c r="I1445" s="23"/>
      <c r="J1445" s="23"/>
      <c r="K1445" s="23"/>
      <c r="L1445" s="49" t="s">
        <v>579</v>
      </c>
    </row>
    <row r="1446" customFormat="false" ht="15" hidden="true" customHeight="false" outlineLevel="1" collapsed="false">
      <c r="A1446" s="20" t="n">
        <v>36</v>
      </c>
      <c r="B1446" s="6" t="s">
        <v>581</v>
      </c>
      <c r="C1446" s="20" t="s">
        <v>142</v>
      </c>
      <c r="D1446" s="7" t="n">
        <f aca="false">План!$D$18*1.2</f>
        <v>240</v>
      </c>
      <c r="E1446" s="23"/>
      <c r="F1446" s="23"/>
      <c r="G1446" s="23"/>
      <c r="H1446" s="23"/>
      <c r="I1446" s="23"/>
      <c r="J1446" s="23"/>
      <c r="K1446" s="23"/>
      <c r="L1446" s="49" t="s">
        <v>582</v>
      </c>
    </row>
    <row r="1447" customFormat="false" ht="15" hidden="true" customHeight="false" outlineLevel="1" collapsed="false">
      <c r="A1447" s="20" t="n">
        <v>37</v>
      </c>
      <c r="B1447" s="6" t="s">
        <v>583</v>
      </c>
      <c r="C1447" s="20" t="s">
        <v>142</v>
      </c>
      <c r="D1447" s="7" t="n">
        <f aca="false">План!$D$19*1.2</f>
        <v>336</v>
      </c>
      <c r="E1447" s="23"/>
      <c r="F1447" s="23"/>
      <c r="G1447" s="23"/>
      <c r="H1447" s="23"/>
      <c r="I1447" s="23"/>
      <c r="J1447" s="23"/>
      <c r="K1447" s="23"/>
      <c r="L1447" s="49" t="s">
        <v>582</v>
      </c>
    </row>
    <row r="1448" customFormat="false" ht="15" hidden="true" customHeight="false" outlineLevel="1" collapsed="false">
      <c r="A1448" s="20" t="n">
        <v>38</v>
      </c>
      <c r="B1448" s="6" t="s">
        <v>584</v>
      </c>
      <c r="C1448" s="20" t="s">
        <v>142</v>
      </c>
      <c r="D1448" s="7" t="n">
        <f aca="false">План!$D$20*1.2</f>
        <v>276</v>
      </c>
      <c r="E1448" s="23"/>
      <c r="F1448" s="23"/>
      <c r="G1448" s="23"/>
      <c r="H1448" s="23"/>
      <c r="I1448" s="23"/>
      <c r="J1448" s="23"/>
      <c r="K1448" s="23"/>
      <c r="L1448" s="49" t="s">
        <v>582</v>
      </c>
    </row>
    <row r="1449" customFormat="false" ht="15" hidden="true" customHeight="false" outlineLevel="1" collapsed="false">
      <c r="A1449" s="20" t="n">
        <v>39</v>
      </c>
      <c r="B1449" s="6" t="s">
        <v>585</v>
      </c>
      <c r="C1449" s="20" t="s">
        <v>142</v>
      </c>
      <c r="D1449" s="7" t="n">
        <f aca="false">План!$D$21*1.2</f>
        <v>264</v>
      </c>
      <c r="E1449" s="23"/>
      <c r="F1449" s="23"/>
      <c r="G1449" s="23"/>
      <c r="H1449" s="23"/>
      <c r="I1449" s="23"/>
      <c r="J1449" s="23"/>
      <c r="K1449" s="23"/>
      <c r="L1449" s="49" t="s">
        <v>582</v>
      </c>
    </row>
    <row r="1450" customFormat="false" ht="15" hidden="true" customHeight="false" outlineLevel="1" collapsed="false">
      <c r="A1450" s="20" t="n">
        <v>40</v>
      </c>
      <c r="B1450" s="6" t="s">
        <v>586</v>
      </c>
      <c r="C1450" s="20" t="s">
        <v>142</v>
      </c>
      <c r="D1450" s="7" t="n">
        <f aca="false">План!$D$22*1.2</f>
        <v>300</v>
      </c>
      <c r="E1450" s="23"/>
      <c r="F1450" s="23"/>
      <c r="G1450" s="23"/>
      <c r="H1450" s="23"/>
      <c r="I1450" s="23"/>
      <c r="J1450" s="23"/>
      <c r="K1450" s="23"/>
      <c r="L1450" s="49" t="s">
        <v>582</v>
      </c>
    </row>
    <row r="1451" customFormat="false" ht="15" hidden="true" customHeight="false" outlineLevel="1" collapsed="false">
      <c r="A1451" s="20" t="n">
        <v>41</v>
      </c>
      <c r="B1451" s="6" t="s">
        <v>587</v>
      </c>
      <c r="C1451" s="20" t="s">
        <v>142</v>
      </c>
      <c r="D1451" s="7" t="n">
        <f aca="false">План!$D$23*1.2</f>
        <v>264</v>
      </c>
      <c r="E1451" s="23"/>
      <c r="F1451" s="23"/>
      <c r="G1451" s="23"/>
      <c r="H1451" s="23"/>
      <c r="I1451" s="23"/>
      <c r="J1451" s="23"/>
      <c r="K1451" s="23"/>
      <c r="L1451" s="49" t="s">
        <v>582</v>
      </c>
    </row>
    <row r="1452" customFormat="false" ht="15" hidden="true" customHeight="false" outlineLevel="1" collapsed="false">
      <c r="A1452" s="20" t="n">
        <v>42</v>
      </c>
      <c r="B1452" s="6" t="s">
        <v>359</v>
      </c>
      <c r="C1452" s="20" t="s">
        <v>76</v>
      </c>
      <c r="D1452" s="23"/>
      <c r="E1452" s="9" t="n">
        <f aca="false">План!E16</f>
        <v>0</v>
      </c>
      <c r="F1452" s="9" t="n">
        <f aca="false">План!F16</f>
        <v>0</v>
      </c>
      <c r="G1452" s="9" t="n">
        <f aca="false">План!G16</f>
        <v>0</v>
      </c>
      <c r="H1452" s="9" t="n">
        <f aca="false">План!H16</f>
        <v>1</v>
      </c>
      <c r="I1452" s="9" t="n">
        <f aca="false">План!I16</f>
        <v>0</v>
      </c>
      <c r="J1452" s="9" t="n">
        <f aca="false">План!J16</f>
        <v>1</v>
      </c>
      <c r="K1452" s="51" t="n">
        <f aca="false">SUM(F1452:J1452)</f>
        <v>2</v>
      </c>
      <c r="L1452" s="49" t="s">
        <v>582</v>
      </c>
    </row>
    <row r="1453" customFormat="false" ht="15" hidden="true" customHeight="false" outlineLevel="1" collapsed="false">
      <c r="A1453" s="20" t="n">
        <v>43</v>
      </c>
      <c r="B1453" s="6" t="s">
        <v>361</v>
      </c>
      <c r="C1453" s="20" t="s">
        <v>76</v>
      </c>
      <c r="D1453" s="23"/>
      <c r="E1453" s="9" t="n">
        <f aca="false">План!E17</f>
        <v>0</v>
      </c>
      <c r="F1453" s="9" t="n">
        <f aca="false">План!F17</f>
        <v>0</v>
      </c>
      <c r="G1453" s="9" t="n">
        <f aca="false">План!G17</f>
        <v>1</v>
      </c>
      <c r="H1453" s="9" t="n">
        <f aca="false">План!H17</f>
        <v>2</v>
      </c>
      <c r="I1453" s="9" t="n">
        <f aca="false">План!I17</f>
        <v>2</v>
      </c>
      <c r="J1453" s="9" t="n">
        <f aca="false">План!J17</f>
        <v>3</v>
      </c>
      <c r="K1453" s="51" t="n">
        <f aca="false">SUM(F1453:J1453)</f>
        <v>8</v>
      </c>
      <c r="L1453" s="49" t="s">
        <v>582</v>
      </c>
    </row>
    <row r="1454" customFormat="false" ht="15" hidden="true" customHeight="false" outlineLevel="1" collapsed="false">
      <c r="A1454" s="20" t="n">
        <v>44</v>
      </c>
      <c r="B1454" s="6" t="s">
        <v>588</v>
      </c>
      <c r="C1454" s="20" t="s">
        <v>53</v>
      </c>
      <c r="D1454" s="23"/>
      <c r="E1454" s="9" t="n">
        <f aca="false">План!E18</f>
        <v>2</v>
      </c>
      <c r="F1454" s="9" t="n">
        <f aca="false">План!F18</f>
        <v>2</v>
      </c>
      <c r="G1454" s="9" t="n">
        <f aca="false">План!G18</f>
        <v>2</v>
      </c>
      <c r="H1454" s="9" t="n">
        <f aca="false">План!H18</f>
        <v>2</v>
      </c>
      <c r="I1454" s="9" t="n">
        <f aca="false">План!I18</f>
        <v>2</v>
      </c>
      <c r="J1454" s="9" t="n">
        <f aca="false">План!J18</f>
        <v>2</v>
      </c>
      <c r="K1454" s="23"/>
      <c r="L1454" s="49" t="s">
        <v>582</v>
      </c>
    </row>
    <row r="1455" customFormat="false" ht="15" hidden="true" customHeight="false" outlineLevel="1" collapsed="false">
      <c r="A1455" s="20" t="n">
        <v>45</v>
      </c>
      <c r="B1455" s="6" t="s">
        <v>589</v>
      </c>
      <c r="C1455" s="20" t="s">
        <v>53</v>
      </c>
      <c r="D1455" s="23"/>
      <c r="E1455" s="9" t="n">
        <f aca="false">План!E19</f>
        <v>0</v>
      </c>
      <c r="F1455" s="9" t="n">
        <f aca="false">План!F19</f>
        <v>1</v>
      </c>
      <c r="G1455" s="9" t="n">
        <f aca="false">План!G19</f>
        <v>1</v>
      </c>
      <c r="H1455" s="9" t="n">
        <f aca="false">План!H19</f>
        <v>1</v>
      </c>
      <c r="I1455" s="9" t="n">
        <f aca="false">План!I19</f>
        <v>2</v>
      </c>
      <c r="J1455" s="9" t="n">
        <f aca="false">План!J19</f>
        <v>2</v>
      </c>
      <c r="K1455" s="23"/>
      <c r="L1455" s="49" t="s">
        <v>582</v>
      </c>
    </row>
    <row r="1456" customFormat="false" ht="15" hidden="true" customHeight="false" outlineLevel="1" collapsed="false">
      <c r="A1456" s="20" t="n">
        <v>46</v>
      </c>
      <c r="B1456" s="6" t="s">
        <v>590</v>
      </c>
      <c r="C1456" s="20" t="s">
        <v>53</v>
      </c>
      <c r="D1456" s="23"/>
      <c r="E1456" s="9" t="n">
        <f aca="false">План!E20</f>
        <v>0</v>
      </c>
      <c r="F1456" s="9" t="n">
        <f aca="false">План!F20</f>
        <v>1</v>
      </c>
      <c r="G1456" s="9" t="n">
        <f aca="false">План!G20</f>
        <v>1</v>
      </c>
      <c r="H1456" s="9" t="n">
        <f aca="false">План!H20</f>
        <v>1</v>
      </c>
      <c r="I1456" s="9" t="n">
        <f aca="false">План!I20</f>
        <v>1</v>
      </c>
      <c r="J1456" s="9" t="n">
        <f aca="false">План!J20</f>
        <v>1</v>
      </c>
      <c r="K1456" s="23"/>
      <c r="L1456" s="49" t="s">
        <v>582</v>
      </c>
    </row>
    <row r="1457" customFormat="false" ht="15" hidden="true" customHeight="false" outlineLevel="1" collapsed="false">
      <c r="A1457" s="20" t="n">
        <v>47</v>
      </c>
      <c r="B1457" s="6" t="s">
        <v>591</v>
      </c>
      <c r="C1457" s="20" t="s">
        <v>53</v>
      </c>
      <c r="D1457" s="23"/>
      <c r="E1457" s="9" t="n">
        <f aca="false">План!E21</f>
        <v>0</v>
      </c>
      <c r="F1457" s="9" t="n">
        <f aca="false">План!F21</f>
        <v>0</v>
      </c>
      <c r="G1457" s="9" t="n">
        <f aca="false">План!G21</f>
        <v>1</v>
      </c>
      <c r="H1457" s="9" t="n">
        <f aca="false">План!H21</f>
        <v>1</v>
      </c>
      <c r="I1457" s="9" t="n">
        <f aca="false">План!I21</f>
        <v>1</v>
      </c>
      <c r="J1457" s="9" t="n">
        <f aca="false">План!J21</f>
        <v>1</v>
      </c>
      <c r="K1457" s="23"/>
      <c r="L1457" s="49" t="s">
        <v>582</v>
      </c>
    </row>
    <row r="1458" customFormat="false" ht="15" hidden="true" customHeight="false" outlineLevel="1" collapsed="false">
      <c r="A1458" s="20" t="n">
        <v>48</v>
      </c>
      <c r="B1458" s="6" t="s">
        <v>592</v>
      </c>
      <c r="C1458" s="20" t="s">
        <v>53</v>
      </c>
      <c r="D1458" s="23"/>
      <c r="E1458" s="9" t="n">
        <f aca="false">План!E22</f>
        <v>0</v>
      </c>
      <c r="F1458" s="9" t="n">
        <f aca="false">План!F22</f>
        <v>0</v>
      </c>
      <c r="G1458" s="9" t="n">
        <f aca="false">План!G22</f>
        <v>0</v>
      </c>
      <c r="H1458" s="9" t="n">
        <f aca="false">План!H22</f>
        <v>1</v>
      </c>
      <c r="I1458" s="9" t="n">
        <f aca="false">План!I22</f>
        <v>1</v>
      </c>
      <c r="J1458" s="9" t="n">
        <f aca="false">План!J22</f>
        <v>1</v>
      </c>
      <c r="K1458" s="23"/>
      <c r="L1458" s="49" t="s">
        <v>582</v>
      </c>
    </row>
    <row r="1459" customFormat="false" ht="15" hidden="true" customHeight="false" outlineLevel="1" collapsed="false">
      <c r="A1459" s="20" t="n">
        <v>49</v>
      </c>
      <c r="B1459" s="6" t="s">
        <v>593</v>
      </c>
      <c r="C1459" s="20" t="s">
        <v>53</v>
      </c>
      <c r="D1459" s="23"/>
      <c r="E1459" s="9" t="n">
        <f aca="false">План!E23</f>
        <v>0</v>
      </c>
      <c r="F1459" s="9" t="n">
        <f aca="false">План!F23</f>
        <v>0</v>
      </c>
      <c r="G1459" s="9" t="n">
        <f aca="false">План!G23</f>
        <v>0</v>
      </c>
      <c r="H1459" s="9" t="n">
        <f aca="false">План!H23</f>
        <v>0</v>
      </c>
      <c r="I1459" s="9" t="n">
        <f aca="false">План!I23</f>
        <v>0</v>
      </c>
      <c r="J1459" s="9" t="n">
        <f aca="false">План!J23</f>
        <v>1</v>
      </c>
      <c r="K1459" s="23"/>
      <c r="L1459" s="49" t="s">
        <v>582</v>
      </c>
    </row>
    <row r="1460" customFormat="false" ht="15" hidden="true" customHeight="false" outlineLevel="1" collapsed="false">
      <c r="A1460" s="19" t="s">
        <v>594</v>
      </c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</row>
    <row r="1461" customFormat="false" ht="15" hidden="true" customHeight="false" outlineLevel="1" collapsed="false">
      <c r="A1461" s="20" t="n">
        <v>50</v>
      </c>
      <c r="B1461" s="6" t="s">
        <v>595</v>
      </c>
      <c r="C1461" s="20"/>
      <c r="D1461" s="23"/>
      <c r="E1461" s="10" t="n">
        <f aca="false">Допущения!$D$3</f>
        <v>2026</v>
      </c>
      <c r="F1461" s="52" t="n">
        <f aca="false">E1461+1</f>
        <v>2027</v>
      </c>
      <c r="G1461" s="52" t="n">
        <f aca="false">F1461+1</f>
        <v>2028</v>
      </c>
      <c r="H1461" s="52" t="n">
        <f aca="false">G1461+1</f>
        <v>2029</v>
      </c>
      <c r="I1461" s="52" t="n">
        <f aca="false">H1461+1</f>
        <v>2030</v>
      </c>
      <c r="J1461" s="52" t="n">
        <f aca="false">I1461+1</f>
        <v>2031</v>
      </c>
      <c r="K1461" s="23"/>
      <c r="L1461" s="49" t="s">
        <v>596</v>
      </c>
    </row>
    <row r="1462" customFormat="false" ht="15" hidden="true" customHeight="false" outlineLevel="1" collapsed="false">
      <c r="A1462" s="20" t="n">
        <v>51</v>
      </c>
      <c r="B1462" s="6" t="s">
        <v>597</v>
      </c>
      <c r="C1462" s="20" t="s">
        <v>62</v>
      </c>
      <c r="D1462" s="23"/>
      <c r="E1462" s="23"/>
      <c r="F1462" s="53" t="n">
        <f aca="false">(1+$D$1418)^(F$1461-$E$1461-1)</f>
        <v>1</v>
      </c>
      <c r="G1462" s="53" t="n">
        <f aca="false">(1+$D$1418)^(G$1461-$E$1461-1)</f>
        <v>1.05</v>
      </c>
      <c r="H1462" s="53" t="n">
        <f aca="false">(1+$D$1418)^(H$1461-$E$1461-1)</f>
        <v>1.1025</v>
      </c>
      <c r="I1462" s="53" t="n">
        <f aca="false">(1+$D$1418)^(I$1461-$E$1461-1)</f>
        <v>1.157625</v>
      </c>
      <c r="J1462" s="53" t="n">
        <f aca="false">(1+$D$1418)^(J$1461-$E$1461-1)</f>
        <v>1.21550625</v>
      </c>
      <c r="K1462" s="23"/>
      <c r="L1462" s="49" t="s">
        <v>598</v>
      </c>
    </row>
    <row r="1463" customFormat="false" ht="15" hidden="true" customHeight="false" outlineLevel="1" collapsed="false">
      <c r="A1463" s="20" t="n">
        <v>52</v>
      </c>
      <c r="B1463" s="6" t="s">
        <v>599</v>
      </c>
      <c r="C1463" s="20" t="s">
        <v>62</v>
      </c>
      <c r="D1463" s="23"/>
      <c r="E1463" s="23"/>
      <c r="F1463" s="53" t="n">
        <f aca="false">(1+$D$1436)^(F$1461-$E$1461-1)</f>
        <v>1</v>
      </c>
      <c r="G1463" s="53" t="n">
        <f aca="false">(1+$D$1436)^(G$1461-$E$1461-1)</f>
        <v>1.05</v>
      </c>
      <c r="H1463" s="53" t="n">
        <f aca="false">(1+$D$1436)^(H$1461-$E$1461-1)</f>
        <v>1.1025</v>
      </c>
      <c r="I1463" s="53" t="n">
        <f aca="false">(1+$D$1436)^(I$1461-$E$1461-1)</f>
        <v>1.157625</v>
      </c>
      <c r="J1463" s="53" t="n">
        <f aca="false">(1+$D$1436)^(J$1461-$E$1461-1)</f>
        <v>1.21550625</v>
      </c>
      <c r="K1463" s="23"/>
      <c r="L1463" s="49" t="s">
        <v>600</v>
      </c>
    </row>
    <row r="1464" customFormat="false" ht="15" hidden="true" customHeight="false" outlineLevel="1" collapsed="false">
      <c r="A1464" s="20" t="n">
        <v>53</v>
      </c>
      <c r="B1464" s="6" t="s">
        <v>601</v>
      </c>
      <c r="C1464" s="20" t="s">
        <v>62</v>
      </c>
      <c r="D1464" s="23"/>
      <c r="E1464" s="23"/>
      <c r="F1464" s="53" t="n">
        <f aca="false">(1+$D$1420)^(F$1461-$E$1461-1)</f>
        <v>1</v>
      </c>
      <c r="G1464" s="53" t="n">
        <f aca="false">(1+$D$1420)^(G$1461-$E$1461-1)</f>
        <v>1.07</v>
      </c>
      <c r="H1464" s="53" t="n">
        <f aca="false">(1+$D$1420)^(H$1461-$E$1461-1)</f>
        <v>1.1449</v>
      </c>
      <c r="I1464" s="53" t="n">
        <f aca="false">(1+$D$1420)^(I$1461-$E$1461-1)</f>
        <v>1.225043</v>
      </c>
      <c r="J1464" s="53" t="n">
        <f aca="false">(1+$D$1420)^(J$1461-$E$1461-1)</f>
        <v>1.31079601</v>
      </c>
      <c r="K1464" s="23"/>
      <c r="L1464" s="49" t="s">
        <v>602</v>
      </c>
    </row>
    <row r="1465" customFormat="false" ht="15" hidden="true" customHeight="false" outlineLevel="1" collapsed="false">
      <c r="A1465" s="20" t="n">
        <v>54</v>
      </c>
      <c r="B1465" s="6" t="s">
        <v>603</v>
      </c>
      <c r="C1465" s="20" t="s">
        <v>55</v>
      </c>
      <c r="D1465" s="23"/>
      <c r="E1465" s="23"/>
      <c r="F1465" s="46" t="n">
        <f aca="false">$D$1424*(1+$D$1425)^(F$1461-$E$1461)</f>
        <v>3.21732</v>
      </c>
      <c r="G1465" s="46" t="n">
        <f aca="false">$D$1424*(1+$D$1425)^(G$1461-$E$1461)</f>
        <v>3.4747056</v>
      </c>
      <c r="H1465" s="46" t="n">
        <f aca="false">$D$1424*(1+$D$1425)^(H$1461-$E$1461)</f>
        <v>3.752682048</v>
      </c>
      <c r="I1465" s="46" t="n">
        <f aca="false">$D$1424*(1+$D$1425)^(I$1461-$E$1461)</f>
        <v>4.05289661184</v>
      </c>
      <c r="J1465" s="46" t="n">
        <f aca="false">$D$1424*(1+$D$1425)^(J$1461-$E$1461)</f>
        <v>4.3771283407872</v>
      </c>
      <c r="K1465" s="23"/>
      <c r="L1465" s="49" t="s">
        <v>604</v>
      </c>
    </row>
    <row r="1466" customFormat="false" ht="15" hidden="true" customHeight="false" outlineLevel="1" collapsed="false">
      <c r="A1466" s="19" t="s">
        <v>605</v>
      </c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</row>
    <row r="1467" customFormat="false" ht="15" hidden="true" customHeight="false" outlineLevel="1" collapsed="false">
      <c r="A1467" s="20" t="n">
        <v>55</v>
      </c>
      <c r="B1467" s="6" t="s">
        <v>606</v>
      </c>
      <c r="C1467" s="20" t="s">
        <v>76</v>
      </c>
      <c r="D1467" s="23"/>
      <c r="E1467" s="23"/>
      <c r="F1467" s="38" t="n">
        <f aca="false">IF(F$1461=$D$1411,1,0)</f>
        <v>1</v>
      </c>
      <c r="G1467" s="38" t="n">
        <f aca="false">IF(G$1461=$D$1411,1,0)</f>
        <v>0</v>
      </c>
      <c r="H1467" s="38" t="n">
        <f aca="false">IF(H$1461=$D$1411,1,0)</f>
        <v>0</v>
      </c>
      <c r="I1467" s="38" t="n">
        <f aca="false">IF(I$1461=$D$1411,1,0)</f>
        <v>0</v>
      </c>
      <c r="J1467" s="38" t="n">
        <f aca="false">IF(J$1461=$D$1411,1,0)</f>
        <v>0</v>
      </c>
      <c r="K1467" s="23"/>
      <c r="L1467" s="49" t="s">
        <v>607</v>
      </c>
    </row>
    <row r="1468" customFormat="false" ht="15" hidden="true" customHeight="false" outlineLevel="1" collapsed="false">
      <c r="A1468" s="20" t="n">
        <v>56</v>
      </c>
      <c r="B1468" s="6" t="s">
        <v>608</v>
      </c>
      <c r="C1468" s="20" t="s">
        <v>76</v>
      </c>
      <c r="D1468" s="23"/>
      <c r="E1468" s="38" t="n">
        <f aca="false">0</f>
        <v>0</v>
      </c>
      <c r="F1468" s="38" t="n">
        <f aca="false">F1467+F1452</f>
        <v>1</v>
      </c>
      <c r="G1468" s="38" t="n">
        <f aca="false">G1467+G1452</f>
        <v>0</v>
      </c>
      <c r="H1468" s="38" t="n">
        <f aca="false">H1467+H1452</f>
        <v>1</v>
      </c>
      <c r="I1468" s="38" t="n">
        <f aca="false">I1467+I1452</f>
        <v>0</v>
      </c>
      <c r="J1468" s="38" t="n">
        <f aca="false">J1467+J1452</f>
        <v>1</v>
      </c>
      <c r="K1468" s="54" t="n">
        <f aca="false">SUM(F1468:J1468)</f>
        <v>3</v>
      </c>
      <c r="L1468" s="49" t="s">
        <v>609</v>
      </c>
    </row>
    <row r="1469" customFormat="false" ht="15" hidden="true" customHeight="false" outlineLevel="1" collapsed="false">
      <c r="A1469" s="20" t="n">
        <v>57</v>
      </c>
      <c r="B1469" s="6" t="s">
        <v>610</v>
      </c>
      <c r="C1469" s="20" t="s">
        <v>76</v>
      </c>
      <c r="D1469" s="23"/>
      <c r="E1469" s="38" t="n">
        <f aca="false">0</f>
        <v>0</v>
      </c>
      <c r="F1469" s="38" t="n">
        <f aca="false">E1469+F1468</f>
        <v>1</v>
      </c>
      <c r="G1469" s="38" t="n">
        <f aca="false">F1469+G1468</f>
        <v>1</v>
      </c>
      <c r="H1469" s="38" t="n">
        <f aca="false">G1469+H1468</f>
        <v>2</v>
      </c>
      <c r="I1469" s="38" t="n">
        <f aca="false">H1469+I1468</f>
        <v>2</v>
      </c>
      <c r="J1469" s="38" t="n">
        <f aca="false">I1469+J1468</f>
        <v>3</v>
      </c>
      <c r="K1469" s="23"/>
      <c r="L1469" s="49" t="s">
        <v>611</v>
      </c>
    </row>
    <row r="1470" customFormat="false" ht="15" hidden="true" customHeight="false" outlineLevel="1" collapsed="false">
      <c r="A1470" s="20" t="n">
        <v>58</v>
      </c>
      <c r="B1470" s="6" t="s">
        <v>612</v>
      </c>
      <c r="C1470" s="20" t="s">
        <v>76</v>
      </c>
      <c r="D1470" s="23"/>
      <c r="E1470" s="38" t="n">
        <f aca="false">0</f>
        <v>0</v>
      </c>
      <c r="F1470" s="38" t="n">
        <f aca="false">E1470+F1453</f>
        <v>0</v>
      </c>
      <c r="G1470" s="38" t="n">
        <f aca="false">F1470+G1453</f>
        <v>1</v>
      </c>
      <c r="H1470" s="38" t="n">
        <f aca="false">G1470+H1453</f>
        <v>3</v>
      </c>
      <c r="I1470" s="38" t="n">
        <f aca="false">H1470+I1453</f>
        <v>5</v>
      </c>
      <c r="J1470" s="38" t="n">
        <f aca="false">I1470+J1453</f>
        <v>8</v>
      </c>
      <c r="K1470" s="23"/>
      <c r="L1470" s="49" t="s">
        <v>611</v>
      </c>
    </row>
    <row r="1471" customFormat="false" ht="15" hidden="true" customHeight="false" outlineLevel="1" collapsed="false">
      <c r="A1471" s="20" t="n">
        <v>59</v>
      </c>
      <c r="B1471" s="6" t="s">
        <v>613</v>
      </c>
      <c r="C1471" s="20" t="s">
        <v>76</v>
      </c>
      <c r="D1471" s="23"/>
      <c r="E1471" s="38" t="n">
        <f aca="false">0</f>
        <v>0</v>
      </c>
      <c r="F1471" s="38" t="n">
        <f aca="false">F1469+F1470</f>
        <v>1</v>
      </c>
      <c r="G1471" s="38" t="n">
        <f aca="false">G1469+G1470</f>
        <v>2</v>
      </c>
      <c r="H1471" s="38" t="n">
        <f aca="false">H1469+H1470</f>
        <v>5</v>
      </c>
      <c r="I1471" s="38" t="n">
        <f aca="false">I1469+I1470</f>
        <v>7</v>
      </c>
      <c r="J1471" s="38" t="n">
        <f aca="false">J1469+J1470</f>
        <v>11</v>
      </c>
      <c r="K1471" s="23"/>
      <c r="L1471" s="49" t="s">
        <v>614</v>
      </c>
    </row>
    <row r="1472" customFormat="false" ht="15" hidden="true" customHeight="false" outlineLevel="1" collapsed="false">
      <c r="A1472" s="20" t="n">
        <v>60</v>
      </c>
      <c r="B1472" s="6" t="s">
        <v>615</v>
      </c>
      <c r="C1472" s="20" t="s">
        <v>76</v>
      </c>
      <c r="D1472" s="23"/>
      <c r="E1472" s="23"/>
      <c r="F1472" s="38" t="n">
        <f aca="false">F1468+F1453</f>
        <v>1</v>
      </c>
      <c r="G1472" s="38" t="n">
        <f aca="false">G1468+G1453</f>
        <v>1</v>
      </c>
      <c r="H1472" s="38" t="n">
        <f aca="false">H1468+H1453</f>
        <v>3</v>
      </c>
      <c r="I1472" s="38" t="n">
        <f aca="false">I1468+I1453</f>
        <v>2</v>
      </c>
      <c r="J1472" s="38" t="n">
        <f aca="false">J1468+J1453</f>
        <v>4</v>
      </c>
      <c r="K1472" s="54" t="n">
        <f aca="false">SUM(F1472:J1472)</f>
        <v>11</v>
      </c>
      <c r="L1472" s="49"/>
    </row>
    <row r="1473" customFormat="false" ht="15" hidden="true" customHeight="false" outlineLevel="1" collapsed="false">
      <c r="A1473" s="19" t="s">
        <v>616</v>
      </c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</row>
    <row r="1474" customFormat="false" ht="15" hidden="true" customHeight="false" outlineLevel="1" collapsed="false">
      <c r="A1474" s="20" t="n">
        <v>61</v>
      </c>
      <c r="B1474" s="6" t="s">
        <v>617</v>
      </c>
      <c r="C1474" s="20" t="s">
        <v>71</v>
      </c>
      <c r="D1474" s="23"/>
      <c r="E1474" s="23"/>
      <c r="F1474" s="40" t="n">
        <f aca="false">IF(F$1461&gt;$D$1411,($D$1413+$D$1412*$D$1414)*(1+$D$1419)^(F$1461-$D$1411-1)*F1462,0)</f>
        <v>0</v>
      </c>
      <c r="G1474" s="40" t="n">
        <f aca="false">IF(G$1461&gt;$D$1411,($D$1413+$D$1412*$D$1414)*(1+$D$1419)^(G$1461-$D$1411-1)*G1462,0)</f>
        <v>15.75</v>
      </c>
      <c r="H1474" s="40" t="n">
        <f aca="false">IF(H$1461&gt;$D$1411,($D$1413+$D$1412*$D$1414)*(1+$D$1419)^(H$1461-$D$1411-1)*H1462,0)</f>
        <v>19.018125</v>
      </c>
      <c r="I1474" s="40" t="n">
        <f aca="false">IF(I$1461&gt;$D$1411,($D$1413+$D$1412*$D$1414)*(1+$D$1419)^(I$1461-$D$1411-1)*I1462,0)</f>
        <v>22.9643859375</v>
      </c>
      <c r="J1474" s="40" t="n">
        <f aca="false">IF(J$1461&gt;$D$1411,($D$1413+$D$1412*$D$1414)*(1+$D$1419)^(J$1461-$D$1411-1)*J1462,0)</f>
        <v>27.7294960195313</v>
      </c>
      <c r="K1474" s="51" t="n">
        <f aca="false">SUM(F1474:J1474)</f>
        <v>85.4620069570313</v>
      </c>
      <c r="L1474" s="49" t="s">
        <v>618</v>
      </c>
    </row>
    <row r="1475" customFormat="false" ht="15" hidden="true" customHeight="false" outlineLevel="1" collapsed="false">
      <c r="A1475" s="20" t="n">
        <v>62</v>
      </c>
      <c r="B1475" s="6" t="s">
        <v>619</v>
      </c>
      <c r="C1475" s="20" t="s">
        <v>71</v>
      </c>
      <c r="D1475" s="23"/>
      <c r="E1475" s="23"/>
      <c r="F1475" s="40" t="n">
        <f aca="false">($D$1413+$D$1444*$D$1414)*F1462*SUMPRODUCT($E$1452:E$1452,(1+$D$1419)^(F$1461-$E$1461:E$1461-1))</f>
        <v>0</v>
      </c>
      <c r="G1475" s="40" t="n">
        <f aca="false">($D$1413+$D$1444*$D$1414)*G1462*SUMPRODUCT($E$1452:F$1452,(1+$D$1419)^(G$1461-$E$1461:F$1461-1))</f>
        <v>0</v>
      </c>
      <c r="H1475" s="40" t="n">
        <f aca="false">($D$1413+$D$1444*$D$1414)*H1462*SUMPRODUCT($E$1452:G$1452,(1+$D$1419)^(H$1461-$E$1461:G$1461-1))</f>
        <v>0</v>
      </c>
      <c r="I1475" s="40" t="n">
        <f aca="false">($D$1413+$D$1444*$D$1414)*I1462*SUMPRODUCT($E$1452:H$1452,(1+$D$1419)^(I$1461-$E$1461:H$1461-1))</f>
        <v>9.78719318181818</v>
      </c>
      <c r="J1475" s="40" t="n">
        <f aca="false">($D$1413+$D$1444*$D$1414)*J1462*SUMPRODUCT($E$1452:I$1452,(1+$D$1419)^(J$1461-$E$1461:I$1461-1))</f>
        <v>11.8180357670455</v>
      </c>
      <c r="K1475" s="51" t="n">
        <f aca="false">SUM(F1475:J1475)</f>
        <v>21.6052289488636</v>
      </c>
      <c r="L1475" s="49" t="s">
        <v>620</v>
      </c>
    </row>
    <row r="1476" customFormat="false" ht="15" hidden="true" customHeight="false" outlineLevel="1" collapsed="false">
      <c r="A1476" s="20" t="n">
        <v>63</v>
      </c>
      <c r="B1476" s="6" t="s">
        <v>621</v>
      </c>
      <c r="C1476" s="20" t="s">
        <v>71</v>
      </c>
      <c r="D1476" s="23"/>
      <c r="E1476" s="23"/>
      <c r="F1476" s="40" t="n">
        <f aca="false">($D$1415+$D$1445*$D$1414)*F1462*SUMPRODUCT($E$1453:E$1453,(1+$D$1419)^(F$1461-$E$1461:E$1461-1))</f>
        <v>0</v>
      </c>
      <c r="G1476" s="40" t="n">
        <f aca="false">($D$1415+$D$1445*$D$1414)*G1462*SUMPRODUCT($E$1453:F$1453,(1+$D$1419)^(G$1461-$E$1461:F$1461-1))</f>
        <v>0</v>
      </c>
      <c r="H1476" s="40" t="n">
        <f aca="false">($D$1415+$D$1445*$D$1414)*H1462*SUMPRODUCT($E$1453:G$1453,(1+$D$1419)^(H$1461-$E$1461:G$1461-1))</f>
        <v>1.8087890625</v>
      </c>
      <c r="I1476" s="40" t="n">
        <f aca="false">($D$1415+$D$1445*$D$1414)*I1462*SUMPRODUCT($E$1453:H$1453,(1+$D$1419)^(I$1461-$E$1461:H$1461-1))</f>
        <v>5.98256982421875</v>
      </c>
      <c r="J1476" s="40" t="n">
        <f aca="false">($D$1415+$D$1445*$D$1414)*J1462*SUMPRODUCT($E$1453:I$1453,(1+$D$1419)^(J$1461-$E$1461:I$1461-1))</f>
        <v>11.2123329455566</v>
      </c>
      <c r="K1476" s="51" t="n">
        <f aca="false">SUM(F1476:J1476)</f>
        <v>19.0036918322754</v>
      </c>
      <c r="L1476" s="49" t="s">
        <v>622</v>
      </c>
    </row>
    <row r="1477" customFormat="false" ht="15" hidden="true" customHeight="false" outlineLevel="1" collapsed="false">
      <c r="A1477" s="20" t="n">
        <v>64</v>
      </c>
      <c r="B1477" s="6" t="s">
        <v>623</v>
      </c>
      <c r="C1477" s="20" t="s">
        <v>71</v>
      </c>
      <c r="D1477" s="23"/>
      <c r="E1477" s="23"/>
      <c r="F1477" s="40" t="n">
        <f aca="false">(F1468*$D$1416+F1453*$D$1417)*F1462</f>
        <v>8</v>
      </c>
      <c r="G1477" s="40" t="n">
        <f aca="false">(G1468*$D$1416+G1453*$D$1417)*G1462</f>
        <v>2.1</v>
      </c>
      <c r="H1477" s="40" t="n">
        <f aca="false">(H1468*$D$1416+H1453*$D$1417)*H1462</f>
        <v>13.23</v>
      </c>
      <c r="I1477" s="40" t="n">
        <f aca="false">(I1468*$D$1416+I1453*$D$1417)*I1462</f>
        <v>4.6305</v>
      </c>
      <c r="J1477" s="40" t="n">
        <f aca="false">(J1468*$D$1416+J1453*$D$1417)*J1462</f>
        <v>17.0170875</v>
      </c>
      <c r="K1477" s="51" t="n">
        <f aca="false">SUM(F1477:J1477)</f>
        <v>44.9775875</v>
      </c>
      <c r="L1477" s="49" t="s">
        <v>624</v>
      </c>
    </row>
    <row r="1478" customFormat="false" ht="15" hidden="true" customHeight="false" outlineLevel="1" collapsed="false">
      <c r="A1478" s="20" t="n">
        <v>65</v>
      </c>
      <c r="B1478" s="6" t="s">
        <v>625</v>
      </c>
      <c r="C1478" s="20" t="s">
        <v>71</v>
      </c>
      <c r="D1478" s="23"/>
      <c r="E1478" s="23"/>
      <c r="F1478" s="40" t="n">
        <f aca="false">F1474+F1475+F1476</f>
        <v>0</v>
      </c>
      <c r="G1478" s="40" t="n">
        <f aca="false">G1474+G1475+G1476</f>
        <v>15.75</v>
      </c>
      <c r="H1478" s="40" t="n">
        <f aca="false">H1474+H1475+H1476</f>
        <v>20.8269140625</v>
      </c>
      <c r="I1478" s="40" t="n">
        <f aca="false">I1474+I1475+I1476</f>
        <v>38.7341489435369</v>
      </c>
      <c r="J1478" s="40" t="n">
        <f aca="false">J1474+J1475+J1476</f>
        <v>50.7598647321333</v>
      </c>
      <c r="K1478" s="51" t="n">
        <f aca="false">SUM(F1478:J1478)</f>
        <v>126.07092773817</v>
      </c>
      <c r="L1478" s="49"/>
    </row>
    <row r="1479" customFormat="false" ht="15" hidden="true" customHeight="false" outlineLevel="1" collapsed="false">
      <c r="A1479" s="20" t="n">
        <v>66</v>
      </c>
      <c r="B1479" s="6" t="s">
        <v>91</v>
      </c>
      <c r="C1479" s="20" t="s">
        <v>71</v>
      </c>
      <c r="D1479" s="23"/>
      <c r="E1479" s="23"/>
      <c r="F1479" s="40" t="n">
        <f aca="false">F1478+F1477</f>
        <v>8</v>
      </c>
      <c r="G1479" s="40" t="n">
        <f aca="false">G1478+G1477</f>
        <v>17.85</v>
      </c>
      <c r="H1479" s="40" t="n">
        <f aca="false">H1478+H1477</f>
        <v>34.0569140625</v>
      </c>
      <c r="I1479" s="40" t="n">
        <f aca="false">I1478+I1477</f>
        <v>43.3646489435369</v>
      </c>
      <c r="J1479" s="40" t="n">
        <f aca="false">J1478+J1477</f>
        <v>67.7769522321333</v>
      </c>
      <c r="K1479" s="51" t="n">
        <f aca="false">SUM(F1479:J1479)</f>
        <v>171.04851523817</v>
      </c>
      <c r="L1479" s="49" t="s">
        <v>626</v>
      </c>
    </row>
    <row r="1480" customFormat="false" ht="15" hidden="true" customHeight="false" outlineLevel="1" collapsed="false">
      <c r="A1480" s="20" t="n">
        <v>67</v>
      </c>
      <c r="B1480" s="6" t="s">
        <v>627</v>
      </c>
      <c r="C1480" s="20" t="s">
        <v>55</v>
      </c>
      <c r="D1480" s="23"/>
      <c r="E1480" s="23"/>
      <c r="F1480" s="40" t="n">
        <f aca="false">IF(F$1461&gt;=$D$1411,($D$1413+$D$1412*$D$1414)*(1+$D$1419)^(F$1461-$D$1411)*F1462,0)+($D$1413+$D$1444*$D$1414)*F1462*SUMPRODUCT($E$1452:F$1452,(1+$D$1419)^(F$1461-$E$1461:F$1461))+($D$1415+$D$1445*$D$1414)*F1462*SUMPRODUCT($E$1453:F$1453,(1+$D$1419)^(F$1461-$E$1461:F$1461))</f>
        <v>15</v>
      </c>
      <c r="G1480" s="40" t="n">
        <f aca="false">IF(G$1461&gt;=$D$1411,($D$1413+$D$1412*$D$1414)*(1+$D$1419)^(G$1461-$D$1411)*G1462,0)+($D$1413+$D$1444*$D$1414)*G1462*SUMPRODUCT($E$1452:G$1452,(1+$D$1419)^(G$1461-$E$1461:G$1461))+($D$1415+$D$1445*$D$1414)*G1462*SUMPRODUCT($E$1453:G$1453,(1+$D$1419)^(G$1461-$E$1461:G$1461))</f>
        <v>19.83515625</v>
      </c>
      <c r="H1480" s="40" t="n">
        <f aca="false">IF(H$1461&gt;=$D$1411,($D$1413+$D$1412*$D$1414)*(1+$D$1419)^(H$1461-$D$1411)*H1462,0)+($D$1413+$D$1444*$D$1414)*H1462*SUMPRODUCT($E$1452:H$1452,(1+$D$1419)^(H$1461-$E$1461:H$1461))+($D$1415+$D$1445*$D$1414)*H1462*SUMPRODUCT($E$1453:H$1453,(1+$D$1419)^(H$1461-$E$1461:H$1461))</f>
        <v>36.8896656605114</v>
      </c>
      <c r="I1480" s="40" t="n">
        <f aca="false">IF(I$1461&gt;=$D$1411,($D$1413+$D$1412*$D$1414)*(1+$D$1419)^(I$1461-$D$1411)*I1462,0)+($D$1413+$D$1444*$D$1414)*I1462*SUMPRODUCT($E$1452:I$1452,(1+$D$1419)^(I$1461-$E$1461:I$1461))+($D$1415+$D$1445*$D$1414)*I1462*SUMPRODUCT($E$1453:I$1453,(1+$D$1419)^(I$1461-$E$1461:I$1461))</f>
        <v>48.3427283163175</v>
      </c>
      <c r="J1480" s="40" t="n">
        <f aca="false">IF(J$1461&gt;=$D$1411,($D$1413+$D$1412*$D$1414)*(1+$D$1419)^(J$1461-$D$1411)*J1462,0)+($D$1413+$D$1444*$D$1414)*J1462*SUMPRODUCT($E$1452:J$1452,(1+$D$1419)^(J$1461-$E$1461:J$1461))+($D$1415+$D$1445*$D$1414)*J1462*SUMPRODUCT($E$1453:J$1453,(1+$D$1419)^(J$1461-$E$1461:J$1461))</f>
        <v>74.6329671070812</v>
      </c>
      <c r="K1480" s="23"/>
      <c r="L1480" s="49" t="s">
        <v>628</v>
      </c>
    </row>
    <row r="1481" customFormat="false" ht="15" hidden="true" customHeight="false" outlineLevel="1" collapsed="false">
      <c r="A1481" s="19" t="s">
        <v>629</v>
      </c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</row>
    <row r="1482" customFormat="false" ht="15" hidden="true" customHeight="false" outlineLevel="1" collapsed="false">
      <c r="A1482" s="20" t="n">
        <v>68</v>
      </c>
      <c r="B1482" s="6" t="s">
        <v>630</v>
      </c>
      <c r="C1482" s="20" t="s">
        <v>53</v>
      </c>
      <c r="D1482" s="23"/>
      <c r="E1482" s="40" t="n">
        <f aca="false">E1454+E1455+E1456+E1457+E1458+E1459</f>
        <v>2</v>
      </c>
      <c r="F1482" s="40" t="n">
        <f aca="false">F1454+F1455+F1456+F1457+F1458+F1459</f>
        <v>4</v>
      </c>
      <c r="G1482" s="40" t="n">
        <f aca="false">G1454+G1455+G1456+G1457+G1458+G1459</f>
        <v>5</v>
      </c>
      <c r="H1482" s="40" t="n">
        <f aca="false">H1454+H1455+H1456+H1457+H1458+H1459</f>
        <v>6</v>
      </c>
      <c r="I1482" s="40" t="n">
        <f aca="false">I1454+I1455+I1456+I1457+I1458+I1459</f>
        <v>7</v>
      </c>
      <c r="J1482" s="40" t="n">
        <f aca="false">J1454+J1455+J1456+J1457+J1458+J1459</f>
        <v>8</v>
      </c>
      <c r="K1482" s="23"/>
      <c r="L1482" s="49" t="s">
        <v>631</v>
      </c>
    </row>
    <row r="1483" customFormat="false" ht="15" hidden="true" customHeight="false" outlineLevel="1" collapsed="false">
      <c r="A1483" s="20" t="n">
        <v>69</v>
      </c>
      <c r="B1483" s="6" t="s">
        <v>632</v>
      </c>
      <c r="C1483" s="20" t="s">
        <v>53</v>
      </c>
      <c r="D1483" s="23"/>
      <c r="E1483" s="23"/>
      <c r="F1483" s="40" t="n">
        <f aca="false">MAX(0,F1482-E1482)</f>
        <v>2</v>
      </c>
      <c r="G1483" s="40" t="n">
        <f aca="false">MAX(0,G1482-F1482)</f>
        <v>1</v>
      </c>
      <c r="H1483" s="40" t="n">
        <f aca="false">MAX(0,H1482-G1482)</f>
        <v>1</v>
      </c>
      <c r="I1483" s="40" t="n">
        <f aca="false">MAX(0,I1482-H1482)</f>
        <v>1</v>
      </c>
      <c r="J1483" s="40" t="n">
        <f aca="false">MAX(0,J1482-I1482)</f>
        <v>1</v>
      </c>
      <c r="K1483" s="23"/>
      <c r="L1483" s="49" t="s">
        <v>633</v>
      </c>
    </row>
    <row r="1484" customFormat="false" ht="15" hidden="true" customHeight="false" outlineLevel="1" collapsed="false">
      <c r="A1484" s="20" t="n">
        <v>70</v>
      </c>
      <c r="B1484" s="6" t="s">
        <v>634</v>
      </c>
      <c r="C1484" s="20" t="s">
        <v>71</v>
      </c>
      <c r="D1484" s="23"/>
      <c r="E1484" s="23"/>
      <c r="F1484" s="41" t="n">
        <f aca="false">$D$1446*12/1000*F1464</f>
        <v>2.88</v>
      </c>
      <c r="G1484" s="41" t="n">
        <f aca="false">$D$1446*12/1000*G1464</f>
        <v>3.0816</v>
      </c>
      <c r="H1484" s="41" t="n">
        <f aca="false">$D$1446*12/1000*H1464</f>
        <v>3.297312</v>
      </c>
      <c r="I1484" s="41" t="n">
        <f aca="false">$D$1446*12/1000*I1464</f>
        <v>3.52812384</v>
      </c>
      <c r="J1484" s="41" t="n">
        <f aca="false">$D$1446*12/1000*J1464</f>
        <v>3.7750925088</v>
      </c>
      <c r="K1484" s="23"/>
      <c r="L1484" s="49" t="s">
        <v>635</v>
      </c>
    </row>
    <row r="1485" customFormat="false" ht="15" hidden="true" customHeight="false" outlineLevel="1" collapsed="false">
      <c r="A1485" s="20" t="n">
        <v>71</v>
      </c>
      <c r="B1485" s="6" t="s">
        <v>636</v>
      </c>
      <c r="C1485" s="20" t="s">
        <v>71</v>
      </c>
      <c r="D1485" s="23"/>
      <c r="E1485" s="23"/>
      <c r="F1485" s="41" t="n">
        <f aca="false">$D$1447*12/1000*F1464</f>
        <v>4.032</v>
      </c>
      <c r="G1485" s="41" t="n">
        <f aca="false">$D$1447*12/1000*G1464</f>
        <v>4.31424</v>
      </c>
      <c r="H1485" s="41" t="n">
        <f aca="false">$D$1447*12/1000*H1464</f>
        <v>4.6162368</v>
      </c>
      <c r="I1485" s="41" t="n">
        <f aca="false">$D$1447*12/1000*I1464</f>
        <v>4.939373376</v>
      </c>
      <c r="J1485" s="41" t="n">
        <f aca="false">$D$1447*12/1000*J1464</f>
        <v>5.28512951232</v>
      </c>
      <c r="K1485" s="23"/>
      <c r="L1485" s="49" t="s">
        <v>635</v>
      </c>
    </row>
    <row r="1486" customFormat="false" ht="15" hidden="true" customHeight="false" outlineLevel="1" collapsed="false">
      <c r="A1486" s="20" t="n">
        <v>72</v>
      </c>
      <c r="B1486" s="6" t="s">
        <v>637</v>
      </c>
      <c r="C1486" s="20" t="s">
        <v>71</v>
      </c>
      <c r="D1486" s="23"/>
      <c r="E1486" s="23"/>
      <c r="F1486" s="41" t="n">
        <f aca="false">$D$1448*12/1000*F1464</f>
        <v>3.312</v>
      </c>
      <c r="G1486" s="41" t="n">
        <f aca="false">$D$1448*12/1000*G1464</f>
        <v>3.54384</v>
      </c>
      <c r="H1486" s="41" t="n">
        <f aca="false">$D$1448*12/1000*H1464</f>
        <v>3.7919088</v>
      </c>
      <c r="I1486" s="41" t="n">
        <f aca="false">$D$1448*12/1000*I1464</f>
        <v>4.057342416</v>
      </c>
      <c r="J1486" s="41" t="n">
        <f aca="false">$D$1448*12/1000*J1464</f>
        <v>4.34135638512</v>
      </c>
      <c r="K1486" s="23"/>
      <c r="L1486" s="49" t="s">
        <v>635</v>
      </c>
    </row>
    <row r="1487" customFormat="false" ht="15" hidden="true" customHeight="false" outlineLevel="1" collapsed="false">
      <c r="A1487" s="20" t="n">
        <v>73</v>
      </c>
      <c r="B1487" s="6" t="s">
        <v>638</v>
      </c>
      <c r="C1487" s="20" t="s">
        <v>71</v>
      </c>
      <c r="D1487" s="23"/>
      <c r="E1487" s="23"/>
      <c r="F1487" s="41" t="n">
        <f aca="false">$D$1449*12/1000*F1464</f>
        <v>3.168</v>
      </c>
      <c r="G1487" s="41" t="n">
        <f aca="false">$D$1449*12/1000*G1464</f>
        <v>3.38976</v>
      </c>
      <c r="H1487" s="41" t="n">
        <f aca="false">$D$1449*12/1000*H1464</f>
        <v>3.6270432</v>
      </c>
      <c r="I1487" s="41" t="n">
        <f aca="false">$D$1449*12/1000*I1464</f>
        <v>3.880936224</v>
      </c>
      <c r="J1487" s="41" t="n">
        <f aca="false">$D$1449*12/1000*J1464</f>
        <v>4.15260175968</v>
      </c>
      <c r="K1487" s="23"/>
      <c r="L1487" s="49" t="s">
        <v>635</v>
      </c>
    </row>
    <row r="1488" customFormat="false" ht="15" hidden="true" customHeight="false" outlineLevel="1" collapsed="false">
      <c r="A1488" s="20" t="n">
        <v>74</v>
      </c>
      <c r="B1488" s="6" t="s">
        <v>639</v>
      </c>
      <c r="C1488" s="20" t="s">
        <v>71</v>
      </c>
      <c r="D1488" s="23"/>
      <c r="E1488" s="23"/>
      <c r="F1488" s="41" t="n">
        <f aca="false">$D$1450*12/1000*F1464</f>
        <v>3.6</v>
      </c>
      <c r="G1488" s="41" t="n">
        <f aca="false">$D$1450*12/1000*G1464</f>
        <v>3.852</v>
      </c>
      <c r="H1488" s="41" t="n">
        <f aca="false">$D$1450*12/1000*H1464</f>
        <v>4.12164</v>
      </c>
      <c r="I1488" s="41" t="n">
        <f aca="false">$D$1450*12/1000*I1464</f>
        <v>4.4101548</v>
      </c>
      <c r="J1488" s="41" t="n">
        <f aca="false">$D$1450*12/1000*J1464</f>
        <v>4.718865636</v>
      </c>
      <c r="K1488" s="23"/>
      <c r="L1488" s="49" t="s">
        <v>635</v>
      </c>
    </row>
    <row r="1489" customFormat="false" ht="15" hidden="true" customHeight="false" outlineLevel="1" collapsed="false">
      <c r="A1489" s="20" t="n">
        <v>75</v>
      </c>
      <c r="B1489" s="6" t="s">
        <v>640</v>
      </c>
      <c r="C1489" s="20" t="s">
        <v>71</v>
      </c>
      <c r="D1489" s="23"/>
      <c r="E1489" s="23"/>
      <c r="F1489" s="41" t="n">
        <f aca="false">$D$1451*12/1000*F1464</f>
        <v>3.168</v>
      </c>
      <c r="G1489" s="41" t="n">
        <f aca="false">$D$1451*12/1000*G1464</f>
        <v>3.38976</v>
      </c>
      <c r="H1489" s="41" t="n">
        <f aca="false">$D$1451*12/1000*H1464</f>
        <v>3.6270432</v>
      </c>
      <c r="I1489" s="41" t="n">
        <f aca="false">$D$1451*12/1000*I1464</f>
        <v>3.880936224</v>
      </c>
      <c r="J1489" s="41" t="n">
        <f aca="false">$D$1451*12/1000*J1464</f>
        <v>4.15260175968</v>
      </c>
      <c r="K1489" s="23"/>
      <c r="L1489" s="49" t="s">
        <v>635</v>
      </c>
    </row>
    <row r="1490" customFormat="false" ht="15" hidden="true" customHeight="false" outlineLevel="1" collapsed="false">
      <c r="A1490" s="20" t="n">
        <v>76</v>
      </c>
      <c r="B1490" s="6" t="s">
        <v>641</v>
      </c>
      <c r="C1490" s="20" t="s">
        <v>71</v>
      </c>
      <c r="D1490" s="23"/>
      <c r="E1490" s="23"/>
      <c r="F1490" s="40" t="n">
        <f aca="false">F1454*F1484</f>
        <v>5.76</v>
      </c>
      <c r="G1490" s="40" t="n">
        <f aca="false">G1454*G1484</f>
        <v>6.1632</v>
      </c>
      <c r="H1490" s="40" t="n">
        <f aca="false">H1454*H1484</f>
        <v>6.594624</v>
      </c>
      <c r="I1490" s="40" t="n">
        <f aca="false">I1454*I1484</f>
        <v>7.05624768</v>
      </c>
      <c r="J1490" s="40" t="n">
        <f aca="false">J1454*J1484</f>
        <v>7.5501850176</v>
      </c>
      <c r="K1490" s="51" t="n">
        <f aca="false">SUM(F1490:J1490)</f>
        <v>33.1242566976</v>
      </c>
      <c r="L1490" s="49" t="s">
        <v>642</v>
      </c>
    </row>
    <row r="1491" customFormat="false" ht="15" hidden="true" customHeight="false" outlineLevel="1" collapsed="false">
      <c r="A1491" s="20" t="n">
        <v>77</v>
      </c>
      <c r="B1491" s="6" t="s">
        <v>643</v>
      </c>
      <c r="C1491" s="20" t="s">
        <v>71</v>
      </c>
      <c r="D1491" s="23"/>
      <c r="E1491" s="23"/>
      <c r="F1491" s="40" t="n">
        <f aca="false">F1455*F1485</f>
        <v>4.032</v>
      </c>
      <c r="G1491" s="40" t="n">
        <f aca="false">G1455*G1485</f>
        <v>4.31424</v>
      </c>
      <c r="H1491" s="40" t="n">
        <f aca="false">H1455*H1485</f>
        <v>4.6162368</v>
      </c>
      <c r="I1491" s="40" t="n">
        <f aca="false">I1455*I1485</f>
        <v>9.878746752</v>
      </c>
      <c r="J1491" s="40" t="n">
        <f aca="false">J1455*J1485</f>
        <v>10.57025902464</v>
      </c>
      <c r="K1491" s="51" t="n">
        <f aca="false">SUM(F1491:J1491)</f>
        <v>33.41148257664</v>
      </c>
      <c r="L1491" s="49" t="s">
        <v>642</v>
      </c>
    </row>
    <row r="1492" customFormat="false" ht="15" hidden="true" customHeight="false" outlineLevel="1" collapsed="false">
      <c r="A1492" s="20" t="n">
        <v>78</v>
      </c>
      <c r="B1492" s="6" t="s">
        <v>644</v>
      </c>
      <c r="C1492" s="20" t="s">
        <v>71</v>
      </c>
      <c r="D1492" s="23"/>
      <c r="E1492" s="23"/>
      <c r="F1492" s="40" t="n">
        <f aca="false">F1456*F1486</f>
        <v>3.312</v>
      </c>
      <c r="G1492" s="40" t="n">
        <f aca="false">G1456*G1486</f>
        <v>3.54384</v>
      </c>
      <c r="H1492" s="40" t="n">
        <f aca="false">H1456*H1486</f>
        <v>3.7919088</v>
      </c>
      <c r="I1492" s="40" t="n">
        <f aca="false">I1456*I1486</f>
        <v>4.057342416</v>
      </c>
      <c r="J1492" s="40" t="n">
        <f aca="false">J1456*J1486</f>
        <v>4.34135638512</v>
      </c>
      <c r="K1492" s="51" t="n">
        <f aca="false">SUM(F1492:J1492)</f>
        <v>19.04644760112</v>
      </c>
      <c r="L1492" s="49" t="s">
        <v>642</v>
      </c>
    </row>
    <row r="1493" customFormat="false" ht="15" hidden="true" customHeight="false" outlineLevel="1" collapsed="false">
      <c r="A1493" s="20" t="n">
        <v>79</v>
      </c>
      <c r="B1493" s="6" t="s">
        <v>645</v>
      </c>
      <c r="C1493" s="20" t="s">
        <v>71</v>
      </c>
      <c r="D1493" s="23"/>
      <c r="E1493" s="23"/>
      <c r="F1493" s="40" t="n">
        <f aca="false">F1457*F1487</f>
        <v>0</v>
      </c>
      <c r="G1493" s="40" t="n">
        <f aca="false">G1457*G1487</f>
        <v>3.38976</v>
      </c>
      <c r="H1493" s="40" t="n">
        <f aca="false">H1457*H1487</f>
        <v>3.6270432</v>
      </c>
      <c r="I1493" s="40" t="n">
        <f aca="false">I1457*I1487</f>
        <v>3.880936224</v>
      </c>
      <c r="J1493" s="40" t="n">
        <f aca="false">J1457*J1487</f>
        <v>4.15260175968</v>
      </c>
      <c r="K1493" s="51" t="n">
        <f aca="false">SUM(F1493:J1493)</f>
        <v>15.05034118368</v>
      </c>
      <c r="L1493" s="49" t="s">
        <v>642</v>
      </c>
    </row>
    <row r="1494" customFormat="false" ht="15" hidden="true" customHeight="false" outlineLevel="1" collapsed="false">
      <c r="A1494" s="20" t="n">
        <v>80</v>
      </c>
      <c r="B1494" s="6" t="s">
        <v>646</v>
      </c>
      <c r="C1494" s="20" t="s">
        <v>71</v>
      </c>
      <c r="D1494" s="23"/>
      <c r="E1494" s="23"/>
      <c r="F1494" s="40" t="n">
        <f aca="false">F1458*F1488</f>
        <v>0</v>
      </c>
      <c r="G1494" s="40" t="n">
        <f aca="false">G1458*G1488</f>
        <v>0</v>
      </c>
      <c r="H1494" s="40" t="n">
        <f aca="false">H1458*H1488</f>
        <v>4.12164</v>
      </c>
      <c r="I1494" s="40" t="n">
        <f aca="false">I1458*I1488</f>
        <v>4.4101548</v>
      </c>
      <c r="J1494" s="40" t="n">
        <f aca="false">J1458*J1488</f>
        <v>4.718865636</v>
      </c>
      <c r="K1494" s="51" t="n">
        <f aca="false">SUM(F1494:J1494)</f>
        <v>13.250660436</v>
      </c>
      <c r="L1494" s="49" t="s">
        <v>642</v>
      </c>
    </row>
    <row r="1495" customFormat="false" ht="15" hidden="true" customHeight="false" outlineLevel="1" collapsed="false">
      <c r="A1495" s="20" t="n">
        <v>81</v>
      </c>
      <c r="B1495" s="6" t="s">
        <v>647</v>
      </c>
      <c r="C1495" s="20" t="s">
        <v>71</v>
      </c>
      <c r="D1495" s="23"/>
      <c r="E1495" s="23"/>
      <c r="F1495" s="40" t="n">
        <f aca="false">F1459*F1489</f>
        <v>0</v>
      </c>
      <c r="G1495" s="40" t="n">
        <f aca="false">G1459*G1489</f>
        <v>0</v>
      </c>
      <c r="H1495" s="40" t="n">
        <f aca="false">H1459*H1489</f>
        <v>0</v>
      </c>
      <c r="I1495" s="40" t="n">
        <f aca="false">I1459*I1489</f>
        <v>0</v>
      </c>
      <c r="J1495" s="40" t="n">
        <f aca="false">J1459*J1489</f>
        <v>4.15260175968</v>
      </c>
      <c r="K1495" s="51" t="n">
        <f aca="false">SUM(F1495:J1495)</f>
        <v>4.15260175968</v>
      </c>
      <c r="L1495" s="49" t="s">
        <v>642</v>
      </c>
    </row>
    <row r="1496" customFormat="false" ht="15" hidden="true" customHeight="false" outlineLevel="1" collapsed="false">
      <c r="A1496" s="20" t="n">
        <v>82</v>
      </c>
      <c r="B1496" s="6" t="s">
        <v>648</v>
      </c>
      <c r="C1496" s="20" t="s">
        <v>71</v>
      </c>
      <c r="D1496" s="23"/>
      <c r="E1496" s="23"/>
      <c r="F1496" s="40" t="n">
        <f aca="false">F1490+F1491+F1492+F1493+F1494+F1495</f>
        <v>13.104</v>
      </c>
      <c r="G1496" s="40" t="n">
        <f aca="false">G1490+G1491+G1492+G1493+G1494+G1495</f>
        <v>17.41104</v>
      </c>
      <c r="H1496" s="40" t="n">
        <f aca="false">H1490+H1491+H1492+H1493+H1494+H1495</f>
        <v>22.7514528</v>
      </c>
      <c r="I1496" s="40" t="n">
        <f aca="false">I1490+I1491+I1492+I1493+I1494+I1495</f>
        <v>29.283427872</v>
      </c>
      <c r="J1496" s="40" t="n">
        <f aca="false">J1490+J1491+J1492+J1493+J1494+J1495</f>
        <v>35.48586958272</v>
      </c>
      <c r="K1496" s="51" t="n">
        <f aca="false">SUM(F1496:J1496)</f>
        <v>118.03579025472</v>
      </c>
      <c r="L1496" s="49"/>
    </row>
    <row r="1497" customFormat="false" ht="15" hidden="true" customHeight="false" outlineLevel="1" collapsed="false">
      <c r="A1497" s="20" t="n">
        <v>83</v>
      </c>
      <c r="B1497" s="6" t="s">
        <v>649</v>
      </c>
      <c r="C1497" s="20" t="s">
        <v>71</v>
      </c>
      <c r="D1497" s="23"/>
      <c r="E1497" s="23"/>
      <c r="F1497" s="40" t="n">
        <f aca="false">F1454*(MIN(F1484,F1465)*$D$1421+MAX(0,F1484-F1465)*$D$1422+F1484*$D$1423)+F1455*(MIN(F1485,F1465)*$D$1421+MAX(0,F1485-F1465)*$D$1422+F1485*$D$1423)+F1456*(MIN(F1486,F1465)*$D$1421+MAX(0,F1486-F1465)*$D$1422+F1486*$D$1423)+F1457*(MIN(F1487,F1465)*$D$1421+MAX(0,F1487-F1465)*$D$1422+F1487*$D$1423)+F1458*(MIN(F1488,F1465)*$D$1421+MAX(0,F1488-F1465)*$D$1422+F1488*$D$1423)+F1459*(MIN(F1489,F1465)*$D$1421+MAX(0,F1489-F1465)*$D$1422+F1489*$D$1423)</f>
        <v>1.92451536</v>
      </c>
      <c r="G1497" s="40" t="n">
        <f aca="false">G1454*(MIN(G1484,G1465)*$D$1421+MAX(0,G1484-G1465)*$D$1422+G1484*$D$1423)+G1455*(MIN(G1485,G1465)*$D$1421+MAX(0,G1485-G1465)*$D$1422+G1485*$D$1423)+G1456*(MIN(G1486,G1465)*$D$1421+MAX(0,G1486-G1465)*$D$1422+G1486*$D$1423)+G1457*(MIN(G1487,G1465)*$D$1421+MAX(0,G1487-G1465)*$D$1422+G1487*$D$1423)+G1458*(MIN(G1488,G1465)*$D$1421+MAX(0,G1488-G1465)*$D$1422+G1488*$D$1423)+G1459*(MIN(G1489,G1465)*$D$1421+MAX(0,G1489-G1465)*$D$1422+G1489*$D$1423)</f>
        <v>2.5792365888</v>
      </c>
      <c r="H1497" s="40" t="n">
        <f aca="false">H1454*(MIN(H1484,H1465)*$D$1421+MAX(0,H1484-H1465)*$D$1422+H1484*$D$1423)+H1455*(MIN(H1485,H1465)*$D$1421+MAX(0,H1485-H1465)*$D$1422+H1485*$D$1423)+H1456*(MIN(H1486,H1465)*$D$1421+MAX(0,H1486-H1465)*$D$1422+H1486*$D$1423)+H1457*(MIN(H1487,H1465)*$D$1421+MAX(0,H1487-H1465)*$D$1422+H1487*$D$1423)+H1458*(MIN(H1488,H1465)*$D$1421+MAX(0,H1488-H1465)*$D$1422+H1488*$D$1423)+H1459*(MIN(H1489,H1465)*$D$1421+MAX(0,H1489-H1465)*$D$1422+H1489*$D$1423)</f>
        <v>3.364112105856</v>
      </c>
      <c r="I1497" s="40" t="n">
        <f aca="false">I1454*(MIN(I1484,I1465)*$D$1421+MAX(0,I1484-I1465)*$D$1422+I1484*$D$1423)+I1455*(MIN(I1485,I1465)*$D$1421+MAX(0,I1485-I1465)*$D$1422+I1485*$D$1423)+I1456*(MIN(I1486,I1465)*$D$1421+MAX(0,I1486-I1465)*$D$1422+I1486*$D$1423)+I1457*(MIN(I1487,I1465)*$D$1421+MAX(0,I1487-I1465)*$D$1422+I1487*$D$1423)+I1458*(MIN(I1488,I1465)*$D$1421+MAX(0,I1488-I1465)*$D$1422+I1488*$D$1423)+I1459*(MIN(I1489,I1465)*$D$1421+MAX(0,I1489-I1465)*$D$1422+I1489*$D$1423)</f>
        <v>4.29311638001664</v>
      </c>
      <c r="J1497" s="40" t="n">
        <f aca="false">J1454*(MIN(J1484,J1465)*$D$1421+MAX(0,J1484-J1465)*$D$1422+J1484*$D$1423)+J1455*(MIN(J1485,J1465)*$D$1421+MAX(0,J1485-J1465)*$D$1422+J1485*$D$1423)+J1456*(MIN(J1486,J1465)*$D$1421+MAX(0,J1486-J1465)*$D$1422+J1486*$D$1423)+J1457*(MIN(J1487,J1465)*$D$1421+MAX(0,J1487-J1465)*$D$1422+J1487*$D$1423)+J1458*(MIN(J1488,J1465)*$D$1421+MAX(0,J1488-J1465)*$D$1422+J1488*$D$1423)+J1459*(MIN(J1489,J1465)*$D$1421+MAX(0,J1489-J1465)*$D$1422+J1489*$D$1423)</f>
        <v>5.23417944334084</v>
      </c>
      <c r="K1497" s="51" t="n">
        <f aca="false">SUM(F1497:J1497)</f>
        <v>17.3951598780135</v>
      </c>
      <c r="L1497" s="49" t="s">
        <v>650</v>
      </c>
    </row>
    <row r="1498" customFormat="false" ht="15" hidden="true" customHeight="false" outlineLevel="1" collapsed="false">
      <c r="A1498" s="20" t="n">
        <v>84</v>
      </c>
      <c r="B1498" s="6" t="s">
        <v>651</v>
      </c>
      <c r="C1498" s="20"/>
      <c r="D1498" s="23"/>
      <c r="E1498" s="23"/>
      <c r="F1498" s="38" t="n">
        <f aca="false">IF(AND(F1471&gt;0,E1471=0),1,0)</f>
        <v>1</v>
      </c>
      <c r="G1498" s="38" t="n">
        <f aca="false">IF(AND(G1471&gt;0,F1471=0),1,0)</f>
        <v>0</v>
      </c>
      <c r="H1498" s="38" t="n">
        <f aca="false">IF(AND(H1471&gt;0,G1471=0),1,0)</f>
        <v>0</v>
      </c>
      <c r="I1498" s="38" t="n">
        <f aca="false">IF(AND(I1471&gt;0,H1471=0),1,0)</f>
        <v>0</v>
      </c>
      <c r="J1498" s="38" t="n">
        <f aca="false">IF(AND(J1471&gt;0,I1471=0),1,0)</f>
        <v>0</v>
      </c>
      <c r="K1498" s="23"/>
      <c r="L1498" s="49"/>
    </row>
    <row r="1499" customFormat="false" ht="15" hidden="true" customHeight="false" outlineLevel="1" collapsed="false">
      <c r="A1499" s="20" t="n">
        <v>85</v>
      </c>
      <c r="B1499" s="6" t="s">
        <v>652</v>
      </c>
      <c r="C1499" s="20" t="s">
        <v>71</v>
      </c>
      <c r="D1499" s="23"/>
      <c r="E1499" s="23"/>
      <c r="F1499" s="40" t="n">
        <f aca="false">(F1498*$D$1426+IF(E1471&gt;0,1,0)*$D$1427)*F1463</f>
        <v>2.5</v>
      </c>
      <c r="G1499" s="40" t="n">
        <f aca="false">(G1498*$D$1426+IF(F1471&gt;0,1,0)*$D$1427)*G1463</f>
        <v>1.05</v>
      </c>
      <c r="H1499" s="40" t="n">
        <f aca="false">(H1498*$D$1426+IF(G1471&gt;0,1,0)*$D$1427)*H1463</f>
        <v>1.1025</v>
      </c>
      <c r="I1499" s="40" t="n">
        <f aca="false">(I1498*$D$1426+IF(H1471&gt;0,1,0)*$D$1427)*I1463</f>
        <v>1.157625</v>
      </c>
      <c r="J1499" s="40" t="n">
        <f aca="false">(J1498*$D$1426+IF(I1471&gt;0,1,0)*$D$1427)*J1463</f>
        <v>1.21550625</v>
      </c>
      <c r="K1499" s="51" t="n">
        <f aca="false">SUM(F1499:J1499)</f>
        <v>7.02563125</v>
      </c>
      <c r="L1499" s="49" t="s">
        <v>653</v>
      </c>
    </row>
    <row r="1500" customFormat="false" ht="15" hidden="true" customHeight="false" outlineLevel="1" collapsed="false">
      <c r="A1500" s="20" t="n">
        <v>86</v>
      </c>
      <c r="B1500" s="6" t="s">
        <v>302</v>
      </c>
      <c r="C1500" s="20" t="s">
        <v>71</v>
      </c>
      <c r="D1500" s="23"/>
      <c r="E1500" s="23"/>
      <c r="F1500" s="40" t="n">
        <f aca="false">$D$1428*F1463</f>
        <v>0.6</v>
      </c>
      <c r="G1500" s="40" t="n">
        <f aca="false">$D$1428*G1463</f>
        <v>0.63</v>
      </c>
      <c r="H1500" s="40" t="n">
        <f aca="false">$D$1428*H1463</f>
        <v>0.6615</v>
      </c>
      <c r="I1500" s="40" t="n">
        <f aca="false">$D$1428*I1463</f>
        <v>0.694575</v>
      </c>
      <c r="J1500" s="40" t="n">
        <f aca="false">$D$1428*J1463</f>
        <v>0.72930375</v>
      </c>
      <c r="K1500" s="51" t="n">
        <f aca="false">SUM(F1500:J1500)</f>
        <v>3.31537875</v>
      </c>
      <c r="L1500" s="49"/>
    </row>
    <row r="1501" customFormat="false" ht="15" hidden="true" customHeight="false" outlineLevel="1" collapsed="false">
      <c r="A1501" s="20" t="n">
        <v>87</v>
      </c>
      <c r="B1501" s="6" t="s">
        <v>654</v>
      </c>
      <c r="C1501" s="20" t="s">
        <v>71</v>
      </c>
      <c r="D1501" s="23"/>
      <c r="E1501" s="23"/>
      <c r="F1501" s="40" t="n">
        <f aca="false">$D$1429*F1482*F1463</f>
        <v>0.6</v>
      </c>
      <c r="G1501" s="40" t="n">
        <f aca="false">$D$1429*G1482*G1463</f>
        <v>0.7875</v>
      </c>
      <c r="H1501" s="40" t="n">
        <f aca="false">$D$1429*H1482*H1463</f>
        <v>0.99225</v>
      </c>
      <c r="I1501" s="40" t="n">
        <f aca="false">$D$1429*I1482*I1463</f>
        <v>1.21550625</v>
      </c>
      <c r="J1501" s="40" t="n">
        <f aca="false">$D$1429*J1482*J1463</f>
        <v>1.4586075</v>
      </c>
      <c r="K1501" s="51" t="n">
        <f aca="false">SUM(F1501:J1501)</f>
        <v>5.05386375</v>
      </c>
      <c r="L1501" s="49" t="s">
        <v>655</v>
      </c>
    </row>
    <row r="1502" customFormat="false" ht="15" hidden="true" customHeight="false" outlineLevel="1" collapsed="false">
      <c r="A1502" s="20" t="n">
        <v>88</v>
      </c>
      <c r="B1502" s="6" t="s">
        <v>656</v>
      </c>
      <c r="C1502" s="20" t="s">
        <v>71</v>
      </c>
      <c r="D1502" s="23"/>
      <c r="E1502" s="23"/>
      <c r="F1502" s="40" t="n">
        <f aca="false">($D$1430+$D$1431*F1472)*F1463</f>
        <v>1.4</v>
      </c>
      <c r="G1502" s="40" t="n">
        <f aca="false">($D$1430+$D$1431*G1472)*G1463</f>
        <v>1.47</v>
      </c>
      <c r="H1502" s="40" t="n">
        <f aca="false">($D$1430+$D$1431*H1472)*H1463</f>
        <v>2.4255</v>
      </c>
      <c r="I1502" s="40" t="n">
        <f aca="false">($D$1430+$D$1431*I1472)*I1463</f>
        <v>2.083725</v>
      </c>
      <c r="J1502" s="40" t="n">
        <f aca="false">($D$1430+$D$1431*J1472)*J1463</f>
        <v>3.16031625</v>
      </c>
      <c r="K1502" s="51" t="n">
        <f aca="false">SUM(F1502:J1502)</f>
        <v>10.53954125</v>
      </c>
      <c r="L1502" s="49" t="s">
        <v>657</v>
      </c>
    </row>
    <row r="1503" customFormat="false" ht="15" hidden="true" customHeight="false" outlineLevel="1" collapsed="false">
      <c r="A1503" s="20" t="n">
        <v>89</v>
      </c>
      <c r="B1503" s="6" t="s">
        <v>658</v>
      </c>
      <c r="C1503" s="20" t="s">
        <v>71</v>
      </c>
      <c r="D1503" s="23"/>
      <c r="E1503" s="23"/>
      <c r="F1503" s="40" t="n">
        <f aca="false">($D$1432+$D$1433*F1482)*F1463</f>
        <v>1.6</v>
      </c>
      <c r="G1503" s="40" t="n">
        <f aca="false">($D$1432+$D$1433*G1482)*G1463</f>
        <v>1.785</v>
      </c>
      <c r="H1503" s="40" t="n">
        <f aca="false">($D$1432+$D$1433*H1482)*H1463</f>
        <v>1.9845</v>
      </c>
      <c r="I1503" s="40" t="n">
        <f aca="false">($D$1432+$D$1433*I1482)*I1463</f>
        <v>2.1994875</v>
      </c>
      <c r="J1503" s="40" t="n">
        <f aca="false">($D$1432+$D$1433*J1482)*J1463</f>
        <v>2.4310125</v>
      </c>
      <c r="K1503" s="51" t="n">
        <f aca="false">SUM(F1503:J1503)</f>
        <v>10</v>
      </c>
      <c r="L1503" s="49" t="s">
        <v>659</v>
      </c>
    </row>
    <row r="1504" customFormat="false" ht="15" hidden="true" customHeight="false" outlineLevel="1" collapsed="false">
      <c r="A1504" s="20" t="n">
        <v>90</v>
      </c>
      <c r="B1504" s="6" t="s">
        <v>660</v>
      </c>
      <c r="C1504" s="20" t="s">
        <v>71</v>
      </c>
      <c r="D1504" s="23"/>
      <c r="E1504" s="23"/>
      <c r="F1504" s="40" t="n">
        <f aca="false">$D$1434*F1483*F1463</f>
        <v>0.5</v>
      </c>
      <c r="G1504" s="40" t="n">
        <f aca="false">$D$1434*G1483*G1463</f>
        <v>0.2625</v>
      </c>
      <c r="H1504" s="40" t="n">
        <f aca="false">$D$1434*H1483*H1463</f>
        <v>0.275625</v>
      </c>
      <c r="I1504" s="40" t="n">
        <f aca="false">$D$1434*I1483*I1463</f>
        <v>0.28940625</v>
      </c>
      <c r="J1504" s="40" t="n">
        <f aca="false">$D$1434*J1483*J1463</f>
        <v>0.3038765625</v>
      </c>
      <c r="K1504" s="51" t="n">
        <f aca="false">SUM(F1504:J1504)</f>
        <v>1.6314078125</v>
      </c>
      <c r="L1504" s="49" t="s">
        <v>661</v>
      </c>
    </row>
    <row r="1505" customFormat="false" ht="15" hidden="true" customHeight="false" outlineLevel="1" collapsed="false">
      <c r="A1505" s="20" t="n">
        <v>91</v>
      </c>
      <c r="B1505" s="6" t="s">
        <v>570</v>
      </c>
      <c r="C1505" s="20" t="s">
        <v>71</v>
      </c>
      <c r="D1505" s="23"/>
      <c r="E1505" s="23"/>
      <c r="F1505" s="40" t="n">
        <f aca="false">IF(F$1461=$F$1461,$D$1435,0)</f>
        <v>0.3</v>
      </c>
      <c r="G1505" s="40" t="n">
        <f aca="false">IF(G$1461=$F$1461,$D$1435,0)</f>
        <v>0</v>
      </c>
      <c r="H1505" s="40" t="n">
        <f aca="false">IF(H$1461=$F$1461,$D$1435,0)</f>
        <v>0</v>
      </c>
      <c r="I1505" s="40" t="n">
        <f aca="false">IF(I$1461=$F$1461,$D$1435,0)</f>
        <v>0</v>
      </c>
      <c r="J1505" s="40" t="n">
        <f aca="false">IF(J$1461=$F$1461,$D$1435,0)</f>
        <v>0</v>
      </c>
      <c r="K1505" s="51" t="n">
        <f aca="false">SUM(F1505:J1505)</f>
        <v>0.3</v>
      </c>
      <c r="L1505" s="49" t="s">
        <v>662</v>
      </c>
    </row>
    <row r="1506" customFormat="false" ht="15" hidden="true" customHeight="false" outlineLevel="1" collapsed="false">
      <c r="A1506" s="20" t="n">
        <v>92</v>
      </c>
      <c r="B1506" s="6" t="s">
        <v>663</v>
      </c>
      <c r="C1506" s="20" t="s">
        <v>71</v>
      </c>
      <c r="D1506" s="23"/>
      <c r="E1506" s="23"/>
      <c r="F1506" s="40" t="n">
        <f aca="false">F1496+F1497+F1499+F1500+F1501+F1502+F1503+F1504+F1505</f>
        <v>22.52851536</v>
      </c>
      <c r="G1506" s="40" t="n">
        <f aca="false">G1496+G1497+G1499+G1500+G1501+G1502+G1503+G1504+G1505</f>
        <v>25.9752765888</v>
      </c>
      <c r="H1506" s="40" t="n">
        <f aca="false">H1496+H1497+H1499+H1500+H1501+H1502+H1503+H1504+H1505</f>
        <v>33.557439905856</v>
      </c>
      <c r="I1506" s="40" t="n">
        <f aca="false">I1496+I1497+I1499+I1500+I1501+I1502+I1503+I1504+I1505</f>
        <v>41.2168692520167</v>
      </c>
      <c r="J1506" s="40" t="n">
        <f aca="false">J1496+J1497+J1499+J1500+J1501+J1502+J1503+J1504+J1505</f>
        <v>50.0186718385609</v>
      </c>
      <c r="K1506" s="51" t="n">
        <f aca="false">SUM(F1506:J1506)</f>
        <v>173.296772945234</v>
      </c>
      <c r="L1506" s="49"/>
    </row>
    <row r="1507" customFormat="false" ht="15" hidden="true" customHeight="false" outlineLevel="1" collapsed="false">
      <c r="A1507" s="20" t="n">
        <v>93</v>
      </c>
      <c r="B1507" s="6" t="s">
        <v>329</v>
      </c>
      <c r="C1507" s="20" t="s">
        <v>71</v>
      </c>
      <c r="D1507" s="23"/>
      <c r="E1507" s="23"/>
      <c r="F1507" s="40" t="n">
        <f aca="false">F1506*$D$1437</f>
        <v>2.252851536</v>
      </c>
      <c r="G1507" s="40" t="n">
        <f aca="false">G1506*$D$1437</f>
        <v>2.59752765888</v>
      </c>
      <c r="H1507" s="40" t="n">
        <f aca="false">H1506*$D$1437</f>
        <v>3.3557439905856</v>
      </c>
      <c r="I1507" s="40" t="n">
        <f aca="false">I1506*$D$1437</f>
        <v>4.12168692520167</v>
      </c>
      <c r="J1507" s="40" t="n">
        <f aca="false">J1506*$D$1437</f>
        <v>5.00186718385609</v>
      </c>
      <c r="K1507" s="51" t="n">
        <f aca="false">SUM(F1507:J1507)</f>
        <v>17.3296772945234</v>
      </c>
      <c r="L1507" s="49"/>
    </row>
    <row r="1508" customFormat="false" ht="15" hidden="true" customHeight="false" outlineLevel="1" collapsed="false">
      <c r="A1508" s="20" t="n">
        <v>94</v>
      </c>
      <c r="B1508" s="6" t="s">
        <v>664</v>
      </c>
      <c r="C1508" s="20" t="s">
        <v>71</v>
      </c>
      <c r="D1508" s="23"/>
      <c r="E1508" s="23"/>
      <c r="F1508" s="40" t="n">
        <f aca="false">F1506+F1507</f>
        <v>24.781366896</v>
      </c>
      <c r="G1508" s="40" t="n">
        <f aca="false">G1506+G1507</f>
        <v>28.57280424768</v>
      </c>
      <c r="H1508" s="40" t="n">
        <f aca="false">H1506+H1507</f>
        <v>36.9131838964416</v>
      </c>
      <c r="I1508" s="40" t="n">
        <f aca="false">I1506+I1507</f>
        <v>45.3385561772183</v>
      </c>
      <c r="J1508" s="40" t="n">
        <f aca="false">J1506+J1507</f>
        <v>55.0205390224169</v>
      </c>
      <c r="K1508" s="51" t="n">
        <f aca="false">SUM(F1508:J1508)</f>
        <v>190.626450239757</v>
      </c>
      <c r="L1508" s="49"/>
    </row>
    <row r="1509" customFormat="false" ht="15" hidden="true" customHeight="false" outlineLevel="1" collapsed="false">
      <c r="A1509" s="19" t="s">
        <v>665</v>
      </c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</row>
    <row r="1510" customFormat="false" ht="15" hidden="true" customHeight="false" outlineLevel="1" collapsed="false">
      <c r="A1510" s="20" t="n">
        <v>95</v>
      </c>
      <c r="B1510" s="6" t="s">
        <v>666</v>
      </c>
      <c r="C1510" s="20" t="s">
        <v>71</v>
      </c>
      <c r="D1510" s="23"/>
      <c r="E1510" s="23"/>
      <c r="F1510" s="40" t="n">
        <f aca="false">F1479-F1508</f>
        <v>-16.781366896</v>
      </c>
      <c r="G1510" s="40" t="n">
        <f aca="false">G1479-G1508</f>
        <v>-10.72280424768</v>
      </c>
      <c r="H1510" s="40" t="n">
        <f aca="false">H1479-H1508</f>
        <v>-2.8562698339416</v>
      </c>
      <c r="I1510" s="40" t="n">
        <f aca="false">I1479-I1508</f>
        <v>-1.97390723368138</v>
      </c>
      <c r="J1510" s="40" t="n">
        <f aca="false">J1479-J1508</f>
        <v>12.7564132097164</v>
      </c>
      <c r="K1510" s="51" t="n">
        <f aca="false">SUM(F1510:J1510)</f>
        <v>-19.5779350015866</v>
      </c>
      <c r="L1510" s="49" t="s">
        <v>667</v>
      </c>
    </row>
    <row r="1511" customFormat="false" ht="15" hidden="true" customHeight="false" outlineLevel="1" collapsed="false">
      <c r="A1511" s="20" t="n">
        <v>96</v>
      </c>
      <c r="B1511" s="6" t="s">
        <v>668</v>
      </c>
      <c r="C1511" s="20" t="s">
        <v>68</v>
      </c>
      <c r="D1511" s="23"/>
      <c r="E1511" s="23"/>
      <c r="F1511" s="44" t="n">
        <f aca="false">IF(F1479&gt;0,F1510/F1479,0)</f>
        <v>-2.097670862</v>
      </c>
      <c r="G1511" s="44" t="n">
        <f aca="false">IF(G1479&gt;0,G1510/G1479,0)</f>
        <v>-0.6007173248</v>
      </c>
      <c r="H1511" s="44" t="n">
        <f aca="false">IF(H1479&gt;0,H1510/H1479,0)</f>
        <v>-0.0838675467982764</v>
      </c>
      <c r="I1511" s="44" t="n">
        <f aca="false">IF(I1479&gt;0,I1510/I1479,0)</f>
        <v>-0.0455188104082547</v>
      </c>
      <c r="J1511" s="44" t="n">
        <f aca="false">IF(J1479&gt;0,J1510/J1479,0)</f>
        <v>0.188211667677623</v>
      </c>
      <c r="K1511" s="23"/>
      <c r="L1511" s="49"/>
    </row>
    <row r="1512" customFormat="false" ht="15" hidden="true" customHeight="false" outlineLevel="1" collapsed="false">
      <c r="A1512" s="20" t="n">
        <v>97</v>
      </c>
      <c r="B1512" s="6" t="s">
        <v>669</v>
      </c>
      <c r="C1512" s="20" t="s">
        <v>71</v>
      </c>
      <c r="D1512" s="23"/>
      <c r="E1512" s="23"/>
      <c r="F1512" s="40" t="n">
        <f aca="false">E1516</f>
        <v>0</v>
      </c>
      <c r="G1512" s="40" t="n">
        <f aca="false">F1516</f>
        <v>16.781366896</v>
      </c>
      <c r="H1512" s="40" t="n">
        <f aca="false">G1516</f>
        <v>27.50417114368</v>
      </c>
      <c r="I1512" s="40" t="n">
        <f aca="false">H1516</f>
        <v>30.3604409776216</v>
      </c>
      <c r="J1512" s="40" t="n">
        <f aca="false">I1516</f>
        <v>32.334348211303</v>
      </c>
      <c r="K1512" s="23"/>
      <c r="L1512" s="49"/>
    </row>
    <row r="1513" customFormat="false" ht="15" hidden="true" customHeight="false" outlineLevel="1" collapsed="false">
      <c r="A1513" s="20" t="n">
        <v>98</v>
      </c>
      <c r="B1513" s="6" t="s">
        <v>670</v>
      </c>
      <c r="C1513" s="20" t="s">
        <v>71</v>
      </c>
      <c r="D1513" s="23"/>
      <c r="E1513" s="23"/>
      <c r="F1513" s="40" t="n">
        <f aca="false">MIN(F1512,MAX(0,F1510)*$D$1439)</f>
        <v>0</v>
      </c>
      <c r="G1513" s="40" t="n">
        <f aca="false">MIN(G1512,MAX(0,G1510)*$D$1439)</f>
        <v>0</v>
      </c>
      <c r="H1513" s="40" t="n">
        <f aca="false">MIN(H1512,MAX(0,H1510)*$D$1439)</f>
        <v>0</v>
      </c>
      <c r="I1513" s="40" t="n">
        <f aca="false">MIN(I1512,MAX(0,I1510)*$D$1439)</f>
        <v>0</v>
      </c>
      <c r="J1513" s="40" t="n">
        <f aca="false">MIN(J1512,MAX(0,J1510)*$D$1439)</f>
        <v>6.3782066048582</v>
      </c>
      <c r="K1513" s="23"/>
      <c r="L1513" s="49" t="s">
        <v>671</v>
      </c>
    </row>
    <row r="1514" customFormat="false" ht="15" hidden="true" customHeight="false" outlineLevel="1" collapsed="false">
      <c r="A1514" s="20" t="n">
        <v>99</v>
      </c>
      <c r="B1514" s="6" t="s">
        <v>672</v>
      </c>
      <c r="C1514" s="20" t="s">
        <v>71</v>
      </c>
      <c r="D1514" s="23"/>
      <c r="E1514" s="23"/>
      <c r="F1514" s="40" t="n">
        <f aca="false">MAX(0,F1510)-F1513</f>
        <v>0</v>
      </c>
      <c r="G1514" s="40" t="n">
        <f aca="false">MAX(0,G1510)-G1513</f>
        <v>0</v>
      </c>
      <c r="H1514" s="40" t="n">
        <f aca="false">MAX(0,H1510)-H1513</f>
        <v>0</v>
      </c>
      <c r="I1514" s="40" t="n">
        <f aca="false">MAX(0,I1510)-I1513</f>
        <v>0</v>
      </c>
      <c r="J1514" s="40" t="n">
        <f aca="false">MAX(0,J1510)-J1513</f>
        <v>6.3782066048582</v>
      </c>
      <c r="K1514" s="23"/>
      <c r="L1514" s="49"/>
    </row>
    <row r="1515" customFormat="false" ht="15" hidden="true" customHeight="false" outlineLevel="1" collapsed="false">
      <c r="A1515" s="20" t="n">
        <v>100</v>
      </c>
      <c r="B1515" s="6" t="s">
        <v>572</v>
      </c>
      <c r="C1515" s="20" t="s">
        <v>71</v>
      </c>
      <c r="D1515" s="23"/>
      <c r="E1515" s="23"/>
      <c r="F1515" s="40" t="n">
        <f aca="false">F1514*$D$1438</f>
        <v>0</v>
      </c>
      <c r="G1515" s="40" t="n">
        <f aca="false">G1514*$D$1438</f>
        <v>0</v>
      </c>
      <c r="H1515" s="40" t="n">
        <f aca="false">H1514*$D$1438</f>
        <v>0</v>
      </c>
      <c r="I1515" s="40" t="n">
        <f aca="false">I1514*$D$1438</f>
        <v>0</v>
      </c>
      <c r="J1515" s="40" t="n">
        <f aca="false">J1514*$D$1438</f>
        <v>0.31891033024291</v>
      </c>
      <c r="K1515" s="51" t="n">
        <f aca="false">SUM(F1515:J1515)</f>
        <v>0.31891033024291</v>
      </c>
      <c r="L1515" s="49"/>
    </row>
    <row r="1516" customFormat="false" ht="15" hidden="true" customHeight="false" outlineLevel="1" collapsed="false">
      <c r="A1516" s="20" t="n">
        <v>101</v>
      </c>
      <c r="B1516" s="6" t="s">
        <v>673</v>
      </c>
      <c r="C1516" s="20" t="s">
        <v>71</v>
      </c>
      <c r="D1516" s="23"/>
      <c r="E1516" s="40" t="n">
        <f aca="false">0</f>
        <v>0</v>
      </c>
      <c r="F1516" s="40" t="n">
        <f aca="false">F1512-F1513+MAX(0,-F1510)</f>
        <v>16.781366896</v>
      </c>
      <c r="G1516" s="40" t="n">
        <f aca="false">G1512-G1513+MAX(0,-G1510)</f>
        <v>27.50417114368</v>
      </c>
      <c r="H1516" s="40" t="n">
        <f aca="false">H1512-H1513+MAX(0,-H1510)</f>
        <v>30.3604409776216</v>
      </c>
      <c r="I1516" s="40" t="n">
        <f aca="false">I1512-I1513+MAX(0,-I1510)</f>
        <v>32.334348211303</v>
      </c>
      <c r="J1516" s="40" t="n">
        <f aca="false">J1512-J1513+MAX(0,-J1510)</f>
        <v>25.9561416064448</v>
      </c>
      <c r="K1516" s="23"/>
      <c r="L1516" s="49"/>
    </row>
    <row r="1517" customFormat="false" ht="15" hidden="true" customHeight="false" outlineLevel="1" collapsed="false">
      <c r="A1517" s="20" t="n">
        <v>102</v>
      </c>
      <c r="B1517" s="6" t="s">
        <v>674</v>
      </c>
      <c r="C1517" s="20" t="s">
        <v>71</v>
      </c>
      <c r="D1517" s="23"/>
      <c r="E1517" s="23"/>
      <c r="F1517" s="40" t="n">
        <f aca="false">F1510-F1515</f>
        <v>-16.781366896</v>
      </c>
      <c r="G1517" s="40" t="n">
        <f aca="false">G1510-G1515</f>
        <v>-10.72280424768</v>
      </c>
      <c r="H1517" s="40" t="n">
        <f aca="false">H1510-H1515</f>
        <v>-2.8562698339416</v>
      </c>
      <c r="I1517" s="40" t="n">
        <f aca="false">I1510-I1515</f>
        <v>-1.97390723368138</v>
      </c>
      <c r="J1517" s="40" t="n">
        <f aca="false">J1510-J1515</f>
        <v>12.4375028794735</v>
      </c>
      <c r="K1517" s="51" t="n">
        <f aca="false">SUM(F1517:J1517)</f>
        <v>-19.8968453318295</v>
      </c>
      <c r="L1517" s="49"/>
    </row>
    <row r="1518" customFormat="false" ht="15" hidden="true" customHeight="false" outlineLevel="1" collapsed="false">
      <c r="A1518" s="19" t="s">
        <v>675</v>
      </c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</row>
    <row r="1519" customFormat="false" ht="15" hidden="true" customHeight="false" outlineLevel="1" collapsed="false">
      <c r="A1519" s="20" t="n">
        <v>103</v>
      </c>
      <c r="B1519" s="6" t="s">
        <v>676</v>
      </c>
      <c r="C1519" s="20" t="s">
        <v>71</v>
      </c>
      <c r="D1519" s="23"/>
      <c r="E1519" s="40" t="n">
        <f aca="false">0</f>
        <v>0</v>
      </c>
      <c r="F1519" s="40" t="n">
        <f aca="false">F1479*$D$1440/365</f>
        <v>1.97260273972603</v>
      </c>
      <c r="G1519" s="40" t="n">
        <f aca="false">G1479*$D$1440/365</f>
        <v>4.4013698630137</v>
      </c>
      <c r="H1519" s="40" t="n">
        <f aca="false">H1479*$D$1440/365</f>
        <v>8.39759524828767</v>
      </c>
      <c r="I1519" s="40" t="n">
        <f aca="false">I1479*$D$1440/365</f>
        <v>10.6926531641598</v>
      </c>
      <c r="J1519" s="40" t="n">
        <f aca="false">J1479*$D$1440/365</f>
        <v>16.7121252079233</v>
      </c>
      <c r="K1519" s="23"/>
      <c r="L1519" s="49" t="s">
        <v>677</v>
      </c>
    </row>
    <row r="1520" customFormat="false" ht="15" hidden="true" customHeight="false" outlineLevel="1" collapsed="false">
      <c r="A1520" s="20" t="n">
        <v>104</v>
      </c>
      <c r="B1520" s="6" t="s">
        <v>678</v>
      </c>
      <c r="C1520" s="20" t="s">
        <v>71</v>
      </c>
      <c r="D1520" s="23"/>
      <c r="E1520" s="23"/>
      <c r="F1520" s="40" t="n">
        <f aca="false">F1519-E1519</f>
        <v>1.97260273972603</v>
      </c>
      <c r="G1520" s="40" t="n">
        <f aca="false">G1519-F1519</f>
        <v>2.42876712328767</v>
      </c>
      <c r="H1520" s="40" t="n">
        <f aca="false">H1519-G1519</f>
        <v>3.99622538527397</v>
      </c>
      <c r="I1520" s="40" t="n">
        <f aca="false">I1519-H1519</f>
        <v>2.29505791587212</v>
      </c>
      <c r="J1520" s="40" t="n">
        <f aca="false">J1519-I1519</f>
        <v>6.0194720437635</v>
      </c>
      <c r="K1520" s="51" t="n">
        <f aca="false">SUM(F1520:J1520)</f>
        <v>16.7121252079233</v>
      </c>
      <c r="L1520" s="49"/>
    </row>
    <row r="1521" customFormat="false" ht="15" hidden="true" customHeight="false" outlineLevel="1" collapsed="false">
      <c r="A1521" s="20" t="n">
        <v>105</v>
      </c>
      <c r="B1521" s="6" t="s">
        <v>679</v>
      </c>
      <c r="C1521" s="20" t="s">
        <v>71</v>
      </c>
      <c r="D1521" s="23"/>
      <c r="E1521" s="23"/>
      <c r="F1521" s="40" t="n">
        <f aca="false">F1517-F1520</f>
        <v>-18.753969635726</v>
      </c>
      <c r="G1521" s="40" t="n">
        <f aca="false">G1517-G1520</f>
        <v>-13.1515713709677</v>
      </c>
      <c r="H1521" s="40" t="n">
        <f aca="false">H1517-H1520</f>
        <v>-6.85249521921557</v>
      </c>
      <c r="I1521" s="40" t="n">
        <f aca="false">I1517-I1520</f>
        <v>-4.2689651495535</v>
      </c>
      <c r="J1521" s="40" t="n">
        <f aca="false">J1517-J1520</f>
        <v>6.41803083571</v>
      </c>
      <c r="K1521" s="51" t="n">
        <f aca="false">SUM(F1521:J1521)</f>
        <v>-36.6089705397528</v>
      </c>
      <c r="L1521" s="49" t="s">
        <v>680</v>
      </c>
    </row>
    <row r="1522" customFormat="false" ht="15" hidden="true" customHeight="false" outlineLevel="1" collapsed="false">
      <c r="A1522" s="20" t="n">
        <v>106</v>
      </c>
      <c r="B1522" s="6" t="s">
        <v>93</v>
      </c>
      <c r="C1522" s="20" t="s">
        <v>71</v>
      </c>
      <c r="D1522" s="23"/>
      <c r="E1522" s="40" t="n">
        <f aca="false">0</f>
        <v>0</v>
      </c>
      <c r="F1522" s="40" t="n">
        <f aca="false">E1522+F1521</f>
        <v>-18.753969635726</v>
      </c>
      <c r="G1522" s="40" t="n">
        <f aca="false">F1522+G1521</f>
        <v>-31.9055410066937</v>
      </c>
      <c r="H1522" s="40" t="n">
        <f aca="false">G1522+H1521</f>
        <v>-38.7580362259093</v>
      </c>
      <c r="I1522" s="40" t="n">
        <f aca="false">H1522+I1521</f>
        <v>-43.0270013754628</v>
      </c>
      <c r="J1522" s="40" t="n">
        <f aca="false">I1522+J1521</f>
        <v>-36.6089705397528</v>
      </c>
      <c r="K1522" s="23"/>
      <c r="L1522" s="49" t="s">
        <v>681</v>
      </c>
    </row>
    <row r="1523" customFormat="false" ht="15" hidden="true" customHeight="false" outlineLevel="1" collapsed="false">
      <c r="A1523" s="20" t="n">
        <v>107</v>
      </c>
      <c r="B1523" s="6" t="s">
        <v>682</v>
      </c>
      <c r="C1523" s="20"/>
      <c r="D1523" s="23"/>
      <c r="E1523" s="23"/>
      <c r="F1523" s="53" t="n">
        <f aca="false">1/(1+$D$1441)^(F$1461-$E$1461)</f>
        <v>0.769230769230769</v>
      </c>
      <c r="G1523" s="53" t="n">
        <f aca="false">1/(1+$D$1441)^(G$1461-$E$1461)</f>
        <v>0.591715976331361</v>
      </c>
      <c r="H1523" s="53" t="n">
        <f aca="false">1/(1+$D$1441)^(H$1461-$E$1461)</f>
        <v>0.455166135639508</v>
      </c>
      <c r="I1523" s="53" t="n">
        <f aca="false">1/(1+$D$1441)^(I$1461-$E$1461)</f>
        <v>0.350127796645776</v>
      </c>
      <c r="J1523" s="53" t="n">
        <f aca="false">1/(1+$D$1441)^(J$1461-$E$1461)</f>
        <v>0.269329074342904</v>
      </c>
      <c r="K1523" s="23"/>
      <c r="L1523" s="49" t="s">
        <v>683</v>
      </c>
    </row>
    <row r="1524" customFormat="false" ht="15" hidden="true" customHeight="false" outlineLevel="1" collapsed="false">
      <c r="A1524" s="20" t="n">
        <v>108</v>
      </c>
      <c r="B1524" s="6" t="s">
        <v>684</v>
      </c>
      <c r="C1524" s="20" t="s">
        <v>71</v>
      </c>
      <c r="D1524" s="23"/>
      <c r="E1524" s="23"/>
      <c r="F1524" s="40" t="n">
        <f aca="false">F1521*F1523</f>
        <v>-14.42613048902</v>
      </c>
      <c r="G1524" s="40" t="n">
        <f aca="false">G1521*G1523</f>
        <v>-7.78199489406371</v>
      </c>
      <c r="H1524" s="40" t="n">
        <f aca="false">H1521*H1523</f>
        <v>-3.11902376841856</v>
      </c>
      <c r="I1524" s="40" t="n">
        <f aca="false">I1521*I1523</f>
        <v>-1.49468336177077</v>
      </c>
      <c r="J1524" s="40" t="n">
        <f aca="false">J1521*J1523</f>
        <v>1.72856230408599</v>
      </c>
      <c r="K1524" s="51" t="n">
        <f aca="false">SUM(F1524:J1524)</f>
        <v>-25.0932702091871</v>
      </c>
      <c r="L1524" s="49"/>
    </row>
    <row r="1525" customFormat="false" ht="15" hidden="true" customHeight="false" outlineLevel="1" collapsed="false">
      <c r="A1525" s="20" t="n">
        <v>109</v>
      </c>
      <c r="B1525" s="6" t="s">
        <v>685</v>
      </c>
      <c r="C1525" s="20" t="s">
        <v>71</v>
      </c>
      <c r="D1525" s="23"/>
      <c r="E1525" s="23"/>
      <c r="F1525" s="40" t="n">
        <f aca="false">IF(F$1461=$J$1461,MAX(0,F1521)*(1+$D$1442)/($D$1441-$D$1442),0)</f>
        <v>0</v>
      </c>
      <c r="G1525" s="40" t="n">
        <f aca="false">IF(G$1461=$J$1461,MAX(0,G1521)*(1+$D$1442)/($D$1441-$D$1442),0)</f>
        <v>0</v>
      </c>
      <c r="H1525" s="40" t="n">
        <f aca="false">IF(H$1461=$J$1461,MAX(0,H1521)*(1+$D$1442)/($D$1441-$D$1442),0)</f>
        <v>0</v>
      </c>
      <c r="I1525" s="40" t="n">
        <f aca="false">IF(I$1461=$J$1461,MAX(0,I1521)*(1+$D$1442)/($D$1441-$D$1442),0)</f>
        <v>0</v>
      </c>
      <c r="J1525" s="40" t="n">
        <f aca="false">IF(J$1461=$J$1461,MAX(0,J1521)*(1+$D$1442)/($D$1441-$D$1442),0)</f>
        <v>25.67212334284</v>
      </c>
      <c r="K1525" s="23"/>
      <c r="L1525" s="49" t="s">
        <v>686</v>
      </c>
    </row>
    <row r="1526" customFormat="false" ht="15" hidden="true" customHeight="false" outlineLevel="1" collapsed="false">
      <c r="A1526" s="20" t="n">
        <v>110</v>
      </c>
      <c r="B1526" s="6" t="s">
        <v>687</v>
      </c>
      <c r="C1526" s="20" t="s">
        <v>71</v>
      </c>
      <c r="D1526" s="23"/>
      <c r="E1526" s="23"/>
      <c r="F1526" s="40" t="n">
        <f aca="false">F1525*F1523</f>
        <v>0</v>
      </c>
      <c r="G1526" s="40" t="n">
        <f aca="false">G1525*G1523</f>
        <v>0</v>
      </c>
      <c r="H1526" s="40" t="n">
        <f aca="false">H1525*H1523</f>
        <v>0</v>
      </c>
      <c r="I1526" s="40" t="n">
        <f aca="false">I1525*I1523</f>
        <v>0</v>
      </c>
      <c r="J1526" s="40" t="n">
        <f aca="false">J1525*J1523</f>
        <v>6.91424921634396</v>
      </c>
      <c r="K1526" s="51" t="n">
        <f aca="false">SUM(F1526:J1526)</f>
        <v>6.91424921634396</v>
      </c>
      <c r="L1526" s="49"/>
    </row>
    <row r="1527" customFormat="false" ht="15" hidden="true" customHeight="false" outlineLevel="1" collapsed="false">
      <c r="A1527" s="20" t="n">
        <v>111</v>
      </c>
      <c r="B1527" s="6" t="s">
        <v>688</v>
      </c>
      <c r="C1527" s="20" t="s">
        <v>71</v>
      </c>
      <c r="D1527" s="23"/>
      <c r="E1527" s="23"/>
      <c r="F1527" s="40" t="n">
        <f aca="false">F1521+F1525</f>
        <v>-18.753969635726</v>
      </c>
      <c r="G1527" s="40" t="n">
        <f aca="false">G1521+G1525</f>
        <v>-13.1515713709677</v>
      </c>
      <c r="H1527" s="40" t="n">
        <f aca="false">H1521+H1525</f>
        <v>-6.85249521921557</v>
      </c>
      <c r="I1527" s="40" t="n">
        <f aca="false">I1521+I1525</f>
        <v>-4.2689651495535</v>
      </c>
      <c r="J1527" s="40" t="n">
        <f aca="false">J1521+J1525</f>
        <v>32.09015417855</v>
      </c>
      <c r="K1527" s="23"/>
      <c r="L1527" s="49" t="s">
        <v>689</v>
      </c>
    </row>
    <row r="1528" customFormat="false" ht="15" hidden="true" customHeight="false" outlineLevel="1" collapsed="false">
      <c r="A1528" s="20" t="n">
        <v>112</v>
      </c>
      <c r="B1528" s="6" t="s">
        <v>690</v>
      </c>
      <c r="C1528" s="20"/>
      <c r="D1528" s="23"/>
      <c r="E1528" s="23"/>
      <c r="F1528" s="52" t="str">
        <f aca="false">IF(AND(F1510&gt;0,COUNTIF($F$1510:F$1510,"&gt;0")=1),F$1461,"")</f>
        <v/>
      </c>
      <c r="G1528" s="52" t="str">
        <f aca="false">IF(AND(G1510&gt;0,COUNTIF($F$1510:G$1510,"&gt;0")=1),G$1461,"")</f>
        <v/>
      </c>
      <c r="H1528" s="52" t="str">
        <f aca="false">IF(AND(H1510&gt;0,COUNTIF($F$1510:H$1510,"&gt;0")=1),H$1461,"")</f>
        <v/>
      </c>
      <c r="I1528" s="52" t="str">
        <f aca="false">IF(AND(I1510&gt;0,COUNTIF($F$1510:I$1510,"&gt;0")=1),I$1461,"")</f>
        <v/>
      </c>
      <c r="J1528" s="52" t="n">
        <f aca="false">IF(AND(J1510&gt;0,COUNTIF($F$1510:J$1510,"&gt;0")=1),J$1461,"")</f>
        <v>2031</v>
      </c>
      <c r="K1528" s="23"/>
      <c r="L1528" s="49" t="s">
        <v>691</v>
      </c>
    </row>
    <row r="1529" customFormat="false" ht="15" hidden="true" customHeight="false" outlineLevel="1" collapsed="false">
      <c r="A1529" s="20" t="n">
        <v>113</v>
      </c>
      <c r="B1529" s="6" t="s">
        <v>692</v>
      </c>
      <c r="C1529" s="20"/>
      <c r="D1529" s="23"/>
      <c r="E1529" s="23"/>
      <c r="F1529" s="52" t="str">
        <f aca="false">IF(AND(F1522&gt;0,COUNTIF($F$1522:F$1522,"&gt;0")=1),F$1461,"")</f>
        <v/>
      </c>
      <c r="G1529" s="52" t="str">
        <f aca="false">IF(AND(G1522&gt;0,COUNTIF($F$1522:G$1522,"&gt;0")=1),G$1461,"")</f>
        <v/>
      </c>
      <c r="H1529" s="52" t="str">
        <f aca="false">IF(AND(H1522&gt;0,COUNTIF($F$1522:H$1522,"&gt;0")=1),H$1461,"")</f>
        <v/>
      </c>
      <c r="I1529" s="52" t="str">
        <f aca="false">IF(AND(I1522&gt;0,COUNTIF($F$1522:I$1522,"&gt;0")=1),I$1461,"")</f>
        <v/>
      </c>
      <c r="J1529" s="52" t="str">
        <f aca="false">IF(AND(J1522&gt;0,COUNTIF($F$1522:J$1522,"&gt;0")=1),J$1461,"")</f>
        <v/>
      </c>
      <c r="K1529" s="23"/>
      <c r="L1529" s="49" t="s">
        <v>691</v>
      </c>
    </row>
    <row r="1530" customFormat="false" ht="15" hidden="true" customHeight="false" outlineLevel="1" collapsed="false">
      <c r="A1530" s="19" t="s">
        <v>693</v>
      </c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</row>
    <row r="1531" customFormat="false" ht="15" hidden="true" customHeight="false" outlineLevel="1" collapsed="false">
      <c r="A1531" s="20" t="n">
        <v>114</v>
      </c>
      <c r="B1531" s="6" t="s">
        <v>70</v>
      </c>
      <c r="C1531" s="20" t="s">
        <v>71</v>
      </c>
      <c r="D1531" s="51" t="n">
        <f aca="false">SUM(F1479:J1479)</f>
        <v>171.04851523817</v>
      </c>
      <c r="E1531" s="23"/>
      <c r="F1531" s="23"/>
      <c r="G1531" s="23"/>
      <c r="H1531" s="23"/>
      <c r="I1531" s="23"/>
      <c r="J1531" s="23"/>
      <c r="K1531" s="23"/>
      <c r="L1531" s="49"/>
    </row>
    <row r="1532" customFormat="false" ht="15" hidden="true" customHeight="false" outlineLevel="1" collapsed="false">
      <c r="A1532" s="20" t="n">
        <v>115</v>
      </c>
      <c r="B1532" s="6" t="s">
        <v>694</v>
      </c>
      <c r="C1532" s="20" t="s">
        <v>71</v>
      </c>
      <c r="D1532" s="51" t="n">
        <f aca="false">J1479</f>
        <v>67.7769522321333</v>
      </c>
      <c r="E1532" s="23"/>
      <c r="F1532" s="23"/>
      <c r="G1532" s="23"/>
      <c r="H1532" s="23"/>
      <c r="I1532" s="23"/>
      <c r="J1532" s="23"/>
      <c r="K1532" s="23"/>
      <c r="L1532" s="49"/>
    </row>
    <row r="1533" customFormat="false" ht="15" hidden="true" customHeight="false" outlineLevel="1" collapsed="false">
      <c r="A1533" s="20" t="n">
        <v>116</v>
      </c>
      <c r="B1533" s="6" t="s">
        <v>695</v>
      </c>
      <c r="C1533" s="20" t="s">
        <v>71</v>
      </c>
      <c r="D1533" s="51" t="n">
        <f aca="false">J1480</f>
        <v>74.6329671070812</v>
      </c>
      <c r="E1533" s="23"/>
      <c r="F1533" s="23"/>
      <c r="G1533" s="23"/>
      <c r="H1533" s="23"/>
      <c r="I1533" s="23"/>
      <c r="J1533" s="23"/>
      <c r="K1533" s="23"/>
      <c r="L1533" s="49"/>
    </row>
    <row r="1534" customFormat="false" ht="15" hidden="true" customHeight="false" outlineLevel="1" collapsed="false">
      <c r="A1534" s="20" t="n">
        <v>117</v>
      </c>
      <c r="B1534" s="6" t="s">
        <v>696</v>
      </c>
      <c r="C1534" s="20" t="s">
        <v>71</v>
      </c>
      <c r="D1534" s="51" t="n">
        <f aca="false">J1510</f>
        <v>12.7564132097164</v>
      </c>
      <c r="E1534" s="23"/>
      <c r="F1534" s="23"/>
      <c r="G1534" s="23"/>
      <c r="H1534" s="23"/>
      <c r="I1534" s="23"/>
      <c r="J1534" s="23"/>
      <c r="K1534" s="23"/>
      <c r="L1534" s="49"/>
    </row>
    <row r="1535" customFormat="false" ht="15" hidden="true" customHeight="false" outlineLevel="1" collapsed="false">
      <c r="A1535" s="20" t="n">
        <v>118</v>
      </c>
      <c r="B1535" s="6" t="s">
        <v>697</v>
      </c>
      <c r="C1535" s="20" t="s">
        <v>76</v>
      </c>
      <c r="D1535" s="54" t="n">
        <f aca="false">J1471</f>
        <v>11</v>
      </c>
      <c r="E1535" s="23"/>
      <c r="F1535" s="23"/>
      <c r="G1535" s="23"/>
      <c r="H1535" s="23"/>
      <c r="I1535" s="23"/>
      <c r="J1535" s="23"/>
      <c r="K1535" s="23"/>
      <c r="L1535" s="49"/>
    </row>
    <row r="1536" customFormat="false" ht="15" hidden="true" customHeight="false" outlineLevel="1" collapsed="false">
      <c r="A1536" s="20" t="n">
        <v>119</v>
      </c>
      <c r="B1536" s="6" t="s">
        <v>698</v>
      </c>
      <c r="C1536" s="20" t="s">
        <v>53</v>
      </c>
      <c r="D1536" s="51" t="n">
        <f aca="false">J1482</f>
        <v>8</v>
      </c>
      <c r="E1536" s="23"/>
      <c r="F1536" s="23"/>
      <c r="G1536" s="23"/>
      <c r="H1536" s="23"/>
      <c r="I1536" s="23"/>
      <c r="J1536" s="23"/>
      <c r="K1536" s="23"/>
      <c r="L1536" s="49"/>
    </row>
    <row r="1537" customFormat="false" ht="15" hidden="true" customHeight="false" outlineLevel="1" collapsed="false">
      <c r="A1537" s="20" t="n">
        <v>120</v>
      </c>
      <c r="B1537" s="6" t="s">
        <v>699</v>
      </c>
      <c r="C1537" s="20" t="s">
        <v>71</v>
      </c>
      <c r="D1537" s="51" t="n">
        <f aca="false">MIN(0,MIN(F1522:J1522))</f>
        <v>-43.0270013754628</v>
      </c>
      <c r="E1537" s="23"/>
      <c r="F1537" s="23"/>
      <c r="G1537" s="23"/>
      <c r="H1537" s="23"/>
      <c r="I1537" s="23"/>
      <c r="J1537" s="23"/>
      <c r="K1537" s="23"/>
      <c r="L1537" s="49"/>
    </row>
    <row r="1538" customFormat="false" ht="15" hidden="true" customHeight="false" outlineLevel="1" collapsed="false">
      <c r="A1538" s="20" t="n">
        <v>121</v>
      </c>
      <c r="B1538" s="6" t="s">
        <v>700</v>
      </c>
      <c r="C1538" s="20" t="s">
        <v>71</v>
      </c>
      <c r="D1538" s="51" t="n">
        <f aca="false">-$D$1537*(1+$D$1443)</f>
        <v>51.6324016505553</v>
      </c>
      <c r="E1538" s="23"/>
      <c r="F1538" s="23"/>
      <c r="G1538" s="23"/>
      <c r="H1538" s="23"/>
      <c r="I1538" s="23"/>
      <c r="J1538" s="23"/>
      <c r="K1538" s="23"/>
      <c r="L1538" s="49"/>
    </row>
    <row r="1539" customFormat="false" ht="15" hidden="true" customHeight="false" outlineLevel="1" collapsed="false">
      <c r="A1539" s="20" t="n">
        <v>122</v>
      </c>
      <c r="B1539" s="6" t="s">
        <v>701</v>
      </c>
      <c r="C1539" s="20" t="s">
        <v>71</v>
      </c>
      <c r="D1539" s="51" t="n">
        <f aca="false">J1522</f>
        <v>-36.6089705397528</v>
      </c>
      <c r="E1539" s="23"/>
      <c r="F1539" s="23"/>
      <c r="G1539" s="23"/>
      <c r="H1539" s="23"/>
      <c r="I1539" s="23"/>
      <c r="J1539" s="23"/>
      <c r="K1539" s="23"/>
      <c r="L1539" s="49"/>
    </row>
    <row r="1540" customFormat="false" ht="15" hidden="true" customHeight="false" outlineLevel="1" collapsed="false">
      <c r="A1540" s="20" t="n">
        <v>123</v>
      </c>
      <c r="B1540" s="6" t="s">
        <v>702</v>
      </c>
      <c r="C1540" s="20" t="s">
        <v>71</v>
      </c>
      <c r="D1540" s="51" t="n">
        <f aca="false">SUM(F1524:J1524)</f>
        <v>-25.0932702091871</v>
      </c>
      <c r="E1540" s="23"/>
      <c r="F1540" s="23"/>
      <c r="G1540" s="23"/>
      <c r="H1540" s="23"/>
      <c r="I1540" s="23"/>
      <c r="J1540" s="23"/>
      <c r="K1540" s="23"/>
      <c r="L1540" s="49"/>
    </row>
    <row r="1541" customFormat="false" ht="15" hidden="true" customHeight="false" outlineLevel="1" collapsed="false">
      <c r="A1541" s="20" t="n">
        <v>124</v>
      </c>
      <c r="B1541" s="6" t="s">
        <v>82</v>
      </c>
      <c r="C1541" s="20" t="s">
        <v>71</v>
      </c>
      <c r="D1541" s="51" t="n">
        <f aca="false">SUM(F1524:J1524)+SUM(F1526:J1526)</f>
        <v>-18.1790209928431</v>
      </c>
      <c r="E1541" s="23"/>
      <c r="F1541" s="23"/>
      <c r="G1541" s="23"/>
      <c r="H1541" s="23"/>
      <c r="I1541" s="23"/>
      <c r="J1541" s="23"/>
      <c r="K1541" s="23"/>
      <c r="L1541" s="49"/>
    </row>
    <row r="1542" customFormat="false" ht="15" hidden="true" customHeight="false" outlineLevel="1" collapsed="false">
      <c r="A1542" s="20" t="n">
        <v>125</v>
      </c>
      <c r="B1542" s="6" t="s">
        <v>83</v>
      </c>
      <c r="C1542" s="20" t="s">
        <v>68</v>
      </c>
      <c r="D1542" s="55" t="n">
        <f aca="false">IFERROR(IRR(F1527:J1527),"н/д")</f>
        <v>-0.0922750798214168</v>
      </c>
      <c r="E1542" s="23"/>
      <c r="F1542" s="23"/>
      <c r="G1542" s="23"/>
      <c r="H1542" s="23"/>
      <c r="I1542" s="23"/>
      <c r="J1542" s="23"/>
      <c r="K1542" s="23"/>
      <c r="L1542" s="49"/>
    </row>
    <row r="1543" customFormat="false" ht="15" hidden="true" customHeight="false" outlineLevel="1" collapsed="false">
      <c r="A1543" s="20" t="n">
        <v>126</v>
      </c>
      <c r="B1543" s="6" t="s">
        <v>13</v>
      </c>
      <c r="C1543" s="20" t="s">
        <v>79</v>
      </c>
      <c r="D1543" s="56" t="n">
        <f aca="false">IF(COUNT(F1528:J1528)=0,"после 2031",MIN(F1528:J1528))</f>
        <v>2031</v>
      </c>
      <c r="E1543" s="23"/>
      <c r="F1543" s="23"/>
      <c r="G1543" s="23"/>
      <c r="H1543" s="23"/>
      <c r="I1543" s="23"/>
      <c r="J1543" s="23"/>
      <c r="K1543" s="23"/>
      <c r="L1543" s="49"/>
    </row>
    <row r="1544" customFormat="false" ht="15" hidden="true" customHeight="false" outlineLevel="1" collapsed="false">
      <c r="A1544" s="20" t="n">
        <v>127</v>
      </c>
      <c r="B1544" s="6" t="s">
        <v>703</v>
      </c>
      <c r="C1544" s="20" t="s">
        <v>79</v>
      </c>
      <c r="D1544" s="56" t="str">
        <f aca="false">IF(COUNT(F1529:J1529)=0,"после 2031",MIN(F1529:J1529))</f>
        <v>после 2031</v>
      </c>
      <c r="E1544" s="23"/>
      <c r="F1544" s="23"/>
      <c r="G1544" s="23"/>
      <c r="H1544" s="23"/>
      <c r="I1544" s="23"/>
      <c r="J1544" s="23"/>
      <c r="K1544" s="23"/>
      <c r="L1544" s="49"/>
    </row>
    <row r="1547" customFormat="false" ht="15" hidden="true" customHeight="false" outlineLevel="1" collapsed="false">
      <c r="A1547" s="57" t="s">
        <v>734</v>
      </c>
    </row>
    <row r="1548" customFormat="false" ht="30" hidden="true" customHeight="true" outlineLevel="1" collapsed="false">
      <c r="A1548" s="4" t="s">
        <v>49</v>
      </c>
      <c r="B1548" s="4" t="s">
        <v>3</v>
      </c>
      <c r="C1548" s="5" t="s">
        <v>50</v>
      </c>
      <c r="D1548" s="5" t="s">
        <v>551</v>
      </c>
      <c r="E1548" s="5" t="s">
        <v>356</v>
      </c>
      <c r="F1548" s="5" t="s">
        <v>86</v>
      </c>
      <c r="G1548" s="5" t="s">
        <v>87</v>
      </c>
      <c r="H1548" s="5" t="s">
        <v>88</v>
      </c>
      <c r="I1548" s="5" t="s">
        <v>89</v>
      </c>
      <c r="J1548" s="5" t="s">
        <v>90</v>
      </c>
      <c r="K1548" s="5" t="s">
        <v>552</v>
      </c>
      <c r="L1548" s="5" t="s">
        <v>393</v>
      </c>
    </row>
    <row r="1549" customFormat="false" ht="15" hidden="true" customHeight="false" outlineLevel="1" collapsed="false">
      <c r="A1549" s="19" t="s">
        <v>553</v>
      </c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</row>
    <row r="1550" customFormat="false" ht="15" hidden="true" customHeight="false" outlineLevel="1" collapsed="false">
      <c r="A1550" s="20" t="n">
        <v>1</v>
      </c>
      <c r="B1550" s="6" t="s">
        <v>554</v>
      </c>
      <c r="C1550" s="20" t="s">
        <v>79</v>
      </c>
      <c r="D1550" s="10" t="n">
        <f aca="false">Допущения!$E$49</f>
        <v>2027</v>
      </c>
      <c r="E1550" s="23"/>
      <c r="F1550" s="23"/>
      <c r="G1550" s="23"/>
      <c r="H1550" s="23"/>
      <c r="I1550" s="23"/>
      <c r="J1550" s="23"/>
      <c r="K1550" s="23"/>
      <c r="L1550" s="49"/>
    </row>
    <row r="1551" customFormat="false" ht="15" hidden="true" customHeight="false" outlineLevel="1" collapsed="false">
      <c r="A1551" s="20" t="n">
        <v>2</v>
      </c>
      <c r="B1551" s="6" t="s">
        <v>555</v>
      </c>
      <c r="C1551" s="20" t="s">
        <v>105</v>
      </c>
      <c r="D1551" s="45" t="n">
        <f aca="false">Допущения!$E$7</f>
        <v>1.8</v>
      </c>
      <c r="E1551" s="23"/>
      <c r="F1551" s="23"/>
      <c r="G1551" s="23"/>
      <c r="H1551" s="23"/>
      <c r="I1551" s="23"/>
      <c r="J1551" s="23"/>
      <c r="K1551" s="23"/>
      <c r="L1551" s="49"/>
    </row>
    <row r="1552" customFormat="false" ht="15" hidden="true" customHeight="false" outlineLevel="1" collapsed="false">
      <c r="A1552" s="20" t="n">
        <v>3</v>
      </c>
      <c r="B1552" s="6" t="s">
        <v>556</v>
      </c>
      <c r="C1552" s="20" t="s">
        <v>55</v>
      </c>
      <c r="D1552" s="9" t="n">
        <f aca="false">Допущения!$E$42</f>
        <v>6</v>
      </c>
      <c r="E1552" s="23"/>
      <c r="F1552" s="23"/>
      <c r="G1552" s="23"/>
      <c r="H1552" s="23"/>
      <c r="I1552" s="23"/>
      <c r="J1552" s="23"/>
      <c r="K1552" s="23"/>
      <c r="L1552" s="49"/>
    </row>
    <row r="1553" customFormat="false" ht="15" hidden="true" customHeight="false" outlineLevel="1" collapsed="false">
      <c r="A1553" s="20" t="n">
        <v>4</v>
      </c>
      <c r="B1553" s="6" t="s">
        <v>557</v>
      </c>
      <c r="C1553" s="20" t="s">
        <v>244</v>
      </c>
      <c r="D1553" s="9" t="n">
        <f aca="false">Допущения!$E$43</f>
        <v>5</v>
      </c>
      <c r="E1553" s="23"/>
      <c r="F1553" s="23"/>
      <c r="G1553" s="23"/>
      <c r="H1553" s="23"/>
      <c r="I1553" s="23"/>
      <c r="J1553" s="23"/>
      <c r="K1553" s="23"/>
      <c r="L1553" s="49"/>
    </row>
    <row r="1554" customFormat="false" ht="15" hidden="true" customHeight="false" outlineLevel="1" collapsed="false">
      <c r="A1554" s="20" t="n">
        <v>5</v>
      </c>
      <c r="B1554" s="6" t="s">
        <v>558</v>
      </c>
      <c r="C1554" s="20" t="s">
        <v>55</v>
      </c>
      <c r="D1554" s="9" t="n">
        <f aca="false">Допущения!$E$44</f>
        <v>1.5</v>
      </c>
      <c r="E1554" s="23"/>
      <c r="F1554" s="23"/>
      <c r="G1554" s="23"/>
      <c r="H1554" s="23"/>
      <c r="I1554" s="23"/>
      <c r="J1554" s="23"/>
      <c r="K1554" s="23"/>
      <c r="L1554" s="49"/>
    </row>
    <row r="1555" customFormat="false" ht="15" hidden="true" customHeight="false" outlineLevel="1" collapsed="false">
      <c r="A1555" s="20" t="n">
        <v>6</v>
      </c>
      <c r="B1555" s="6" t="s">
        <v>559</v>
      </c>
      <c r="C1555" s="20" t="s">
        <v>71</v>
      </c>
      <c r="D1555" s="9" t="n">
        <f aca="false">Допущения!$E$45</f>
        <v>8</v>
      </c>
      <c r="E1555" s="23"/>
      <c r="F1555" s="23"/>
      <c r="G1555" s="23"/>
      <c r="H1555" s="23"/>
      <c r="I1555" s="23"/>
      <c r="J1555" s="23"/>
      <c r="K1555" s="23"/>
      <c r="L1555" s="49"/>
    </row>
    <row r="1556" customFormat="false" ht="15" hidden="true" customHeight="false" outlineLevel="1" collapsed="false">
      <c r="A1556" s="20" t="n">
        <v>7</v>
      </c>
      <c r="B1556" s="6" t="s">
        <v>560</v>
      </c>
      <c r="C1556" s="20" t="s">
        <v>71</v>
      </c>
      <c r="D1556" s="9" t="n">
        <f aca="false">Допущения!$E$46</f>
        <v>2</v>
      </c>
      <c r="E1556" s="23"/>
      <c r="F1556" s="23"/>
      <c r="G1556" s="23"/>
      <c r="H1556" s="23"/>
      <c r="I1556" s="23"/>
      <c r="J1556" s="23"/>
      <c r="K1556" s="23"/>
      <c r="L1556" s="49"/>
    </row>
    <row r="1557" customFormat="false" ht="15" hidden="true" customHeight="false" outlineLevel="1" collapsed="false">
      <c r="A1557" s="20" t="n">
        <v>8</v>
      </c>
      <c r="B1557" s="6" t="s">
        <v>260</v>
      </c>
      <c r="C1557" s="20" t="s">
        <v>261</v>
      </c>
      <c r="D1557" s="22" t="n">
        <f aca="false">Допущения!$E$47</f>
        <v>0.05</v>
      </c>
      <c r="E1557" s="23"/>
      <c r="F1557" s="23"/>
      <c r="G1557" s="23"/>
      <c r="H1557" s="23"/>
      <c r="I1557" s="23"/>
      <c r="J1557" s="23"/>
      <c r="K1557" s="23"/>
      <c r="L1557" s="49"/>
    </row>
    <row r="1558" customFormat="false" ht="15" hidden="true" customHeight="false" outlineLevel="1" collapsed="false">
      <c r="A1558" s="20" t="n">
        <v>9</v>
      </c>
      <c r="B1558" s="6" t="s">
        <v>561</v>
      </c>
      <c r="C1558" s="20" t="s">
        <v>261</v>
      </c>
      <c r="D1558" s="22" t="n">
        <f aca="false">Допущения!$E$48</f>
        <v>0.15</v>
      </c>
      <c r="E1558" s="23"/>
      <c r="F1558" s="23"/>
      <c r="G1558" s="23"/>
      <c r="H1558" s="23"/>
      <c r="I1558" s="23"/>
      <c r="J1558" s="23"/>
      <c r="K1558" s="23"/>
      <c r="L1558" s="49"/>
    </row>
    <row r="1559" customFormat="false" ht="15" hidden="true" customHeight="false" outlineLevel="1" collapsed="false">
      <c r="A1559" s="20" t="n">
        <v>10</v>
      </c>
      <c r="B1559" s="6" t="s">
        <v>274</v>
      </c>
      <c r="C1559" s="20" t="s">
        <v>261</v>
      </c>
      <c r="D1559" s="22" t="n">
        <f aca="false">Допущения!$E$51</f>
        <v>0.07</v>
      </c>
      <c r="E1559" s="23"/>
      <c r="F1559" s="23"/>
      <c r="G1559" s="23"/>
      <c r="H1559" s="23"/>
      <c r="I1559" s="23"/>
      <c r="J1559" s="23"/>
      <c r="K1559" s="23"/>
      <c r="L1559" s="49"/>
    </row>
    <row r="1560" customFormat="false" ht="15" hidden="true" customHeight="false" outlineLevel="1" collapsed="false">
      <c r="A1560" s="20" t="n">
        <v>11</v>
      </c>
      <c r="B1560" s="6" t="s">
        <v>562</v>
      </c>
      <c r="C1560" s="20" t="s">
        <v>68</v>
      </c>
      <c r="D1560" s="22" t="n">
        <f aca="false">Допущения!$E$52</f>
        <v>0.15</v>
      </c>
      <c r="E1560" s="23"/>
      <c r="F1560" s="23"/>
      <c r="G1560" s="23"/>
      <c r="H1560" s="23"/>
      <c r="I1560" s="23"/>
      <c r="J1560" s="23"/>
      <c r="K1560" s="23"/>
      <c r="L1560" s="49"/>
    </row>
    <row r="1561" customFormat="false" ht="15" hidden="true" customHeight="false" outlineLevel="1" collapsed="false">
      <c r="A1561" s="20" t="n">
        <v>12</v>
      </c>
      <c r="B1561" s="6" t="s">
        <v>563</v>
      </c>
      <c r="C1561" s="20" t="s">
        <v>68</v>
      </c>
      <c r="D1561" s="22" t="n">
        <f aca="false">Допущения!$E$53</f>
        <v>0.076</v>
      </c>
      <c r="E1561" s="23"/>
      <c r="F1561" s="23"/>
      <c r="G1561" s="23"/>
      <c r="H1561" s="23"/>
      <c r="I1561" s="23"/>
      <c r="J1561" s="23"/>
      <c r="K1561" s="23"/>
      <c r="L1561" s="49"/>
    </row>
    <row r="1562" customFormat="false" ht="15" hidden="true" customHeight="false" outlineLevel="1" collapsed="false">
      <c r="A1562" s="20" t="n">
        <v>13</v>
      </c>
      <c r="B1562" s="6" t="s">
        <v>284</v>
      </c>
      <c r="C1562" s="20" t="s">
        <v>68</v>
      </c>
      <c r="D1562" s="22" t="n">
        <f aca="false">Допущения!$E$54</f>
        <v>0.002</v>
      </c>
      <c r="E1562" s="23"/>
      <c r="F1562" s="23"/>
      <c r="G1562" s="23"/>
      <c r="H1562" s="23"/>
      <c r="I1562" s="23"/>
      <c r="J1562" s="23"/>
      <c r="K1562" s="23"/>
      <c r="L1562" s="49"/>
    </row>
    <row r="1563" customFormat="false" ht="15" hidden="true" customHeight="false" outlineLevel="1" collapsed="false">
      <c r="A1563" s="20" t="n">
        <v>14</v>
      </c>
      <c r="B1563" s="6" t="s">
        <v>564</v>
      </c>
      <c r="C1563" s="20" t="s">
        <v>55</v>
      </c>
      <c r="D1563" s="50" t="n">
        <f aca="false">Допущения!$E$55</f>
        <v>2.979</v>
      </c>
      <c r="E1563" s="23"/>
      <c r="F1563" s="23"/>
      <c r="G1563" s="23"/>
      <c r="H1563" s="23"/>
      <c r="I1563" s="23"/>
      <c r="J1563" s="23"/>
      <c r="K1563" s="23"/>
      <c r="L1563" s="49"/>
    </row>
    <row r="1564" customFormat="false" ht="15" hidden="true" customHeight="false" outlineLevel="1" collapsed="false">
      <c r="A1564" s="20" t="n">
        <v>15</v>
      </c>
      <c r="B1564" s="6" t="s">
        <v>565</v>
      </c>
      <c r="C1564" s="20" t="s">
        <v>261</v>
      </c>
      <c r="D1564" s="22" t="n">
        <f aca="false">Допущения!$E$56</f>
        <v>0.08</v>
      </c>
      <c r="E1564" s="23"/>
      <c r="F1564" s="23"/>
      <c r="G1564" s="23"/>
      <c r="H1564" s="23"/>
      <c r="I1564" s="23"/>
      <c r="J1564" s="23"/>
      <c r="K1564" s="23"/>
      <c r="L1564" s="49"/>
    </row>
    <row r="1565" customFormat="false" ht="15" hidden="true" customHeight="false" outlineLevel="1" collapsed="false">
      <c r="A1565" s="20" t="n">
        <v>16</v>
      </c>
      <c r="B1565" s="6" t="s">
        <v>566</v>
      </c>
      <c r="C1565" s="20" t="s">
        <v>71</v>
      </c>
      <c r="D1565" s="9" t="n">
        <f aca="false">Допущения!$E$58</f>
        <v>2.5</v>
      </c>
      <c r="E1565" s="23"/>
      <c r="F1565" s="23"/>
      <c r="G1565" s="23"/>
      <c r="H1565" s="23"/>
      <c r="I1565" s="23"/>
      <c r="J1565" s="23"/>
      <c r="K1565" s="23"/>
      <c r="L1565" s="49"/>
    </row>
    <row r="1566" customFormat="false" ht="15" hidden="true" customHeight="false" outlineLevel="1" collapsed="false">
      <c r="A1566" s="20" t="n">
        <v>17</v>
      </c>
      <c r="B1566" s="6" t="s">
        <v>299</v>
      </c>
      <c r="C1566" s="20" t="s">
        <v>55</v>
      </c>
      <c r="D1566" s="9" t="n">
        <f aca="false">Допущения!$E$59</f>
        <v>1</v>
      </c>
      <c r="E1566" s="23"/>
      <c r="F1566" s="23"/>
      <c r="G1566" s="23"/>
      <c r="H1566" s="23"/>
      <c r="I1566" s="23"/>
      <c r="J1566" s="23"/>
      <c r="K1566" s="23"/>
      <c r="L1566" s="49"/>
    </row>
    <row r="1567" customFormat="false" ht="15" hidden="true" customHeight="false" outlineLevel="1" collapsed="false">
      <c r="A1567" s="20" t="n">
        <v>18</v>
      </c>
      <c r="B1567" s="6" t="s">
        <v>302</v>
      </c>
      <c r="C1567" s="20" t="s">
        <v>55</v>
      </c>
      <c r="D1567" s="9" t="n">
        <f aca="false">Допущения!$E$60</f>
        <v>0.6</v>
      </c>
      <c r="E1567" s="23"/>
      <c r="F1567" s="23"/>
      <c r="G1567" s="23"/>
      <c r="H1567" s="23"/>
      <c r="I1567" s="23"/>
      <c r="J1567" s="23"/>
      <c r="K1567" s="23"/>
      <c r="L1567" s="49"/>
    </row>
    <row r="1568" customFormat="false" ht="15" hidden="true" customHeight="false" outlineLevel="1" collapsed="false">
      <c r="A1568" s="20" t="n">
        <v>19</v>
      </c>
      <c r="B1568" s="6" t="s">
        <v>567</v>
      </c>
      <c r="C1568" s="20" t="s">
        <v>55</v>
      </c>
      <c r="D1568" s="45" t="n">
        <f aca="false">Допущения!$E$61</f>
        <v>0.15</v>
      </c>
      <c r="E1568" s="23"/>
      <c r="F1568" s="23"/>
      <c r="G1568" s="23"/>
      <c r="H1568" s="23"/>
      <c r="I1568" s="23"/>
      <c r="J1568" s="23"/>
      <c r="K1568" s="23"/>
      <c r="L1568" s="49"/>
    </row>
    <row r="1569" customFormat="false" ht="15" hidden="true" customHeight="false" outlineLevel="1" collapsed="false">
      <c r="A1569" s="20" t="n">
        <v>20</v>
      </c>
      <c r="B1569" s="6" t="s">
        <v>568</v>
      </c>
      <c r="C1569" s="20" t="s">
        <v>55</v>
      </c>
      <c r="D1569" s="9" t="n">
        <f aca="false">Допущения!$E$62</f>
        <v>1</v>
      </c>
      <c r="E1569" s="23"/>
      <c r="F1569" s="23"/>
      <c r="G1569" s="23"/>
      <c r="H1569" s="23"/>
      <c r="I1569" s="23"/>
      <c r="J1569" s="23"/>
      <c r="K1569" s="23"/>
      <c r="L1569" s="49"/>
    </row>
    <row r="1570" customFormat="false" ht="15" hidden="true" customHeight="false" outlineLevel="1" collapsed="false">
      <c r="A1570" s="20" t="n">
        <v>21</v>
      </c>
      <c r="B1570" s="6" t="s">
        <v>569</v>
      </c>
      <c r="C1570" s="20" t="s">
        <v>71</v>
      </c>
      <c r="D1570" s="9" t="n">
        <f aca="false">Допущения!$E$63</f>
        <v>0.4</v>
      </c>
      <c r="E1570" s="23"/>
      <c r="F1570" s="23"/>
      <c r="G1570" s="23"/>
      <c r="H1570" s="23"/>
      <c r="I1570" s="23"/>
      <c r="J1570" s="23"/>
      <c r="K1570" s="23"/>
      <c r="L1570" s="49"/>
    </row>
    <row r="1571" customFormat="false" ht="15" hidden="true" customHeight="false" outlineLevel="1" collapsed="false">
      <c r="A1571" s="20" t="n">
        <v>22</v>
      </c>
      <c r="B1571" s="6" t="s">
        <v>314</v>
      </c>
      <c r="C1571" s="20" t="s">
        <v>55</v>
      </c>
      <c r="D1571" s="9" t="n">
        <f aca="false">Допущения!$E$64</f>
        <v>1.2</v>
      </c>
      <c r="E1571" s="23"/>
      <c r="F1571" s="23"/>
      <c r="G1571" s="23"/>
      <c r="H1571" s="23"/>
      <c r="I1571" s="23"/>
      <c r="J1571" s="23"/>
      <c r="K1571" s="23"/>
      <c r="L1571" s="49"/>
    </row>
    <row r="1572" customFormat="false" ht="15" hidden="true" customHeight="false" outlineLevel="1" collapsed="false">
      <c r="A1572" s="20" t="n">
        <v>23</v>
      </c>
      <c r="B1572" s="6" t="s">
        <v>317</v>
      </c>
      <c r="C1572" s="20" t="s">
        <v>55</v>
      </c>
      <c r="D1572" s="45" t="n">
        <f aca="false">Допущения!$E$65</f>
        <v>0.1</v>
      </c>
      <c r="E1572" s="23"/>
      <c r="F1572" s="23"/>
      <c r="G1572" s="23"/>
      <c r="H1572" s="23"/>
      <c r="I1572" s="23"/>
      <c r="J1572" s="23"/>
      <c r="K1572" s="23"/>
      <c r="L1572" s="49"/>
    </row>
    <row r="1573" customFormat="false" ht="15" hidden="true" customHeight="false" outlineLevel="1" collapsed="false">
      <c r="A1573" s="20" t="n">
        <v>24</v>
      </c>
      <c r="B1573" s="6" t="s">
        <v>320</v>
      </c>
      <c r="C1573" s="20" t="s">
        <v>71</v>
      </c>
      <c r="D1573" s="45" t="n">
        <f aca="false">Допущения!$E$66</f>
        <v>0.25</v>
      </c>
      <c r="E1573" s="23"/>
      <c r="F1573" s="23"/>
      <c r="G1573" s="23"/>
      <c r="H1573" s="23"/>
      <c r="I1573" s="23"/>
      <c r="J1573" s="23"/>
      <c r="K1573" s="23"/>
      <c r="L1573" s="49"/>
    </row>
    <row r="1574" customFormat="false" ht="15" hidden="true" customHeight="false" outlineLevel="1" collapsed="false">
      <c r="A1574" s="20" t="n">
        <v>25</v>
      </c>
      <c r="B1574" s="6" t="s">
        <v>570</v>
      </c>
      <c r="C1574" s="20" t="s">
        <v>71</v>
      </c>
      <c r="D1574" s="9" t="n">
        <f aca="false">Допущения!$E$67</f>
        <v>0.3</v>
      </c>
      <c r="E1574" s="23"/>
      <c r="F1574" s="23"/>
      <c r="G1574" s="23"/>
      <c r="H1574" s="23"/>
      <c r="I1574" s="23"/>
      <c r="J1574" s="23"/>
      <c r="K1574" s="23"/>
      <c r="L1574" s="49"/>
    </row>
    <row r="1575" customFormat="false" ht="15" hidden="true" customHeight="false" outlineLevel="1" collapsed="false">
      <c r="A1575" s="20" t="n">
        <v>26</v>
      </c>
      <c r="B1575" s="6" t="s">
        <v>326</v>
      </c>
      <c r="C1575" s="20" t="s">
        <v>261</v>
      </c>
      <c r="D1575" s="22" t="n">
        <f aca="false">Допущения!$E$68</f>
        <v>0.05</v>
      </c>
      <c r="E1575" s="23"/>
      <c r="F1575" s="23"/>
      <c r="G1575" s="23"/>
      <c r="H1575" s="23"/>
      <c r="I1575" s="23"/>
      <c r="J1575" s="23"/>
      <c r="K1575" s="23"/>
      <c r="L1575" s="49"/>
    </row>
    <row r="1576" customFormat="false" ht="15" hidden="true" customHeight="false" outlineLevel="1" collapsed="false">
      <c r="A1576" s="20" t="n">
        <v>27</v>
      </c>
      <c r="B1576" s="6" t="s">
        <v>571</v>
      </c>
      <c r="C1576" s="20" t="s">
        <v>330</v>
      </c>
      <c r="D1576" s="22" t="n">
        <f aca="false">Допущения!$E$69</f>
        <v>0.1</v>
      </c>
      <c r="E1576" s="23"/>
      <c r="F1576" s="23"/>
      <c r="G1576" s="23"/>
      <c r="H1576" s="23"/>
      <c r="I1576" s="23"/>
      <c r="J1576" s="23"/>
      <c r="K1576" s="23"/>
      <c r="L1576" s="49"/>
    </row>
    <row r="1577" customFormat="false" ht="15" hidden="true" customHeight="false" outlineLevel="1" collapsed="false">
      <c r="A1577" s="20" t="n">
        <v>28</v>
      </c>
      <c r="B1577" s="6" t="s">
        <v>572</v>
      </c>
      <c r="C1577" s="20" t="s">
        <v>68</v>
      </c>
      <c r="D1577" s="22" t="n">
        <f aca="false">Допущения!$E$71</f>
        <v>0.05</v>
      </c>
      <c r="E1577" s="23"/>
      <c r="F1577" s="23"/>
      <c r="G1577" s="23"/>
      <c r="H1577" s="23"/>
      <c r="I1577" s="23"/>
      <c r="J1577" s="23"/>
      <c r="K1577" s="23"/>
      <c r="L1577" s="49"/>
    </row>
    <row r="1578" customFormat="false" ht="15" hidden="true" customHeight="false" outlineLevel="1" collapsed="false">
      <c r="A1578" s="20" t="n">
        <v>29</v>
      </c>
      <c r="B1578" s="6" t="s">
        <v>573</v>
      </c>
      <c r="C1578" s="20" t="s">
        <v>68</v>
      </c>
      <c r="D1578" s="22" t="n">
        <f aca="false">Допущения!$E$72</f>
        <v>0.5</v>
      </c>
      <c r="E1578" s="23"/>
      <c r="F1578" s="23"/>
      <c r="G1578" s="23"/>
      <c r="H1578" s="23"/>
      <c r="I1578" s="23"/>
      <c r="J1578" s="23"/>
      <c r="K1578" s="23"/>
      <c r="L1578" s="49"/>
    </row>
    <row r="1579" customFormat="false" ht="15" hidden="true" customHeight="false" outlineLevel="1" collapsed="false">
      <c r="A1579" s="20" t="n">
        <v>30</v>
      </c>
      <c r="B1579" s="6" t="s">
        <v>574</v>
      </c>
      <c r="C1579" s="20" t="s">
        <v>575</v>
      </c>
      <c r="D1579" s="7" t="n">
        <f aca="false">Допущения!$E$73</f>
        <v>90</v>
      </c>
      <c r="E1579" s="23"/>
      <c r="F1579" s="23"/>
      <c r="G1579" s="23"/>
      <c r="H1579" s="23"/>
      <c r="I1579" s="23"/>
      <c r="J1579" s="23"/>
      <c r="K1579" s="23"/>
      <c r="L1579" s="49"/>
    </row>
    <row r="1580" customFormat="false" ht="15" hidden="true" customHeight="false" outlineLevel="1" collapsed="false">
      <c r="A1580" s="20" t="n">
        <v>31</v>
      </c>
      <c r="B1580" s="6" t="s">
        <v>345</v>
      </c>
      <c r="C1580" s="20" t="s">
        <v>68</v>
      </c>
      <c r="D1580" s="22" t="n">
        <f aca="false">Допущения!$E$74</f>
        <v>0.3</v>
      </c>
      <c r="E1580" s="23"/>
      <c r="F1580" s="23"/>
      <c r="G1580" s="23"/>
      <c r="H1580" s="23"/>
      <c r="I1580" s="23"/>
      <c r="J1580" s="23"/>
      <c r="K1580" s="23"/>
      <c r="L1580" s="49"/>
    </row>
    <row r="1581" customFormat="false" ht="15" hidden="true" customHeight="false" outlineLevel="1" collapsed="false">
      <c r="A1581" s="20" t="n">
        <v>32</v>
      </c>
      <c r="B1581" s="6" t="s">
        <v>576</v>
      </c>
      <c r="C1581" s="20" t="s">
        <v>261</v>
      </c>
      <c r="D1581" s="22" t="n">
        <f aca="false">Допущения!$E$75</f>
        <v>0.04</v>
      </c>
      <c r="E1581" s="23"/>
      <c r="F1581" s="23"/>
      <c r="G1581" s="23"/>
      <c r="H1581" s="23"/>
      <c r="I1581" s="23"/>
      <c r="J1581" s="23"/>
      <c r="K1581" s="23"/>
      <c r="L1581" s="49"/>
    </row>
    <row r="1582" customFormat="false" ht="15" hidden="true" customHeight="false" outlineLevel="1" collapsed="false">
      <c r="A1582" s="20" t="n">
        <v>33</v>
      </c>
      <c r="B1582" s="6" t="s">
        <v>577</v>
      </c>
      <c r="C1582" s="20" t="s">
        <v>68</v>
      </c>
      <c r="D1582" s="22" t="n">
        <f aca="false">Допущения!$E$76</f>
        <v>0.2</v>
      </c>
      <c r="E1582" s="23"/>
      <c r="F1582" s="23"/>
      <c r="G1582" s="23"/>
      <c r="H1582" s="23"/>
      <c r="I1582" s="23"/>
      <c r="J1582" s="23"/>
      <c r="K1582" s="23"/>
      <c r="L1582" s="49"/>
    </row>
    <row r="1583" customFormat="false" ht="15" hidden="true" customHeight="false" outlineLevel="1" collapsed="false">
      <c r="A1583" s="20" t="n">
        <v>34</v>
      </c>
      <c r="B1583" s="6" t="s">
        <v>578</v>
      </c>
      <c r="C1583" s="20" t="s">
        <v>105</v>
      </c>
      <c r="D1583" s="50" t="n">
        <f aca="false">Рынок!$E$30</f>
        <v>0.490909090909091</v>
      </c>
      <c r="E1583" s="23"/>
      <c r="F1583" s="23"/>
      <c r="G1583" s="23"/>
      <c r="H1583" s="23"/>
      <c r="I1583" s="23"/>
      <c r="J1583" s="23"/>
      <c r="K1583" s="23"/>
      <c r="L1583" s="49" t="s">
        <v>579</v>
      </c>
    </row>
    <row r="1584" customFormat="false" ht="15" hidden="true" customHeight="false" outlineLevel="1" collapsed="false">
      <c r="A1584" s="20" t="n">
        <v>35</v>
      </c>
      <c r="B1584" s="6" t="s">
        <v>580</v>
      </c>
      <c r="C1584" s="20" t="s">
        <v>105</v>
      </c>
      <c r="D1584" s="50" t="n">
        <f aca="false">Рынок!$E$31</f>
        <v>0.028125</v>
      </c>
      <c r="E1584" s="23"/>
      <c r="F1584" s="23"/>
      <c r="G1584" s="23"/>
      <c r="H1584" s="23"/>
      <c r="I1584" s="23"/>
      <c r="J1584" s="23"/>
      <c r="K1584" s="23"/>
      <c r="L1584" s="49" t="s">
        <v>579</v>
      </c>
    </row>
    <row r="1585" customFormat="false" ht="15" hidden="true" customHeight="false" outlineLevel="1" collapsed="false">
      <c r="A1585" s="20" t="n">
        <v>36</v>
      </c>
      <c r="B1585" s="6" t="s">
        <v>581</v>
      </c>
      <c r="C1585" s="20" t="s">
        <v>142</v>
      </c>
      <c r="D1585" s="7" t="n">
        <f aca="false">План!$D$18</f>
        <v>200</v>
      </c>
      <c r="E1585" s="23"/>
      <c r="F1585" s="23"/>
      <c r="G1585" s="23"/>
      <c r="H1585" s="23"/>
      <c r="I1585" s="23"/>
      <c r="J1585" s="23"/>
      <c r="K1585" s="23"/>
      <c r="L1585" s="49" t="s">
        <v>582</v>
      </c>
    </row>
    <row r="1586" customFormat="false" ht="15" hidden="true" customHeight="false" outlineLevel="1" collapsed="false">
      <c r="A1586" s="20" t="n">
        <v>37</v>
      </c>
      <c r="B1586" s="6" t="s">
        <v>583</v>
      </c>
      <c r="C1586" s="20" t="s">
        <v>142</v>
      </c>
      <c r="D1586" s="7" t="n">
        <f aca="false">План!$D$19</f>
        <v>280</v>
      </c>
      <c r="E1586" s="23"/>
      <c r="F1586" s="23"/>
      <c r="G1586" s="23"/>
      <c r="H1586" s="23"/>
      <c r="I1586" s="23"/>
      <c r="J1586" s="23"/>
      <c r="K1586" s="23"/>
      <c r="L1586" s="49" t="s">
        <v>582</v>
      </c>
    </row>
    <row r="1587" customFormat="false" ht="15" hidden="true" customHeight="false" outlineLevel="1" collapsed="false">
      <c r="A1587" s="20" t="n">
        <v>38</v>
      </c>
      <c r="B1587" s="6" t="s">
        <v>584</v>
      </c>
      <c r="C1587" s="20" t="s">
        <v>142</v>
      </c>
      <c r="D1587" s="7" t="n">
        <f aca="false">План!$D$20</f>
        <v>230</v>
      </c>
      <c r="E1587" s="23"/>
      <c r="F1587" s="23"/>
      <c r="G1587" s="23"/>
      <c r="H1587" s="23"/>
      <c r="I1587" s="23"/>
      <c r="J1587" s="23"/>
      <c r="K1587" s="23"/>
      <c r="L1587" s="49" t="s">
        <v>582</v>
      </c>
    </row>
    <row r="1588" customFormat="false" ht="15" hidden="true" customHeight="false" outlineLevel="1" collapsed="false">
      <c r="A1588" s="20" t="n">
        <v>39</v>
      </c>
      <c r="B1588" s="6" t="s">
        <v>585</v>
      </c>
      <c r="C1588" s="20" t="s">
        <v>142</v>
      </c>
      <c r="D1588" s="7" t="n">
        <f aca="false">План!$D$21</f>
        <v>220</v>
      </c>
      <c r="E1588" s="23"/>
      <c r="F1588" s="23"/>
      <c r="G1588" s="23"/>
      <c r="H1588" s="23"/>
      <c r="I1588" s="23"/>
      <c r="J1588" s="23"/>
      <c r="K1588" s="23"/>
      <c r="L1588" s="49" t="s">
        <v>582</v>
      </c>
    </row>
    <row r="1589" customFormat="false" ht="15" hidden="true" customHeight="false" outlineLevel="1" collapsed="false">
      <c r="A1589" s="20" t="n">
        <v>40</v>
      </c>
      <c r="B1589" s="6" t="s">
        <v>586</v>
      </c>
      <c r="C1589" s="20" t="s">
        <v>142</v>
      </c>
      <c r="D1589" s="7" t="n">
        <f aca="false">План!$D$22</f>
        <v>250</v>
      </c>
      <c r="E1589" s="23"/>
      <c r="F1589" s="23"/>
      <c r="G1589" s="23"/>
      <c r="H1589" s="23"/>
      <c r="I1589" s="23"/>
      <c r="J1589" s="23"/>
      <c r="K1589" s="23"/>
      <c r="L1589" s="49" t="s">
        <v>582</v>
      </c>
    </row>
    <row r="1590" customFormat="false" ht="15" hidden="true" customHeight="false" outlineLevel="1" collapsed="false">
      <c r="A1590" s="20" t="n">
        <v>41</v>
      </c>
      <c r="B1590" s="6" t="s">
        <v>587</v>
      </c>
      <c r="C1590" s="20" t="s">
        <v>142</v>
      </c>
      <c r="D1590" s="7" t="n">
        <f aca="false">План!$D$23</f>
        <v>220</v>
      </c>
      <c r="E1590" s="23"/>
      <c r="F1590" s="23"/>
      <c r="G1590" s="23"/>
      <c r="H1590" s="23"/>
      <c r="I1590" s="23"/>
      <c r="J1590" s="23"/>
      <c r="K1590" s="23"/>
      <c r="L1590" s="49" t="s">
        <v>582</v>
      </c>
    </row>
    <row r="1591" customFormat="false" ht="15" hidden="true" customHeight="false" outlineLevel="1" collapsed="false">
      <c r="A1591" s="20" t="n">
        <v>42</v>
      </c>
      <c r="B1591" s="6" t="s">
        <v>359</v>
      </c>
      <c r="C1591" s="20" t="s">
        <v>76</v>
      </c>
      <c r="D1591" s="23"/>
      <c r="E1591" s="9" t="n">
        <f aca="false">План!E16</f>
        <v>0</v>
      </c>
      <c r="F1591" s="9" t="n">
        <f aca="false">План!F16</f>
        <v>0</v>
      </c>
      <c r="G1591" s="9" t="n">
        <f aca="false">План!G16</f>
        <v>0</v>
      </c>
      <c r="H1591" s="9" t="n">
        <f aca="false">План!H16</f>
        <v>1</v>
      </c>
      <c r="I1591" s="9" t="n">
        <f aca="false">План!I16</f>
        <v>0</v>
      </c>
      <c r="J1591" s="9" t="n">
        <f aca="false">План!J16</f>
        <v>1</v>
      </c>
      <c r="K1591" s="51" t="n">
        <f aca="false">SUM(F1591:J1591)</f>
        <v>2</v>
      </c>
      <c r="L1591" s="49" t="s">
        <v>582</v>
      </c>
    </row>
    <row r="1592" customFormat="false" ht="15" hidden="true" customHeight="false" outlineLevel="1" collapsed="false">
      <c r="A1592" s="20" t="n">
        <v>43</v>
      </c>
      <c r="B1592" s="6" t="s">
        <v>361</v>
      </c>
      <c r="C1592" s="20" t="s">
        <v>76</v>
      </c>
      <c r="D1592" s="23"/>
      <c r="E1592" s="9" t="n">
        <f aca="false">План!E17</f>
        <v>0</v>
      </c>
      <c r="F1592" s="9" t="n">
        <f aca="false">План!F17</f>
        <v>0</v>
      </c>
      <c r="G1592" s="9" t="n">
        <f aca="false">План!G17</f>
        <v>1</v>
      </c>
      <c r="H1592" s="9" t="n">
        <f aca="false">План!H17</f>
        <v>2</v>
      </c>
      <c r="I1592" s="9" t="n">
        <f aca="false">План!I17</f>
        <v>2</v>
      </c>
      <c r="J1592" s="9" t="n">
        <f aca="false">План!J17</f>
        <v>3</v>
      </c>
      <c r="K1592" s="51" t="n">
        <f aca="false">SUM(F1592:J1592)</f>
        <v>8</v>
      </c>
      <c r="L1592" s="49" t="s">
        <v>582</v>
      </c>
    </row>
    <row r="1593" customFormat="false" ht="15" hidden="true" customHeight="false" outlineLevel="1" collapsed="false">
      <c r="A1593" s="20" t="n">
        <v>44</v>
      </c>
      <c r="B1593" s="6" t="s">
        <v>588</v>
      </c>
      <c r="C1593" s="20" t="s">
        <v>53</v>
      </c>
      <c r="D1593" s="23"/>
      <c r="E1593" s="9" t="n">
        <f aca="false">План!E18*0.8</f>
        <v>1.6</v>
      </c>
      <c r="F1593" s="9" t="n">
        <f aca="false">План!F18*0.8</f>
        <v>1.6</v>
      </c>
      <c r="G1593" s="9" t="n">
        <f aca="false">План!G18*0.8</f>
        <v>1.6</v>
      </c>
      <c r="H1593" s="9" t="n">
        <f aca="false">План!H18*0.8</f>
        <v>1.6</v>
      </c>
      <c r="I1593" s="9" t="n">
        <f aca="false">План!I18*0.8</f>
        <v>1.6</v>
      </c>
      <c r="J1593" s="9" t="n">
        <f aca="false">План!J18*0.8</f>
        <v>1.6</v>
      </c>
      <c r="K1593" s="23"/>
      <c r="L1593" s="49" t="s">
        <v>582</v>
      </c>
    </row>
    <row r="1594" customFormat="false" ht="15" hidden="true" customHeight="false" outlineLevel="1" collapsed="false">
      <c r="A1594" s="20" t="n">
        <v>45</v>
      </c>
      <c r="B1594" s="6" t="s">
        <v>589</v>
      </c>
      <c r="C1594" s="20" t="s">
        <v>53</v>
      </c>
      <c r="D1594" s="23"/>
      <c r="E1594" s="9" t="n">
        <f aca="false">План!E19*0.8</f>
        <v>0</v>
      </c>
      <c r="F1594" s="9" t="n">
        <f aca="false">План!F19*0.8</f>
        <v>0.8</v>
      </c>
      <c r="G1594" s="9" t="n">
        <f aca="false">План!G19*0.8</f>
        <v>0.8</v>
      </c>
      <c r="H1594" s="9" t="n">
        <f aca="false">План!H19*0.8</f>
        <v>0.8</v>
      </c>
      <c r="I1594" s="9" t="n">
        <f aca="false">План!I19*0.8</f>
        <v>1.6</v>
      </c>
      <c r="J1594" s="9" t="n">
        <f aca="false">План!J19*0.8</f>
        <v>1.6</v>
      </c>
      <c r="K1594" s="23"/>
      <c r="L1594" s="49" t="s">
        <v>582</v>
      </c>
    </row>
    <row r="1595" customFormat="false" ht="15" hidden="true" customHeight="false" outlineLevel="1" collapsed="false">
      <c r="A1595" s="20" t="n">
        <v>46</v>
      </c>
      <c r="B1595" s="6" t="s">
        <v>590</v>
      </c>
      <c r="C1595" s="20" t="s">
        <v>53</v>
      </c>
      <c r="D1595" s="23"/>
      <c r="E1595" s="9" t="n">
        <f aca="false">План!E20*0.8</f>
        <v>0</v>
      </c>
      <c r="F1595" s="9" t="n">
        <f aca="false">План!F20*0.8</f>
        <v>0.8</v>
      </c>
      <c r="G1595" s="9" t="n">
        <f aca="false">План!G20*0.8</f>
        <v>0.8</v>
      </c>
      <c r="H1595" s="9" t="n">
        <f aca="false">План!H20*0.8</f>
        <v>0.8</v>
      </c>
      <c r="I1595" s="9" t="n">
        <f aca="false">План!I20*0.8</f>
        <v>0.8</v>
      </c>
      <c r="J1595" s="9" t="n">
        <f aca="false">План!J20*0.8</f>
        <v>0.8</v>
      </c>
      <c r="K1595" s="23"/>
      <c r="L1595" s="49" t="s">
        <v>582</v>
      </c>
    </row>
    <row r="1596" customFormat="false" ht="15" hidden="true" customHeight="false" outlineLevel="1" collapsed="false">
      <c r="A1596" s="20" t="n">
        <v>47</v>
      </c>
      <c r="B1596" s="6" t="s">
        <v>591</v>
      </c>
      <c r="C1596" s="20" t="s">
        <v>53</v>
      </c>
      <c r="D1596" s="23"/>
      <c r="E1596" s="9" t="n">
        <f aca="false">План!E21*0.8</f>
        <v>0</v>
      </c>
      <c r="F1596" s="9" t="n">
        <f aca="false">План!F21*0.8</f>
        <v>0</v>
      </c>
      <c r="G1596" s="9" t="n">
        <f aca="false">План!G21*0.8</f>
        <v>0.8</v>
      </c>
      <c r="H1596" s="9" t="n">
        <f aca="false">План!H21*0.8</f>
        <v>0.8</v>
      </c>
      <c r="I1596" s="9" t="n">
        <f aca="false">План!I21*0.8</f>
        <v>0.8</v>
      </c>
      <c r="J1596" s="9" t="n">
        <f aca="false">План!J21*0.8</f>
        <v>0.8</v>
      </c>
      <c r="K1596" s="23"/>
      <c r="L1596" s="49" t="s">
        <v>582</v>
      </c>
    </row>
    <row r="1597" customFormat="false" ht="15" hidden="true" customHeight="false" outlineLevel="1" collapsed="false">
      <c r="A1597" s="20" t="n">
        <v>48</v>
      </c>
      <c r="B1597" s="6" t="s">
        <v>592</v>
      </c>
      <c r="C1597" s="20" t="s">
        <v>53</v>
      </c>
      <c r="D1597" s="23"/>
      <c r="E1597" s="9" t="n">
        <f aca="false">План!E22*0.8</f>
        <v>0</v>
      </c>
      <c r="F1597" s="9" t="n">
        <f aca="false">План!F22*0.8</f>
        <v>0</v>
      </c>
      <c r="G1597" s="9" t="n">
        <f aca="false">План!G22*0.8</f>
        <v>0</v>
      </c>
      <c r="H1597" s="9" t="n">
        <f aca="false">План!H22*0.8</f>
        <v>0.8</v>
      </c>
      <c r="I1597" s="9" t="n">
        <f aca="false">План!I22*0.8</f>
        <v>0.8</v>
      </c>
      <c r="J1597" s="9" t="n">
        <f aca="false">План!J22*0.8</f>
        <v>0.8</v>
      </c>
      <c r="K1597" s="23"/>
      <c r="L1597" s="49" t="s">
        <v>582</v>
      </c>
    </row>
    <row r="1598" customFormat="false" ht="15" hidden="true" customHeight="false" outlineLevel="1" collapsed="false">
      <c r="A1598" s="20" t="n">
        <v>49</v>
      </c>
      <c r="B1598" s="6" t="s">
        <v>593</v>
      </c>
      <c r="C1598" s="20" t="s">
        <v>53</v>
      </c>
      <c r="D1598" s="23"/>
      <c r="E1598" s="9" t="n">
        <f aca="false">План!E23*0.8</f>
        <v>0</v>
      </c>
      <c r="F1598" s="9" t="n">
        <f aca="false">План!F23*0.8</f>
        <v>0</v>
      </c>
      <c r="G1598" s="9" t="n">
        <f aca="false">План!G23*0.8</f>
        <v>0</v>
      </c>
      <c r="H1598" s="9" t="n">
        <f aca="false">План!H23*0.8</f>
        <v>0</v>
      </c>
      <c r="I1598" s="9" t="n">
        <f aca="false">План!I23*0.8</f>
        <v>0</v>
      </c>
      <c r="J1598" s="9" t="n">
        <f aca="false">План!J23*0.8</f>
        <v>0.8</v>
      </c>
      <c r="K1598" s="23"/>
      <c r="L1598" s="49" t="s">
        <v>582</v>
      </c>
    </row>
    <row r="1599" customFormat="false" ht="15" hidden="true" customHeight="false" outlineLevel="1" collapsed="false">
      <c r="A1599" s="19" t="s">
        <v>594</v>
      </c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</row>
    <row r="1600" customFormat="false" ht="15" hidden="true" customHeight="false" outlineLevel="1" collapsed="false">
      <c r="A1600" s="20" t="n">
        <v>50</v>
      </c>
      <c r="B1600" s="6" t="s">
        <v>595</v>
      </c>
      <c r="C1600" s="20"/>
      <c r="D1600" s="23"/>
      <c r="E1600" s="10" t="n">
        <f aca="false">Допущения!$D$3</f>
        <v>2026</v>
      </c>
      <c r="F1600" s="52" t="n">
        <f aca="false">E1600+1</f>
        <v>2027</v>
      </c>
      <c r="G1600" s="52" t="n">
        <f aca="false">F1600+1</f>
        <v>2028</v>
      </c>
      <c r="H1600" s="52" t="n">
        <f aca="false">G1600+1</f>
        <v>2029</v>
      </c>
      <c r="I1600" s="52" t="n">
        <f aca="false">H1600+1</f>
        <v>2030</v>
      </c>
      <c r="J1600" s="52" t="n">
        <f aca="false">I1600+1</f>
        <v>2031</v>
      </c>
      <c r="K1600" s="23"/>
      <c r="L1600" s="49" t="s">
        <v>596</v>
      </c>
    </row>
    <row r="1601" customFormat="false" ht="15" hidden="true" customHeight="false" outlineLevel="1" collapsed="false">
      <c r="A1601" s="20" t="n">
        <v>51</v>
      </c>
      <c r="B1601" s="6" t="s">
        <v>597</v>
      </c>
      <c r="C1601" s="20" t="s">
        <v>62</v>
      </c>
      <c r="D1601" s="23"/>
      <c r="E1601" s="23"/>
      <c r="F1601" s="53" t="n">
        <f aca="false">(1+$D$1557)^(F$1600-$E$1600-1)</f>
        <v>1</v>
      </c>
      <c r="G1601" s="53" t="n">
        <f aca="false">(1+$D$1557)^(G$1600-$E$1600-1)</f>
        <v>1.05</v>
      </c>
      <c r="H1601" s="53" t="n">
        <f aca="false">(1+$D$1557)^(H$1600-$E$1600-1)</f>
        <v>1.1025</v>
      </c>
      <c r="I1601" s="53" t="n">
        <f aca="false">(1+$D$1557)^(I$1600-$E$1600-1)</f>
        <v>1.157625</v>
      </c>
      <c r="J1601" s="53" t="n">
        <f aca="false">(1+$D$1557)^(J$1600-$E$1600-1)</f>
        <v>1.21550625</v>
      </c>
      <c r="K1601" s="23"/>
      <c r="L1601" s="49" t="s">
        <v>598</v>
      </c>
    </row>
    <row r="1602" customFormat="false" ht="15" hidden="true" customHeight="false" outlineLevel="1" collapsed="false">
      <c r="A1602" s="20" t="n">
        <v>52</v>
      </c>
      <c r="B1602" s="6" t="s">
        <v>599</v>
      </c>
      <c r="C1602" s="20" t="s">
        <v>62</v>
      </c>
      <c r="D1602" s="23"/>
      <c r="E1602" s="23"/>
      <c r="F1602" s="53" t="n">
        <f aca="false">(1+$D$1575)^(F$1600-$E$1600-1)</f>
        <v>1</v>
      </c>
      <c r="G1602" s="53" t="n">
        <f aca="false">(1+$D$1575)^(G$1600-$E$1600-1)</f>
        <v>1.05</v>
      </c>
      <c r="H1602" s="53" t="n">
        <f aca="false">(1+$D$1575)^(H$1600-$E$1600-1)</f>
        <v>1.1025</v>
      </c>
      <c r="I1602" s="53" t="n">
        <f aca="false">(1+$D$1575)^(I$1600-$E$1600-1)</f>
        <v>1.157625</v>
      </c>
      <c r="J1602" s="53" t="n">
        <f aca="false">(1+$D$1575)^(J$1600-$E$1600-1)</f>
        <v>1.21550625</v>
      </c>
      <c r="K1602" s="23"/>
      <c r="L1602" s="49" t="s">
        <v>600</v>
      </c>
    </row>
    <row r="1603" customFormat="false" ht="15" hidden="true" customHeight="false" outlineLevel="1" collapsed="false">
      <c r="A1603" s="20" t="n">
        <v>53</v>
      </c>
      <c r="B1603" s="6" t="s">
        <v>601</v>
      </c>
      <c r="C1603" s="20" t="s">
        <v>62</v>
      </c>
      <c r="D1603" s="23"/>
      <c r="E1603" s="23"/>
      <c r="F1603" s="53" t="n">
        <f aca="false">(1+$D$1559)^(F$1600-$E$1600-1)</f>
        <v>1</v>
      </c>
      <c r="G1603" s="53" t="n">
        <f aca="false">(1+$D$1559)^(G$1600-$E$1600-1)</f>
        <v>1.07</v>
      </c>
      <c r="H1603" s="53" t="n">
        <f aca="false">(1+$D$1559)^(H$1600-$E$1600-1)</f>
        <v>1.1449</v>
      </c>
      <c r="I1603" s="53" t="n">
        <f aca="false">(1+$D$1559)^(I$1600-$E$1600-1)</f>
        <v>1.225043</v>
      </c>
      <c r="J1603" s="53" t="n">
        <f aca="false">(1+$D$1559)^(J$1600-$E$1600-1)</f>
        <v>1.31079601</v>
      </c>
      <c r="K1603" s="23"/>
      <c r="L1603" s="49" t="s">
        <v>602</v>
      </c>
    </row>
    <row r="1604" customFormat="false" ht="15" hidden="true" customHeight="false" outlineLevel="1" collapsed="false">
      <c r="A1604" s="20" t="n">
        <v>54</v>
      </c>
      <c r="B1604" s="6" t="s">
        <v>603</v>
      </c>
      <c r="C1604" s="20" t="s">
        <v>55</v>
      </c>
      <c r="D1604" s="23"/>
      <c r="E1604" s="23"/>
      <c r="F1604" s="46" t="n">
        <f aca="false">$D$1563*(1+$D$1564)^(F$1600-$E$1600)</f>
        <v>3.21732</v>
      </c>
      <c r="G1604" s="46" t="n">
        <f aca="false">$D$1563*(1+$D$1564)^(G$1600-$E$1600)</f>
        <v>3.4747056</v>
      </c>
      <c r="H1604" s="46" t="n">
        <f aca="false">$D$1563*(1+$D$1564)^(H$1600-$E$1600)</f>
        <v>3.752682048</v>
      </c>
      <c r="I1604" s="46" t="n">
        <f aca="false">$D$1563*(1+$D$1564)^(I$1600-$E$1600)</f>
        <v>4.05289661184</v>
      </c>
      <c r="J1604" s="46" t="n">
        <f aca="false">$D$1563*(1+$D$1564)^(J$1600-$E$1600)</f>
        <v>4.3771283407872</v>
      </c>
      <c r="K1604" s="23"/>
      <c r="L1604" s="49" t="s">
        <v>604</v>
      </c>
    </row>
    <row r="1605" customFormat="false" ht="15" hidden="true" customHeight="false" outlineLevel="1" collapsed="false">
      <c r="A1605" s="19" t="s">
        <v>605</v>
      </c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</row>
    <row r="1606" customFormat="false" ht="15" hidden="true" customHeight="false" outlineLevel="1" collapsed="false">
      <c r="A1606" s="20" t="n">
        <v>55</v>
      </c>
      <c r="B1606" s="6" t="s">
        <v>606</v>
      </c>
      <c r="C1606" s="20" t="s">
        <v>76</v>
      </c>
      <c r="D1606" s="23"/>
      <c r="E1606" s="23"/>
      <c r="F1606" s="38" t="n">
        <f aca="false">IF(F$1600=$D$1550,1,0)</f>
        <v>1</v>
      </c>
      <c r="G1606" s="38" t="n">
        <f aca="false">IF(G$1600=$D$1550,1,0)</f>
        <v>0</v>
      </c>
      <c r="H1606" s="38" t="n">
        <f aca="false">IF(H$1600=$D$1550,1,0)</f>
        <v>0</v>
      </c>
      <c r="I1606" s="38" t="n">
        <f aca="false">IF(I$1600=$D$1550,1,0)</f>
        <v>0</v>
      </c>
      <c r="J1606" s="38" t="n">
        <f aca="false">IF(J$1600=$D$1550,1,0)</f>
        <v>0</v>
      </c>
      <c r="K1606" s="23"/>
      <c r="L1606" s="49" t="s">
        <v>607</v>
      </c>
    </row>
    <row r="1607" customFormat="false" ht="15" hidden="true" customHeight="false" outlineLevel="1" collapsed="false">
      <c r="A1607" s="20" t="n">
        <v>56</v>
      </c>
      <c r="B1607" s="6" t="s">
        <v>608</v>
      </c>
      <c r="C1607" s="20" t="s">
        <v>76</v>
      </c>
      <c r="D1607" s="23"/>
      <c r="E1607" s="38" t="n">
        <f aca="false">0</f>
        <v>0</v>
      </c>
      <c r="F1607" s="38" t="n">
        <f aca="false">F1606+F1591</f>
        <v>1</v>
      </c>
      <c r="G1607" s="38" t="n">
        <f aca="false">G1606+G1591</f>
        <v>0</v>
      </c>
      <c r="H1607" s="38" t="n">
        <f aca="false">H1606+H1591</f>
        <v>1</v>
      </c>
      <c r="I1607" s="38" t="n">
        <f aca="false">I1606+I1591</f>
        <v>0</v>
      </c>
      <c r="J1607" s="38" t="n">
        <f aca="false">J1606+J1591</f>
        <v>1</v>
      </c>
      <c r="K1607" s="54" t="n">
        <f aca="false">SUM(F1607:J1607)</f>
        <v>3</v>
      </c>
      <c r="L1607" s="49" t="s">
        <v>609</v>
      </c>
    </row>
    <row r="1608" customFormat="false" ht="15" hidden="true" customHeight="false" outlineLevel="1" collapsed="false">
      <c r="A1608" s="20" t="n">
        <v>57</v>
      </c>
      <c r="B1608" s="6" t="s">
        <v>610</v>
      </c>
      <c r="C1608" s="20" t="s">
        <v>76</v>
      </c>
      <c r="D1608" s="23"/>
      <c r="E1608" s="38" t="n">
        <f aca="false">0</f>
        <v>0</v>
      </c>
      <c r="F1608" s="38" t="n">
        <f aca="false">E1608+F1607</f>
        <v>1</v>
      </c>
      <c r="G1608" s="38" t="n">
        <f aca="false">F1608+G1607</f>
        <v>1</v>
      </c>
      <c r="H1608" s="38" t="n">
        <f aca="false">G1608+H1607</f>
        <v>2</v>
      </c>
      <c r="I1608" s="38" t="n">
        <f aca="false">H1608+I1607</f>
        <v>2</v>
      </c>
      <c r="J1608" s="38" t="n">
        <f aca="false">I1608+J1607</f>
        <v>3</v>
      </c>
      <c r="K1608" s="23"/>
      <c r="L1608" s="49" t="s">
        <v>611</v>
      </c>
    </row>
    <row r="1609" customFormat="false" ht="15" hidden="true" customHeight="false" outlineLevel="1" collapsed="false">
      <c r="A1609" s="20" t="n">
        <v>58</v>
      </c>
      <c r="B1609" s="6" t="s">
        <v>612</v>
      </c>
      <c r="C1609" s="20" t="s">
        <v>76</v>
      </c>
      <c r="D1609" s="23"/>
      <c r="E1609" s="38" t="n">
        <f aca="false">0</f>
        <v>0</v>
      </c>
      <c r="F1609" s="38" t="n">
        <f aca="false">E1609+F1592</f>
        <v>0</v>
      </c>
      <c r="G1609" s="38" t="n">
        <f aca="false">F1609+G1592</f>
        <v>1</v>
      </c>
      <c r="H1609" s="38" t="n">
        <f aca="false">G1609+H1592</f>
        <v>3</v>
      </c>
      <c r="I1609" s="38" t="n">
        <f aca="false">H1609+I1592</f>
        <v>5</v>
      </c>
      <c r="J1609" s="38" t="n">
        <f aca="false">I1609+J1592</f>
        <v>8</v>
      </c>
      <c r="K1609" s="23"/>
      <c r="L1609" s="49" t="s">
        <v>611</v>
      </c>
    </row>
    <row r="1610" customFormat="false" ht="15" hidden="true" customHeight="false" outlineLevel="1" collapsed="false">
      <c r="A1610" s="20" t="n">
        <v>59</v>
      </c>
      <c r="B1610" s="6" t="s">
        <v>613</v>
      </c>
      <c r="C1610" s="20" t="s">
        <v>76</v>
      </c>
      <c r="D1610" s="23"/>
      <c r="E1610" s="38" t="n">
        <f aca="false">0</f>
        <v>0</v>
      </c>
      <c r="F1610" s="38" t="n">
        <f aca="false">F1608+F1609</f>
        <v>1</v>
      </c>
      <c r="G1610" s="38" t="n">
        <f aca="false">G1608+G1609</f>
        <v>2</v>
      </c>
      <c r="H1610" s="38" t="n">
        <f aca="false">H1608+H1609</f>
        <v>5</v>
      </c>
      <c r="I1610" s="38" t="n">
        <f aca="false">I1608+I1609</f>
        <v>7</v>
      </c>
      <c r="J1610" s="38" t="n">
        <f aca="false">J1608+J1609</f>
        <v>11</v>
      </c>
      <c r="K1610" s="23"/>
      <c r="L1610" s="49" t="s">
        <v>614</v>
      </c>
    </row>
    <row r="1611" customFormat="false" ht="15" hidden="true" customHeight="false" outlineLevel="1" collapsed="false">
      <c r="A1611" s="20" t="n">
        <v>60</v>
      </c>
      <c r="B1611" s="6" t="s">
        <v>615</v>
      </c>
      <c r="C1611" s="20" t="s">
        <v>76</v>
      </c>
      <c r="D1611" s="23"/>
      <c r="E1611" s="23"/>
      <c r="F1611" s="38" t="n">
        <f aca="false">F1607+F1592</f>
        <v>1</v>
      </c>
      <c r="G1611" s="38" t="n">
        <f aca="false">G1607+G1592</f>
        <v>1</v>
      </c>
      <c r="H1611" s="38" t="n">
        <f aca="false">H1607+H1592</f>
        <v>3</v>
      </c>
      <c r="I1611" s="38" t="n">
        <f aca="false">I1607+I1592</f>
        <v>2</v>
      </c>
      <c r="J1611" s="38" t="n">
        <f aca="false">J1607+J1592</f>
        <v>4</v>
      </c>
      <c r="K1611" s="54" t="n">
        <f aca="false">SUM(F1611:J1611)</f>
        <v>11</v>
      </c>
      <c r="L1611" s="49"/>
    </row>
    <row r="1612" customFormat="false" ht="15" hidden="true" customHeight="false" outlineLevel="1" collapsed="false">
      <c r="A1612" s="19" t="s">
        <v>616</v>
      </c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</row>
    <row r="1613" customFormat="false" ht="15" hidden="true" customHeight="false" outlineLevel="1" collapsed="false">
      <c r="A1613" s="20" t="n">
        <v>61</v>
      </c>
      <c r="B1613" s="6" t="s">
        <v>617</v>
      </c>
      <c r="C1613" s="20" t="s">
        <v>71</v>
      </c>
      <c r="D1613" s="23"/>
      <c r="E1613" s="23"/>
      <c r="F1613" s="40" t="n">
        <f aca="false">IF(F$1600&gt;$D$1550,($D$1552+$D$1551*$D$1553)*(1+$D$1558)^(F$1600-$D$1550-1)*F1601,0)</f>
        <v>0</v>
      </c>
      <c r="G1613" s="40" t="n">
        <f aca="false">IF(G$1600&gt;$D$1550,($D$1552+$D$1551*$D$1553)*(1+$D$1558)^(G$1600-$D$1550-1)*G1601,0)</f>
        <v>15.75</v>
      </c>
      <c r="H1613" s="40" t="n">
        <f aca="false">IF(H$1600&gt;$D$1550,($D$1552+$D$1551*$D$1553)*(1+$D$1558)^(H$1600-$D$1550-1)*H1601,0)</f>
        <v>19.018125</v>
      </c>
      <c r="I1613" s="40" t="n">
        <f aca="false">IF(I$1600&gt;$D$1550,($D$1552+$D$1551*$D$1553)*(1+$D$1558)^(I$1600-$D$1550-1)*I1601,0)</f>
        <v>22.9643859375</v>
      </c>
      <c r="J1613" s="40" t="n">
        <f aca="false">IF(J$1600&gt;$D$1550,($D$1552+$D$1551*$D$1553)*(1+$D$1558)^(J$1600-$D$1550-1)*J1601,0)</f>
        <v>27.7294960195313</v>
      </c>
      <c r="K1613" s="51" t="n">
        <f aca="false">SUM(F1613:J1613)</f>
        <v>85.4620069570313</v>
      </c>
      <c r="L1613" s="49" t="s">
        <v>618</v>
      </c>
    </row>
    <row r="1614" customFormat="false" ht="15" hidden="true" customHeight="false" outlineLevel="1" collapsed="false">
      <c r="A1614" s="20" t="n">
        <v>62</v>
      </c>
      <c r="B1614" s="6" t="s">
        <v>619</v>
      </c>
      <c r="C1614" s="20" t="s">
        <v>71</v>
      </c>
      <c r="D1614" s="23"/>
      <c r="E1614" s="23"/>
      <c r="F1614" s="40" t="n">
        <f aca="false">($D$1552+$D$1583*$D$1553)*F1601*SUMPRODUCT($E$1591:E$1591,(1+$D$1558)^(F$1600-$E$1600:E$1600-1))</f>
        <v>0</v>
      </c>
      <c r="G1614" s="40" t="n">
        <f aca="false">($D$1552+$D$1583*$D$1553)*G1601*SUMPRODUCT($E$1591:F$1591,(1+$D$1558)^(G$1600-$E$1600:F$1600-1))</f>
        <v>0</v>
      </c>
      <c r="H1614" s="40" t="n">
        <f aca="false">($D$1552+$D$1583*$D$1553)*H1601*SUMPRODUCT($E$1591:G$1591,(1+$D$1558)^(H$1600-$E$1600:G$1600-1))</f>
        <v>0</v>
      </c>
      <c r="I1614" s="40" t="n">
        <f aca="false">($D$1552+$D$1583*$D$1553)*I1601*SUMPRODUCT($E$1591:H$1591,(1+$D$1558)^(I$1600-$E$1600:H$1600-1))</f>
        <v>9.78719318181818</v>
      </c>
      <c r="J1614" s="40" t="n">
        <f aca="false">($D$1552+$D$1583*$D$1553)*J1601*SUMPRODUCT($E$1591:I$1591,(1+$D$1558)^(J$1600-$E$1600:I$1600-1))</f>
        <v>11.8180357670455</v>
      </c>
      <c r="K1614" s="51" t="n">
        <f aca="false">SUM(F1614:J1614)</f>
        <v>21.6052289488636</v>
      </c>
      <c r="L1614" s="49" t="s">
        <v>620</v>
      </c>
    </row>
    <row r="1615" customFormat="false" ht="15" hidden="true" customHeight="false" outlineLevel="1" collapsed="false">
      <c r="A1615" s="20" t="n">
        <v>63</v>
      </c>
      <c r="B1615" s="6" t="s">
        <v>621</v>
      </c>
      <c r="C1615" s="20" t="s">
        <v>71</v>
      </c>
      <c r="D1615" s="23"/>
      <c r="E1615" s="23"/>
      <c r="F1615" s="40" t="n">
        <f aca="false">($D$1554+$D$1584*$D$1553)*F1601*SUMPRODUCT($E$1592:E$1592,(1+$D$1558)^(F$1600-$E$1600:E$1600-1))</f>
        <v>0</v>
      </c>
      <c r="G1615" s="40" t="n">
        <f aca="false">($D$1554+$D$1584*$D$1553)*G1601*SUMPRODUCT($E$1592:F$1592,(1+$D$1558)^(G$1600-$E$1600:F$1600-1))</f>
        <v>0</v>
      </c>
      <c r="H1615" s="40" t="n">
        <f aca="false">($D$1554+$D$1584*$D$1553)*H1601*SUMPRODUCT($E$1592:G$1592,(1+$D$1558)^(H$1600-$E$1600:G$1600-1))</f>
        <v>1.8087890625</v>
      </c>
      <c r="I1615" s="40" t="n">
        <f aca="false">($D$1554+$D$1584*$D$1553)*I1601*SUMPRODUCT($E$1592:H$1592,(1+$D$1558)^(I$1600-$E$1600:H$1600-1))</f>
        <v>5.98256982421875</v>
      </c>
      <c r="J1615" s="40" t="n">
        <f aca="false">($D$1554+$D$1584*$D$1553)*J1601*SUMPRODUCT($E$1592:I$1592,(1+$D$1558)^(J$1600-$E$1600:I$1600-1))</f>
        <v>11.2123329455566</v>
      </c>
      <c r="K1615" s="51" t="n">
        <f aca="false">SUM(F1615:J1615)</f>
        <v>19.0036918322754</v>
      </c>
      <c r="L1615" s="49" t="s">
        <v>622</v>
      </c>
    </row>
    <row r="1616" customFormat="false" ht="15" hidden="true" customHeight="false" outlineLevel="1" collapsed="false">
      <c r="A1616" s="20" t="n">
        <v>64</v>
      </c>
      <c r="B1616" s="6" t="s">
        <v>623</v>
      </c>
      <c r="C1616" s="20" t="s">
        <v>71</v>
      </c>
      <c r="D1616" s="23"/>
      <c r="E1616" s="23"/>
      <c r="F1616" s="40" t="n">
        <f aca="false">(F1607*$D$1555+F1592*$D$1556)*F1601</f>
        <v>8</v>
      </c>
      <c r="G1616" s="40" t="n">
        <f aca="false">(G1607*$D$1555+G1592*$D$1556)*G1601</f>
        <v>2.1</v>
      </c>
      <c r="H1616" s="40" t="n">
        <f aca="false">(H1607*$D$1555+H1592*$D$1556)*H1601</f>
        <v>13.23</v>
      </c>
      <c r="I1616" s="40" t="n">
        <f aca="false">(I1607*$D$1555+I1592*$D$1556)*I1601</f>
        <v>4.6305</v>
      </c>
      <c r="J1616" s="40" t="n">
        <f aca="false">(J1607*$D$1555+J1592*$D$1556)*J1601</f>
        <v>17.0170875</v>
      </c>
      <c r="K1616" s="51" t="n">
        <f aca="false">SUM(F1616:J1616)</f>
        <v>44.9775875</v>
      </c>
      <c r="L1616" s="49" t="s">
        <v>624</v>
      </c>
    </row>
    <row r="1617" customFormat="false" ht="15" hidden="true" customHeight="false" outlineLevel="1" collapsed="false">
      <c r="A1617" s="20" t="n">
        <v>65</v>
      </c>
      <c r="B1617" s="6" t="s">
        <v>625</v>
      </c>
      <c r="C1617" s="20" t="s">
        <v>71</v>
      </c>
      <c r="D1617" s="23"/>
      <c r="E1617" s="23"/>
      <c r="F1617" s="40" t="n">
        <f aca="false">F1613+F1614+F1615</f>
        <v>0</v>
      </c>
      <c r="G1617" s="40" t="n">
        <f aca="false">G1613+G1614+G1615</f>
        <v>15.75</v>
      </c>
      <c r="H1617" s="40" t="n">
        <f aca="false">H1613+H1614+H1615</f>
        <v>20.8269140625</v>
      </c>
      <c r="I1617" s="40" t="n">
        <f aca="false">I1613+I1614+I1615</f>
        <v>38.7341489435369</v>
      </c>
      <c r="J1617" s="40" t="n">
        <f aca="false">J1613+J1614+J1615</f>
        <v>50.7598647321333</v>
      </c>
      <c r="K1617" s="51" t="n">
        <f aca="false">SUM(F1617:J1617)</f>
        <v>126.07092773817</v>
      </c>
      <c r="L1617" s="49"/>
    </row>
    <row r="1618" customFormat="false" ht="15" hidden="true" customHeight="false" outlineLevel="1" collapsed="false">
      <c r="A1618" s="20" t="n">
        <v>66</v>
      </c>
      <c r="B1618" s="6" t="s">
        <v>91</v>
      </c>
      <c r="C1618" s="20" t="s">
        <v>71</v>
      </c>
      <c r="D1618" s="23"/>
      <c r="E1618" s="23"/>
      <c r="F1618" s="40" t="n">
        <f aca="false">F1617+F1616</f>
        <v>8</v>
      </c>
      <c r="G1618" s="40" t="n">
        <f aca="false">G1617+G1616</f>
        <v>17.85</v>
      </c>
      <c r="H1618" s="40" t="n">
        <f aca="false">H1617+H1616</f>
        <v>34.0569140625</v>
      </c>
      <c r="I1618" s="40" t="n">
        <f aca="false">I1617+I1616</f>
        <v>43.3646489435369</v>
      </c>
      <c r="J1618" s="40" t="n">
        <f aca="false">J1617+J1616</f>
        <v>67.7769522321333</v>
      </c>
      <c r="K1618" s="51" t="n">
        <f aca="false">SUM(F1618:J1618)</f>
        <v>171.04851523817</v>
      </c>
      <c r="L1618" s="49" t="s">
        <v>626</v>
      </c>
    </row>
    <row r="1619" customFormat="false" ht="15" hidden="true" customHeight="false" outlineLevel="1" collapsed="false">
      <c r="A1619" s="20" t="n">
        <v>67</v>
      </c>
      <c r="B1619" s="6" t="s">
        <v>627</v>
      </c>
      <c r="C1619" s="20" t="s">
        <v>55</v>
      </c>
      <c r="D1619" s="23"/>
      <c r="E1619" s="23"/>
      <c r="F1619" s="40" t="n">
        <f aca="false">IF(F$1600&gt;=$D$1550,($D$1552+$D$1551*$D$1553)*(1+$D$1558)^(F$1600-$D$1550)*F1601,0)+($D$1552+$D$1583*$D$1553)*F1601*SUMPRODUCT($E$1591:F$1591,(1+$D$1558)^(F$1600-$E$1600:F$1600))+($D$1554+$D$1584*$D$1553)*F1601*SUMPRODUCT($E$1592:F$1592,(1+$D$1558)^(F$1600-$E$1600:F$1600))</f>
        <v>15</v>
      </c>
      <c r="G1619" s="40" t="n">
        <f aca="false">IF(G$1600&gt;=$D$1550,($D$1552+$D$1551*$D$1553)*(1+$D$1558)^(G$1600-$D$1550)*G1601,0)+($D$1552+$D$1583*$D$1553)*G1601*SUMPRODUCT($E$1591:G$1591,(1+$D$1558)^(G$1600-$E$1600:G$1600))+($D$1554+$D$1584*$D$1553)*G1601*SUMPRODUCT($E$1592:G$1592,(1+$D$1558)^(G$1600-$E$1600:G$1600))</f>
        <v>19.83515625</v>
      </c>
      <c r="H1619" s="40" t="n">
        <f aca="false">IF(H$1600&gt;=$D$1550,($D$1552+$D$1551*$D$1553)*(1+$D$1558)^(H$1600-$D$1550)*H1601,0)+($D$1552+$D$1583*$D$1553)*H1601*SUMPRODUCT($E$1591:H$1591,(1+$D$1558)^(H$1600-$E$1600:H$1600))+($D$1554+$D$1584*$D$1553)*H1601*SUMPRODUCT($E$1592:H$1592,(1+$D$1558)^(H$1600-$E$1600:H$1600))</f>
        <v>36.8896656605114</v>
      </c>
      <c r="I1619" s="40" t="n">
        <f aca="false">IF(I$1600&gt;=$D$1550,($D$1552+$D$1551*$D$1553)*(1+$D$1558)^(I$1600-$D$1550)*I1601,0)+($D$1552+$D$1583*$D$1553)*I1601*SUMPRODUCT($E$1591:I$1591,(1+$D$1558)^(I$1600-$E$1600:I$1600))+($D$1554+$D$1584*$D$1553)*I1601*SUMPRODUCT($E$1592:I$1592,(1+$D$1558)^(I$1600-$E$1600:I$1600))</f>
        <v>48.3427283163175</v>
      </c>
      <c r="J1619" s="40" t="n">
        <f aca="false">IF(J$1600&gt;=$D$1550,($D$1552+$D$1551*$D$1553)*(1+$D$1558)^(J$1600-$D$1550)*J1601,0)+($D$1552+$D$1583*$D$1553)*J1601*SUMPRODUCT($E$1591:J$1591,(1+$D$1558)^(J$1600-$E$1600:J$1600))+($D$1554+$D$1584*$D$1553)*J1601*SUMPRODUCT($E$1592:J$1592,(1+$D$1558)^(J$1600-$E$1600:J$1600))</f>
        <v>74.6329671070812</v>
      </c>
      <c r="K1619" s="23"/>
      <c r="L1619" s="49" t="s">
        <v>628</v>
      </c>
    </row>
    <row r="1620" customFormat="false" ht="15" hidden="true" customHeight="false" outlineLevel="1" collapsed="false">
      <c r="A1620" s="19" t="s">
        <v>629</v>
      </c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</row>
    <row r="1621" customFormat="false" ht="15" hidden="true" customHeight="false" outlineLevel="1" collapsed="false">
      <c r="A1621" s="20" t="n">
        <v>68</v>
      </c>
      <c r="B1621" s="6" t="s">
        <v>630</v>
      </c>
      <c r="C1621" s="20" t="s">
        <v>53</v>
      </c>
      <c r="D1621" s="23"/>
      <c r="E1621" s="40" t="n">
        <f aca="false">E1593+E1594+E1595+E1596+E1597+E1598</f>
        <v>1.6</v>
      </c>
      <c r="F1621" s="40" t="n">
        <f aca="false">F1593+F1594+F1595+F1596+F1597+F1598</f>
        <v>3.2</v>
      </c>
      <c r="G1621" s="40" t="n">
        <f aca="false">G1593+G1594+G1595+G1596+G1597+G1598</f>
        <v>4</v>
      </c>
      <c r="H1621" s="40" t="n">
        <f aca="false">H1593+H1594+H1595+H1596+H1597+H1598</f>
        <v>4.8</v>
      </c>
      <c r="I1621" s="40" t="n">
        <f aca="false">I1593+I1594+I1595+I1596+I1597+I1598</f>
        <v>5.6</v>
      </c>
      <c r="J1621" s="40" t="n">
        <f aca="false">J1593+J1594+J1595+J1596+J1597+J1598</f>
        <v>6.4</v>
      </c>
      <c r="K1621" s="23"/>
      <c r="L1621" s="49" t="s">
        <v>631</v>
      </c>
    </row>
    <row r="1622" customFormat="false" ht="15" hidden="true" customHeight="false" outlineLevel="1" collapsed="false">
      <c r="A1622" s="20" t="n">
        <v>69</v>
      </c>
      <c r="B1622" s="6" t="s">
        <v>632</v>
      </c>
      <c r="C1622" s="20" t="s">
        <v>53</v>
      </c>
      <c r="D1622" s="23"/>
      <c r="E1622" s="23"/>
      <c r="F1622" s="40" t="n">
        <f aca="false">MAX(0,F1621-E1621)</f>
        <v>1.6</v>
      </c>
      <c r="G1622" s="40" t="n">
        <f aca="false">MAX(0,G1621-F1621)</f>
        <v>0.8</v>
      </c>
      <c r="H1622" s="40" t="n">
        <f aca="false">MAX(0,H1621-G1621)</f>
        <v>0.8</v>
      </c>
      <c r="I1622" s="40" t="n">
        <f aca="false">MAX(0,I1621-H1621)</f>
        <v>0.8</v>
      </c>
      <c r="J1622" s="40" t="n">
        <f aca="false">MAX(0,J1621-I1621)</f>
        <v>0.8</v>
      </c>
      <c r="K1622" s="23"/>
      <c r="L1622" s="49" t="s">
        <v>633</v>
      </c>
    </row>
    <row r="1623" customFormat="false" ht="15" hidden="true" customHeight="false" outlineLevel="1" collapsed="false">
      <c r="A1623" s="20" t="n">
        <v>70</v>
      </c>
      <c r="B1623" s="6" t="s">
        <v>634</v>
      </c>
      <c r="C1623" s="20" t="s">
        <v>71</v>
      </c>
      <c r="D1623" s="23"/>
      <c r="E1623" s="23"/>
      <c r="F1623" s="41" t="n">
        <f aca="false">$D$1585*12/1000*F1603</f>
        <v>2.4</v>
      </c>
      <c r="G1623" s="41" t="n">
        <f aca="false">$D$1585*12/1000*G1603</f>
        <v>2.568</v>
      </c>
      <c r="H1623" s="41" t="n">
        <f aca="false">$D$1585*12/1000*H1603</f>
        <v>2.74776</v>
      </c>
      <c r="I1623" s="41" t="n">
        <f aca="false">$D$1585*12/1000*I1603</f>
        <v>2.9401032</v>
      </c>
      <c r="J1623" s="41" t="n">
        <f aca="false">$D$1585*12/1000*J1603</f>
        <v>3.145910424</v>
      </c>
      <c r="K1623" s="23"/>
      <c r="L1623" s="49" t="s">
        <v>635</v>
      </c>
    </row>
    <row r="1624" customFormat="false" ht="15" hidden="true" customHeight="false" outlineLevel="1" collapsed="false">
      <c r="A1624" s="20" t="n">
        <v>71</v>
      </c>
      <c r="B1624" s="6" t="s">
        <v>636</v>
      </c>
      <c r="C1624" s="20" t="s">
        <v>71</v>
      </c>
      <c r="D1624" s="23"/>
      <c r="E1624" s="23"/>
      <c r="F1624" s="41" t="n">
        <f aca="false">$D$1586*12/1000*F1603</f>
        <v>3.36</v>
      </c>
      <c r="G1624" s="41" t="n">
        <f aca="false">$D$1586*12/1000*G1603</f>
        <v>3.5952</v>
      </c>
      <c r="H1624" s="41" t="n">
        <f aca="false">$D$1586*12/1000*H1603</f>
        <v>3.846864</v>
      </c>
      <c r="I1624" s="41" t="n">
        <f aca="false">$D$1586*12/1000*I1603</f>
        <v>4.11614448</v>
      </c>
      <c r="J1624" s="41" t="n">
        <f aca="false">$D$1586*12/1000*J1603</f>
        <v>4.4042745936</v>
      </c>
      <c r="K1624" s="23"/>
      <c r="L1624" s="49" t="s">
        <v>635</v>
      </c>
    </row>
    <row r="1625" customFormat="false" ht="15" hidden="true" customHeight="false" outlineLevel="1" collapsed="false">
      <c r="A1625" s="20" t="n">
        <v>72</v>
      </c>
      <c r="B1625" s="6" t="s">
        <v>637</v>
      </c>
      <c r="C1625" s="20" t="s">
        <v>71</v>
      </c>
      <c r="D1625" s="23"/>
      <c r="E1625" s="23"/>
      <c r="F1625" s="41" t="n">
        <f aca="false">$D$1587*12/1000*F1603</f>
        <v>2.76</v>
      </c>
      <c r="G1625" s="41" t="n">
        <f aca="false">$D$1587*12/1000*G1603</f>
        <v>2.9532</v>
      </c>
      <c r="H1625" s="41" t="n">
        <f aca="false">$D$1587*12/1000*H1603</f>
        <v>3.159924</v>
      </c>
      <c r="I1625" s="41" t="n">
        <f aca="false">$D$1587*12/1000*I1603</f>
        <v>3.38111868</v>
      </c>
      <c r="J1625" s="41" t="n">
        <f aca="false">$D$1587*12/1000*J1603</f>
        <v>3.6177969876</v>
      </c>
      <c r="K1625" s="23"/>
      <c r="L1625" s="49" t="s">
        <v>635</v>
      </c>
    </row>
    <row r="1626" customFormat="false" ht="15" hidden="true" customHeight="false" outlineLevel="1" collapsed="false">
      <c r="A1626" s="20" t="n">
        <v>73</v>
      </c>
      <c r="B1626" s="6" t="s">
        <v>638</v>
      </c>
      <c r="C1626" s="20" t="s">
        <v>71</v>
      </c>
      <c r="D1626" s="23"/>
      <c r="E1626" s="23"/>
      <c r="F1626" s="41" t="n">
        <f aca="false">$D$1588*12/1000*F1603</f>
        <v>2.64</v>
      </c>
      <c r="G1626" s="41" t="n">
        <f aca="false">$D$1588*12/1000*G1603</f>
        <v>2.8248</v>
      </c>
      <c r="H1626" s="41" t="n">
        <f aca="false">$D$1588*12/1000*H1603</f>
        <v>3.022536</v>
      </c>
      <c r="I1626" s="41" t="n">
        <f aca="false">$D$1588*12/1000*I1603</f>
        <v>3.23411352</v>
      </c>
      <c r="J1626" s="41" t="n">
        <f aca="false">$D$1588*12/1000*J1603</f>
        <v>3.4605014664</v>
      </c>
      <c r="K1626" s="23"/>
      <c r="L1626" s="49" t="s">
        <v>635</v>
      </c>
    </row>
    <row r="1627" customFormat="false" ht="15" hidden="true" customHeight="false" outlineLevel="1" collapsed="false">
      <c r="A1627" s="20" t="n">
        <v>74</v>
      </c>
      <c r="B1627" s="6" t="s">
        <v>639</v>
      </c>
      <c r="C1627" s="20" t="s">
        <v>71</v>
      </c>
      <c r="D1627" s="23"/>
      <c r="E1627" s="23"/>
      <c r="F1627" s="41" t="n">
        <f aca="false">$D$1589*12/1000*F1603</f>
        <v>3</v>
      </c>
      <c r="G1627" s="41" t="n">
        <f aca="false">$D$1589*12/1000*G1603</f>
        <v>3.21</v>
      </c>
      <c r="H1627" s="41" t="n">
        <f aca="false">$D$1589*12/1000*H1603</f>
        <v>3.4347</v>
      </c>
      <c r="I1627" s="41" t="n">
        <f aca="false">$D$1589*12/1000*I1603</f>
        <v>3.675129</v>
      </c>
      <c r="J1627" s="41" t="n">
        <f aca="false">$D$1589*12/1000*J1603</f>
        <v>3.93238803</v>
      </c>
      <c r="K1627" s="23"/>
      <c r="L1627" s="49" t="s">
        <v>635</v>
      </c>
    </row>
    <row r="1628" customFormat="false" ht="15" hidden="true" customHeight="false" outlineLevel="1" collapsed="false">
      <c r="A1628" s="20" t="n">
        <v>75</v>
      </c>
      <c r="B1628" s="6" t="s">
        <v>640</v>
      </c>
      <c r="C1628" s="20" t="s">
        <v>71</v>
      </c>
      <c r="D1628" s="23"/>
      <c r="E1628" s="23"/>
      <c r="F1628" s="41" t="n">
        <f aca="false">$D$1590*12/1000*F1603</f>
        <v>2.64</v>
      </c>
      <c r="G1628" s="41" t="n">
        <f aca="false">$D$1590*12/1000*G1603</f>
        <v>2.8248</v>
      </c>
      <c r="H1628" s="41" t="n">
        <f aca="false">$D$1590*12/1000*H1603</f>
        <v>3.022536</v>
      </c>
      <c r="I1628" s="41" t="n">
        <f aca="false">$D$1590*12/1000*I1603</f>
        <v>3.23411352</v>
      </c>
      <c r="J1628" s="41" t="n">
        <f aca="false">$D$1590*12/1000*J1603</f>
        <v>3.4605014664</v>
      </c>
      <c r="K1628" s="23"/>
      <c r="L1628" s="49" t="s">
        <v>635</v>
      </c>
    </row>
    <row r="1629" customFormat="false" ht="15" hidden="true" customHeight="false" outlineLevel="1" collapsed="false">
      <c r="A1629" s="20" t="n">
        <v>76</v>
      </c>
      <c r="B1629" s="6" t="s">
        <v>641</v>
      </c>
      <c r="C1629" s="20" t="s">
        <v>71</v>
      </c>
      <c r="D1629" s="23"/>
      <c r="E1629" s="23"/>
      <c r="F1629" s="40" t="n">
        <f aca="false">F1593*F1623</f>
        <v>3.84</v>
      </c>
      <c r="G1629" s="40" t="n">
        <f aca="false">G1593*G1623</f>
        <v>4.1088</v>
      </c>
      <c r="H1629" s="40" t="n">
        <f aca="false">H1593*H1623</f>
        <v>4.396416</v>
      </c>
      <c r="I1629" s="40" t="n">
        <f aca="false">I1593*I1623</f>
        <v>4.70416512</v>
      </c>
      <c r="J1629" s="40" t="n">
        <f aca="false">J1593*J1623</f>
        <v>5.0334566784</v>
      </c>
      <c r="K1629" s="51" t="n">
        <f aca="false">SUM(F1629:J1629)</f>
        <v>22.0828377984</v>
      </c>
      <c r="L1629" s="49" t="s">
        <v>642</v>
      </c>
    </row>
    <row r="1630" customFormat="false" ht="15" hidden="true" customHeight="false" outlineLevel="1" collapsed="false">
      <c r="A1630" s="20" t="n">
        <v>77</v>
      </c>
      <c r="B1630" s="6" t="s">
        <v>643</v>
      </c>
      <c r="C1630" s="20" t="s">
        <v>71</v>
      </c>
      <c r="D1630" s="23"/>
      <c r="E1630" s="23"/>
      <c r="F1630" s="40" t="n">
        <f aca="false">F1594*F1624</f>
        <v>2.688</v>
      </c>
      <c r="G1630" s="40" t="n">
        <f aca="false">G1594*G1624</f>
        <v>2.87616</v>
      </c>
      <c r="H1630" s="40" t="n">
        <f aca="false">H1594*H1624</f>
        <v>3.0774912</v>
      </c>
      <c r="I1630" s="40" t="n">
        <f aca="false">I1594*I1624</f>
        <v>6.585831168</v>
      </c>
      <c r="J1630" s="40" t="n">
        <f aca="false">J1594*J1624</f>
        <v>7.04683934976</v>
      </c>
      <c r="K1630" s="51" t="n">
        <f aca="false">SUM(F1630:J1630)</f>
        <v>22.27432171776</v>
      </c>
      <c r="L1630" s="49" t="s">
        <v>642</v>
      </c>
    </row>
    <row r="1631" customFormat="false" ht="15" hidden="true" customHeight="false" outlineLevel="1" collapsed="false">
      <c r="A1631" s="20" t="n">
        <v>78</v>
      </c>
      <c r="B1631" s="6" t="s">
        <v>644</v>
      </c>
      <c r="C1631" s="20" t="s">
        <v>71</v>
      </c>
      <c r="D1631" s="23"/>
      <c r="E1631" s="23"/>
      <c r="F1631" s="40" t="n">
        <f aca="false">F1595*F1625</f>
        <v>2.208</v>
      </c>
      <c r="G1631" s="40" t="n">
        <f aca="false">G1595*G1625</f>
        <v>2.36256</v>
      </c>
      <c r="H1631" s="40" t="n">
        <f aca="false">H1595*H1625</f>
        <v>2.5279392</v>
      </c>
      <c r="I1631" s="40" t="n">
        <f aca="false">I1595*I1625</f>
        <v>2.704894944</v>
      </c>
      <c r="J1631" s="40" t="n">
        <f aca="false">J1595*J1625</f>
        <v>2.89423759008</v>
      </c>
      <c r="K1631" s="51" t="n">
        <f aca="false">SUM(F1631:J1631)</f>
        <v>12.69763173408</v>
      </c>
      <c r="L1631" s="49" t="s">
        <v>642</v>
      </c>
    </row>
    <row r="1632" customFormat="false" ht="15" hidden="true" customHeight="false" outlineLevel="1" collapsed="false">
      <c r="A1632" s="20" t="n">
        <v>79</v>
      </c>
      <c r="B1632" s="6" t="s">
        <v>645</v>
      </c>
      <c r="C1632" s="20" t="s">
        <v>71</v>
      </c>
      <c r="D1632" s="23"/>
      <c r="E1632" s="23"/>
      <c r="F1632" s="40" t="n">
        <f aca="false">F1596*F1626</f>
        <v>0</v>
      </c>
      <c r="G1632" s="40" t="n">
        <f aca="false">G1596*G1626</f>
        <v>2.25984</v>
      </c>
      <c r="H1632" s="40" t="n">
        <f aca="false">H1596*H1626</f>
        <v>2.4180288</v>
      </c>
      <c r="I1632" s="40" t="n">
        <f aca="false">I1596*I1626</f>
        <v>2.587290816</v>
      </c>
      <c r="J1632" s="40" t="n">
        <f aca="false">J1596*J1626</f>
        <v>2.76840117312</v>
      </c>
      <c r="K1632" s="51" t="n">
        <f aca="false">SUM(F1632:J1632)</f>
        <v>10.03356078912</v>
      </c>
      <c r="L1632" s="49" t="s">
        <v>642</v>
      </c>
    </row>
    <row r="1633" customFormat="false" ht="15" hidden="true" customHeight="false" outlineLevel="1" collapsed="false">
      <c r="A1633" s="20" t="n">
        <v>80</v>
      </c>
      <c r="B1633" s="6" t="s">
        <v>646</v>
      </c>
      <c r="C1633" s="20" t="s">
        <v>71</v>
      </c>
      <c r="D1633" s="23"/>
      <c r="E1633" s="23"/>
      <c r="F1633" s="40" t="n">
        <f aca="false">F1597*F1627</f>
        <v>0</v>
      </c>
      <c r="G1633" s="40" t="n">
        <f aca="false">G1597*G1627</f>
        <v>0</v>
      </c>
      <c r="H1633" s="40" t="n">
        <f aca="false">H1597*H1627</f>
        <v>2.74776</v>
      </c>
      <c r="I1633" s="40" t="n">
        <f aca="false">I1597*I1627</f>
        <v>2.9401032</v>
      </c>
      <c r="J1633" s="40" t="n">
        <f aca="false">J1597*J1627</f>
        <v>3.145910424</v>
      </c>
      <c r="K1633" s="51" t="n">
        <f aca="false">SUM(F1633:J1633)</f>
        <v>8.833773624</v>
      </c>
      <c r="L1633" s="49" t="s">
        <v>642</v>
      </c>
    </row>
    <row r="1634" customFormat="false" ht="15" hidden="true" customHeight="false" outlineLevel="1" collapsed="false">
      <c r="A1634" s="20" t="n">
        <v>81</v>
      </c>
      <c r="B1634" s="6" t="s">
        <v>647</v>
      </c>
      <c r="C1634" s="20" t="s">
        <v>71</v>
      </c>
      <c r="D1634" s="23"/>
      <c r="E1634" s="23"/>
      <c r="F1634" s="40" t="n">
        <f aca="false">F1598*F1628</f>
        <v>0</v>
      </c>
      <c r="G1634" s="40" t="n">
        <f aca="false">G1598*G1628</f>
        <v>0</v>
      </c>
      <c r="H1634" s="40" t="n">
        <f aca="false">H1598*H1628</f>
        <v>0</v>
      </c>
      <c r="I1634" s="40" t="n">
        <f aca="false">I1598*I1628</f>
        <v>0</v>
      </c>
      <c r="J1634" s="40" t="n">
        <f aca="false">J1598*J1628</f>
        <v>2.76840117312</v>
      </c>
      <c r="K1634" s="51" t="n">
        <f aca="false">SUM(F1634:J1634)</f>
        <v>2.76840117312</v>
      </c>
      <c r="L1634" s="49" t="s">
        <v>642</v>
      </c>
    </row>
    <row r="1635" customFormat="false" ht="15" hidden="true" customHeight="false" outlineLevel="1" collapsed="false">
      <c r="A1635" s="20" t="n">
        <v>82</v>
      </c>
      <c r="B1635" s="6" t="s">
        <v>648</v>
      </c>
      <c r="C1635" s="20" t="s">
        <v>71</v>
      </c>
      <c r="D1635" s="23"/>
      <c r="E1635" s="23"/>
      <c r="F1635" s="40" t="n">
        <f aca="false">F1629+F1630+F1631+F1632+F1633+F1634</f>
        <v>8.736</v>
      </c>
      <c r="G1635" s="40" t="n">
        <f aca="false">G1629+G1630+G1631+G1632+G1633+G1634</f>
        <v>11.60736</v>
      </c>
      <c r="H1635" s="40" t="n">
        <f aca="false">H1629+H1630+H1631+H1632+H1633+H1634</f>
        <v>15.1676352</v>
      </c>
      <c r="I1635" s="40" t="n">
        <f aca="false">I1629+I1630+I1631+I1632+I1633+I1634</f>
        <v>19.522285248</v>
      </c>
      <c r="J1635" s="40" t="n">
        <f aca="false">J1629+J1630+J1631+J1632+J1633+J1634</f>
        <v>23.65724638848</v>
      </c>
      <c r="K1635" s="51" t="n">
        <f aca="false">SUM(F1635:J1635)</f>
        <v>78.69052683648</v>
      </c>
      <c r="L1635" s="49"/>
    </row>
    <row r="1636" customFormat="false" ht="15" hidden="true" customHeight="false" outlineLevel="1" collapsed="false">
      <c r="A1636" s="20" t="n">
        <v>83</v>
      </c>
      <c r="B1636" s="6" t="s">
        <v>649</v>
      </c>
      <c r="C1636" s="20" t="s">
        <v>71</v>
      </c>
      <c r="D1636" s="23"/>
      <c r="E1636" s="23"/>
      <c r="F1636" s="40" t="n">
        <f aca="false">F1593*(MIN(F1623,F1604)*$D$1560+MAX(0,F1623-F1604)*$D$1561+F1623*$D$1562)+F1594*(MIN(F1624,F1604)*$D$1560+MAX(0,F1624-F1604)*$D$1561+F1624*$D$1562)+F1595*(MIN(F1625,F1604)*$D$1560+MAX(0,F1625-F1604)*$D$1561+F1625*$D$1562)+F1596*(MIN(F1626,F1604)*$D$1560+MAX(0,F1626-F1604)*$D$1561+F1626*$D$1562)+F1597*(MIN(F1627,F1604)*$D$1560+MAX(0,F1627-F1604)*$D$1561+F1627*$D$1562)+F1598*(MIN(F1628,F1604)*$D$1560+MAX(0,F1628-F1604)*$D$1561+F1628*$D$1562)</f>
        <v>1.319425344</v>
      </c>
      <c r="G1636" s="40" t="n">
        <f aca="false">G1593*(MIN(G1623,G1604)*$D$1560+MAX(0,G1623-G1604)*$D$1561+G1623*$D$1562)+G1594*(MIN(G1624,G1604)*$D$1560+MAX(0,G1624-G1604)*$D$1561+G1624*$D$1562)+G1595*(MIN(G1625,G1604)*$D$1560+MAX(0,G1625-G1604)*$D$1561+G1625*$D$1562)+G1596*(MIN(G1626,G1604)*$D$1560+MAX(0,G1626-G1604)*$D$1561+G1626*$D$1562)+G1597*(MIN(G1627,G1604)*$D$1560+MAX(0,G1627-G1604)*$D$1561+G1627*$D$1562)+G1598*(MIN(G1628,G1604)*$D$1560+MAX(0,G1628-G1604)*$D$1561+G1628*$D$1562)</f>
        <v>1.75718545152</v>
      </c>
      <c r="H1636" s="40" t="n">
        <f aca="false">H1593*(MIN(H1623,H1604)*$D$1560+MAX(0,H1623-H1604)*$D$1561+H1623*$D$1562)+H1594*(MIN(H1624,H1604)*$D$1560+MAX(0,H1624-H1604)*$D$1561+H1624*$D$1562)+H1595*(MIN(H1625,H1604)*$D$1560+MAX(0,H1625-H1604)*$D$1561+H1625*$D$1562)+H1596*(MIN(H1626,H1604)*$D$1560+MAX(0,H1626-H1604)*$D$1561+H1626*$D$1562)+H1597*(MIN(H1627,H1604)*$D$1560+MAX(0,H1627-H1604)*$D$1561+H1627*$D$1562)+H1598*(MIN(H1628,H1604)*$D$1560+MAX(0,H1628-H1604)*$D$1561+H1628*$D$1562)</f>
        <v>2.2999049788416</v>
      </c>
      <c r="I1636" s="40" t="n">
        <f aca="false">I1593*(MIN(I1623,I1604)*$D$1560+MAX(0,I1623-I1604)*$D$1561+I1623*$D$1562)+I1594*(MIN(I1624,I1604)*$D$1560+MAX(0,I1624-I1604)*$D$1561+I1624*$D$1562)+I1595*(MIN(I1625,I1604)*$D$1560+MAX(0,I1625-I1604)*$D$1561+I1625*$D$1562)+I1596*(MIN(I1626,I1604)*$D$1560+MAX(0,I1626-I1604)*$D$1561+I1626*$D$1562)+I1597*(MIN(I1627,I1604)*$D$1560+MAX(0,I1627-I1604)*$D$1561+I1627*$D$1562)+I1598*(MIN(I1628,I1604)*$D$1560+MAX(0,I1628-I1604)*$D$1561+I1628*$D$1562)</f>
        <v>2.95989881010586</v>
      </c>
      <c r="J1636" s="40" t="n">
        <f aca="false">J1593*(MIN(J1623,J1604)*$D$1560+MAX(0,J1623-J1604)*$D$1561+J1623*$D$1562)+J1594*(MIN(J1624,J1604)*$D$1560+MAX(0,J1624-J1604)*$D$1561+J1624*$D$1562)+J1595*(MIN(J1625,J1604)*$D$1560+MAX(0,J1625-J1604)*$D$1561+J1625*$D$1562)+J1596*(MIN(J1626,J1604)*$D$1560+MAX(0,J1626-J1604)*$D$1561+J1626*$D$1562)+J1597*(MIN(J1627,J1604)*$D$1560+MAX(0,J1627-J1604)*$D$1561+J1627*$D$1562)+J1598*(MIN(J1628,J1604)*$D$1560+MAX(0,J1628-J1604)*$D$1561+J1628*$D$1562)</f>
        <v>3.59268733471593</v>
      </c>
      <c r="K1636" s="51" t="n">
        <f aca="false">SUM(F1636:J1636)</f>
        <v>11.9291019191834</v>
      </c>
      <c r="L1636" s="49" t="s">
        <v>650</v>
      </c>
    </row>
    <row r="1637" customFormat="false" ht="15" hidden="true" customHeight="false" outlineLevel="1" collapsed="false">
      <c r="A1637" s="20" t="n">
        <v>84</v>
      </c>
      <c r="B1637" s="6" t="s">
        <v>651</v>
      </c>
      <c r="C1637" s="20"/>
      <c r="D1637" s="23"/>
      <c r="E1637" s="23"/>
      <c r="F1637" s="38" t="n">
        <f aca="false">IF(AND(F1610&gt;0,E1610=0),1,0)</f>
        <v>1</v>
      </c>
      <c r="G1637" s="38" t="n">
        <f aca="false">IF(AND(G1610&gt;0,F1610=0),1,0)</f>
        <v>0</v>
      </c>
      <c r="H1637" s="38" t="n">
        <f aca="false">IF(AND(H1610&gt;0,G1610=0),1,0)</f>
        <v>0</v>
      </c>
      <c r="I1637" s="38" t="n">
        <f aca="false">IF(AND(I1610&gt;0,H1610=0),1,0)</f>
        <v>0</v>
      </c>
      <c r="J1637" s="38" t="n">
        <f aca="false">IF(AND(J1610&gt;0,I1610=0),1,0)</f>
        <v>0</v>
      </c>
      <c r="K1637" s="23"/>
      <c r="L1637" s="49"/>
    </row>
    <row r="1638" customFormat="false" ht="15" hidden="true" customHeight="false" outlineLevel="1" collapsed="false">
      <c r="A1638" s="20" t="n">
        <v>85</v>
      </c>
      <c r="B1638" s="6" t="s">
        <v>652</v>
      </c>
      <c r="C1638" s="20" t="s">
        <v>71</v>
      </c>
      <c r="D1638" s="23"/>
      <c r="E1638" s="23"/>
      <c r="F1638" s="40" t="n">
        <f aca="false">(F1637*$D$1565+IF(E1610&gt;0,1,0)*$D$1566)*F1602</f>
        <v>2.5</v>
      </c>
      <c r="G1638" s="40" t="n">
        <f aca="false">(G1637*$D$1565+IF(F1610&gt;0,1,0)*$D$1566)*G1602</f>
        <v>1.05</v>
      </c>
      <c r="H1638" s="40" t="n">
        <f aca="false">(H1637*$D$1565+IF(G1610&gt;0,1,0)*$D$1566)*H1602</f>
        <v>1.1025</v>
      </c>
      <c r="I1638" s="40" t="n">
        <f aca="false">(I1637*$D$1565+IF(H1610&gt;0,1,0)*$D$1566)*I1602</f>
        <v>1.157625</v>
      </c>
      <c r="J1638" s="40" t="n">
        <f aca="false">(J1637*$D$1565+IF(I1610&gt;0,1,0)*$D$1566)*J1602</f>
        <v>1.21550625</v>
      </c>
      <c r="K1638" s="51" t="n">
        <f aca="false">SUM(F1638:J1638)</f>
        <v>7.02563125</v>
      </c>
      <c r="L1638" s="49" t="s">
        <v>653</v>
      </c>
    </row>
    <row r="1639" customFormat="false" ht="15" hidden="true" customHeight="false" outlineLevel="1" collapsed="false">
      <c r="A1639" s="20" t="n">
        <v>86</v>
      </c>
      <c r="B1639" s="6" t="s">
        <v>302</v>
      </c>
      <c r="C1639" s="20" t="s">
        <v>71</v>
      </c>
      <c r="D1639" s="23"/>
      <c r="E1639" s="23"/>
      <c r="F1639" s="40" t="n">
        <f aca="false">$D$1567*F1602</f>
        <v>0.6</v>
      </c>
      <c r="G1639" s="40" t="n">
        <f aca="false">$D$1567*G1602</f>
        <v>0.63</v>
      </c>
      <c r="H1639" s="40" t="n">
        <f aca="false">$D$1567*H1602</f>
        <v>0.6615</v>
      </c>
      <c r="I1639" s="40" t="n">
        <f aca="false">$D$1567*I1602</f>
        <v>0.694575</v>
      </c>
      <c r="J1639" s="40" t="n">
        <f aca="false">$D$1567*J1602</f>
        <v>0.72930375</v>
      </c>
      <c r="K1639" s="51" t="n">
        <f aca="false">SUM(F1639:J1639)</f>
        <v>3.31537875</v>
      </c>
      <c r="L1639" s="49"/>
    </row>
    <row r="1640" customFormat="false" ht="15" hidden="true" customHeight="false" outlineLevel="1" collapsed="false">
      <c r="A1640" s="20" t="n">
        <v>87</v>
      </c>
      <c r="B1640" s="6" t="s">
        <v>654</v>
      </c>
      <c r="C1640" s="20" t="s">
        <v>71</v>
      </c>
      <c r="D1640" s="23"/>
      <c r="E1640" s="23"/>
      <c r="F1640" s="40" t="n">
        <f aca="false">$D$1568*F1621*F1602</f>
        <v>0.48</v>
      </c>
      <c r="G1640" s="40" t="n">
        <f aca="false">$D$1568*G1621*G1602</f>
        <v>0.63</v>
      </c>
      <c r="H1640" s="40" t="n">
        <f aca="false">$D$1568*H1621*H1602</f>
        <v>0.7938</v>
      </c>
      <c r="I1640" s="40" t="n">
        <f aca="false">$D$1568*I1621*I1602</f>
        <v>0.972405</v>
      </c>
      <c r="J1640" s="40" t="n">
        <f aca="false">$D$1568*J1621*J1602</f>
        <v>1.166886</v>
      </c>
      <c r="K1640" s="51" t="n">
        <f aca="false">SUM(F1640:J1640)</f>
        <v>4.043091</v>
      </c>
      <c r="L1640" s="49" t="s">
        <v>655</v>
      </c>
    </row>
    <row r="1641" customFormat="false" ht="15" hidden="true" customHeight="false" outlineLevel="1" collapsed="false">
      <c r="A1641" s="20" t="n">
        <v>88</v>
      </c>
      <c r="B1641" s="6" t="s">
        <v>656</v>
      </c>
      <c r="C1641" s="20" t="s">
        <v>71</v>
      </c>
      <c r="D1641" s="23"/>
      <c r="E1641" s="23"/>
      <c r="F1641" s="40" t="n">
        <f aca="false">($D$1569+$D$1570*F1611)*F1602</f>
        <v>1.4</v>
      </c>
      <c r="G1641" s="40" t="n">
        <f aca="false">($D$1569+$D$1570*G1611)*G1602</f>
        <v>1.47</v>
      </c>
      <c r="H1641" s="40" t="n">
        <f aca="false">($D$1569+$D$1570*H1611)*H1602</f>
        <v>2.4255</v>
      </c>
      <c r="I1641" s="40" t="n">
        <f aca="false">($D$1569+$D$1570*I1611)*I1602</f>
        <v>2.083725</v>
      </c>
      <c r="J1641" s="40" t="n">
        <f aca="false">($D$1569+$D$1570*J1611)*J1602</f>
        <v>3.16031625</v>
      </c>
      <c r="K1641" s="51" t="n">
        <f aca="false">SUM(F1641:J1641)</f>
        <v>10.53954125</v>
      </c>
      <c r="L1641" s="49" t="s">
        <v>657</v>
      </c>
    </row>
    <row r="1642" customFormat="false" ht="15" hidden="true" customHeight="false" outlineLevel="1" collapsed="false">
      <c r="A1642" s="20" t="n">
        <v>89</v>
      </c>
      <c r="B1642" s="6" t="s">
        <v>658</v>
      </c>
      <c r="C1642" s="20" t="s">
        <v>71</v>
      </c>
      <c r="D1642" s="23"/>
      <c r="E1642" s="23"/>
      <c r="F1642" s="40" t="n">
        <f aca="false">($D$1571+$D$1572*F1621)*F1602</f>
        <v>1.52</v>
      </c>
      <c r="G1642" s="40" t="n">
        <f aca="false">($D$1571+$D$1572*G1621)*G1602</f>
        <v>1.68</v>
      </c>
      <c r="H1642" s="40" t="n">
        <f aca="false">($D$1571+$D$1572*H1621)*H1602</f>
        <v>1.8522</v>
      </c>
      <c r="I1642" s="40" t="n">
        <f aca="false">($D$1571+$D$1572*I1621)*I1602</f>
        <v>2.03742</v>
      </c>
      <c r="J1642" s="40" t="n">
        <f aca="false">($D$1571+$D$1572*J1621)*J1602</f>
        <v>2.2365315</v>
      </c>
      <c r="K1642" s="51" t="n">
        <f aca="false">SUM(F1642:J1642)</f>
        <v>9.3261515</v>
      </c>
      <c r="L1642" s="49" t="s">
        <v>659</v>
      </c>
    </row>
    <row r="1643" customFormat="false" ht="15" hidden="true" customHeight="false" outlineLevel="1" collapsed="false">
      <c r="A1643" s="20" t="n">
        <v>90</v>
      </c>
      <c r="B1643" s="6" t="s">
        <v>660</v>
      </c>
      <c r="C1643" s="20" t="s">
        <v>71</v>
      </c>
      <c r="D1643" s="23"/>
      <c r="E1643" s="23"/>
      <c r="F1643" s="40" t="n">
        <f aca="false">$D$1573*F1622*F1602</f>
        <v>0.4</v>
      </c>
      <c r="G1643" s="40" t="n">
        <f aca="false">$D$1573*G1622*G1602</f>
        <v>0.21</v>
      </c>
      <c r="H1643" s="40" t="n">
        <f aca="false">$D$1573*H1622*H1602</f>
        <v>0.2205</v>
      </c>
      <c r="I1643" s="40" t="n">
        <f aca="false">$D$1573*I1622*I1602</f>
        <v>0.231525</v>
      </c>
      <c r="J1643" s="40" t="n">
        <f aca="false">$D$1573*J1622*J1602</f>
        <v>0.24310125</v>
      </c>
      <c r="K1643" s="51" t="n">
        <f aca="false">SUM(F1643:J1643)</f>
        <v>1.30512625</v>
      </c>
      <c r="L1643" s="49" t="s">
        <v>661</v>
      </c>
    </row>
    <row r="1644" customFormat="false" ht="15" hidden="true" customHeight="false" outlineLevel="1" collapsed="false">
      <c r="A1644" s="20" t="n">
        <v>91</v>
      </c>
      <c r="B1644" s="6" t="s">
        <v>570</v>
      </c>
      <c r="C1644" s="20" t="s">
        <v>71</v>
      </c>
      <c r="D1644" s="23"/>
      <c r="E1644" s="23"/>
      <c r="F1644" s="40" t="n">
        <f aca="false">IF(F$1600=$F$1600,$D$1574,0)</f>
        <v>0.3</v>
      </c>
      <c r="G1644" s="40" t="n">
        <f aca="false">IF(G$1600=$F$1600,$D$1574,0)</f>
        <v>0</v>
      </c>
      <c r="H1644" s="40" t="n">
        <f aca="false">IF(H$1600=$F$1600,$D$1574,0)</f>
        <v>0</v>
      </c>
      <c r="I1644" s="40" t="n">
        <f aca="false">IF(I$1600=$F$1600,$D$1574,0)</f>
        <v>0</v>
      </c>
      <c r="J1644" s="40" t="n">
        <f aca="false">IF(J$1600=$F$1600,$D$1574,0)</f>
        <v>0</v>
      </c>
      <c r="K1644" s="51" t="n">
        <f aca="false">SUM(F1644:J1644)</f>
        <v>0.3</v>
      </c>
      <c r="L1644" s="49" t="s">
        <v>662</v>
      </c>
    </row>
    <row r="1645" customFormat="false" ht="15" hidden="true" customHeight="false" outlineLevel="1" collapsed="false">
      <c r="A1645" s="20" t="n">
        <v>92</v>
      </c>
      <c r="B1645" s="6" t="s">
        <v>663</v>
      </c>
      <c r="C1645" s="20" t="s">
        <v>71</v>
      </c>
      <c r="D1645" s="23"/>
      <c r="E1645" s="23"/>
      <c r="F1645" s="40" t="n">
        <f aca="false">F1635+F1636+F1638+F1639+F1640+F1641+F1642+F1643+F1644</f>
        <v>17.255425344</v>
      </c>
      <c r="G1645" s="40" t="n">
        <f aca="false">G1635+G1636+G1638+G1639+G1640+G1641+G1642+G1643+G1644</f>
        <v>19.03454545152</v>
      </c>
      <c r="H1645" s="40" t="n">
        <f aca="false">H1635+H1636+H1638+H1639+H1640+H1641+H1642+H1643+H1644</f>
        <v>24.5235401788416</v>
      </c>
      <c r="I1645" s="40" t="n">
        <f aca="false">I1635+I1636+I1638+I1639+I1640+I1641+I1642+I1643+I1644</f>
        <v>29.6594590581059</v>
      </c>
      <c r="J1645" s="40" t="n">
        <f aca="false">J1635+J1636+J1638+J1639+J1640+J1641+J1642+J1643+J1644</f>
        <v>36.0015787231959</v>
      </c>
      <c r="K1645" s="51" t="n">
        <f aca="false">SUM(F1645:J1645)</f>
        <v>126.474548755663</v>
      </c>
      <c r="L1645" s="49"/>
    </row>
    <row r="1646" customFormat="false" ht="15" hidden="true" customHeight="false" outlineLevel="1" collapsed="false">
      <c r="A1646" s="20" t="n">
        <v>93</v>
      </c>
      <c r="B1646" s="6" t="s">
        <v>329</v>
      </c>
      <c r="C1646" s="20" t="s">
        <v>71</v>
      </c>
      <c r="D1646" s="23"/>
      <c r="E1646" s="23"/>
      <c r="F1646" s="40" t="n">
        <f aca="false">F1645*$D$1576</f>
        <v>1.7255425344</v>
      </c>
      <c r="G1646" s="40" t="n">
        <f aca="false">G1645*$D$1576</f>
        <v>1.903454545152</v>
      </c>
      <c r="H1646" s="40" t="n">
        <f aca="false">H1645*$D$1576</f>
        <v>2.45235401788416</v>
      </c>
      <c r="I1646" s="40" t="n">
        <f aca="false">I1645*$D$1576</f>
        <v>2.96594590581059</v>
      </c>
      <c r="J1646" s="40" t="n">
        <f aca="false">J1645*$D$1576</f>
        <v>3.60015787231959</v>
      </c>
      <c r="K1646" s="51" t="n">
        <f aca="false">SUM(F1646:J1646)</f>
        <v>12.6474548755663</v>
      </c>
      <c r="L1646" s="49"/>
    </row>
    <row r="1647" customFormat="false" ht="15" hidden="true" customHeight="false" outlineLevel="1" collapsed="false">
      <c r="A1647" s="20" t="n">
        <v>94</v>
      </c>
      <c r="B1647" s="6" t="s">
        <v>664</v>
      </c>
      <c r="C1647" s="20" t="s">
        <v>71</v>
      </c>
      <c r="D1647" s="23"/>
      <c r="E1647" s="23"/>
      <c r="F1647" s="40" t="n">
        <f aca="false">F1645+F1646</f>
        <v>18.9809678784</v>
      </c>
      <c r="G1647" s="40" t="n">
        <f aca="false">G1645+G1646</f>
        <v>20.937999996672</v>
      </c>
      <c r="H1647" s="40" t="n">
        <f aca="false">H1645+H1646</f>
        <v>26.9758941967258</v>
      </c>
      <c r="I1647" s="40" t="n">
        <f aca="false">I1645+I1646</f>
        <v>32.6254049639164</v>
      </c>
      <c r="J1647" s="40" t="n">
        <f aca="false">J1645+J1646</f>
        <v>39.6017365955155</v>
      </c>
      <c r="K1647" s="51" t="n">
        <f aca="false">SUM(F1647:J1647)</f>
        <v>139.12200363123</v>
      </c>
      <c r="L1647" s="49"/>
    </row>
    <row r="1648" customFormat="false" ht="15" hidden="true" customHeight="false" outlineLevel="1" collapsed="false">
      <c r="A1648" s="19" t="s">
        <v>665</v>
      </c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</row>
    <row r="1649" customFormat="false" ht="15" hidden="true" customHeight="false" outlineLevel="1" collapsed="false">
      <c r="A1649" s="20" t="n">
        <v>95</v>
      </c>
      <c r="B1649" s="6" t="s">
        <v>666</v>
      </c>
      <c r="C1649" s="20" t="s">
        <v>71</v>
      </c>
      <c r="D1649" s="23"/>
      <c r="E1649" s="23"/>
      <c r="F1649" s="40" t="n">
        <f aca="false">F1618-F1647</f>
        <v>-10.9809678784</v>
      </c>
      <c r="G1649" s="40" t="n">
        <f aca="false">G1618-G1647</f>
        <v>-3.087999996672</v>
      </c>
      <c r="H1649" s="40" t="n">
        <f aca="false">H1618-H1647</f>
        <v>7.08101986577423</v>
      </c>
      <c r="I1649" s="40" t="n">
        <f aca="false">I1618-I1647</f>
        <v>10.7392439796205</v>
      </c>
      <c r="J1649" s="40" t="n">
        <f aca="false">J1618-J1647</f>
        <v>28.1752156366178</v>
      </c>
      <c r="K1649" s="51" t="n">
        <f aca="false">SUM(F1649:J1649)</f>
        <v>31.9265116069405</v>
      </c>
      <c r="L1649" s="49" t="s">
        <v>667</v>
      </c>
    </row>
    <row r="1650" customFormat="false" ht="15" hidden="true" customHeight="false" outlineLevel="1" collapsed="false">
      <c r="A1650" s="20" t="n">
        <v>96</v>
      </c>
      <c r="B1650" s="6" t="s">
        <v>668</v>
      </c>
      <c r="C1650" s="20" t="s">
        <v>68</v>
      </c>
      <c r="D1650" s="23"/>
      <c r="E1650" s="23"/>
      <c r="F1650" s="44" t="n">
        <f aca="false">IF(F1618&gt;0,F1649/F1618,0)</f>
        <v>-1.3726209848</v>
      </c>
      <c r="G1650" s="44" t="n">
        <f aca="false">IF(G1618&gt;0,G1649/G1618,0)</f>
        <v>-0.172997198693109</v>
      </c>
      <c r="H1650" s="44" t="n">
        <f aca="false">IF(H1618&gt;0,H1649/H1618,0)</f>
        <v>0.207917248543993</v>
      </c>
      <c r="I1650" s="44" t="n">
        <f aca="false">IF(I1618&gt;0,I1649/I1618,0)</f>
        <v>0.247649738698532</v>
      </c>
      <c r="J1650" s="44" t="n">
        <f aca="false">IF(J1618&gt;0,J1649/J1618,0)</f>
        <v>0.415704966197341</v>
      </c>
      <c r="K1650" s="23"/>
      <c r="L1650" s="49"/>
    </row>
    <row r="1651" customFormat="false" ht="15" hidden="true" customHeight="false" outlineLevel="1" collapsed="false">
      <c r="A1651" s="20" t="n">
        <v>97</v>
      </c>
      <c r="B1651" s="6" t="s">
        <v>669</v>
      </c>
      <c r="C1651" s="20" t="s">
        <v>71</v>
      </c>
      <c r="D1651" s="23"/>
      <c r="E1651" s="23"/>
      <c r="F1651" s="40" t="n">
        <f aca="false">E1655</f>
        <v>0</v>
      </c>
      <c r="G1651" s="40" t="n">
        <f aca="false">F1655</f>
        <v>10.9809678784</v>
      </c>
      <c r="H1651" s="40" t="n">
        <f aca="false">G1655</f>
        <v>14.068967875072</v>
      </c>
      <c r="I1651" s="40" t="n">
        <f aca="false">H1655</f>
        <v>10.5284579421849</v>
      </c>
      <c r="J1651" s="40" t="n">
        <f aca="false">I1655</f>
        <v>5.15883595237464</v>
      </c>
      <c r="K1651" s="23"/>
      <c r="L1651" s="49"/>
    </row>
    <row r="1652" customFormat="false" ht="15" hidden="true" customHeight="false" outlineLevel="1" collapsed="false">
      <c r="A1652" s="20" t="n">
        <v>98</v>
      </c>
      <c r="B1652" s="6" t="s">
        <v>670</v>
      </c>
      <c r="C1652" s="20" t="s">
        <v>71</v>
      </c>
      <c r="D1652" s="23"/>
      <c r="E1652" s="23"/>
      <c r="F1652" s="40" t="n">
        <f aca="false">MIN(F1651,MAX(0,F1649)*$D$1578)</f>
        <v>0</v>
      </c>
      <c r="G1652" s="40" t="n">
        <f aca="false">MIN(G1651,MAX(0,G1649)*$D$1578)</f>
        <v>0</v>
      </c>
      <c r="H1652" s="40" t="n">
        <f aca="false">MIN(H1651,MAX(0,H1649)*$D$1578)</f>
        <v>3.54050993288712</v>
      </c>
      <c r="I1652" s="40" t="n">
        <f aca="false">MIN(I1651,MAX(0,I1649)*$D$1578)</f>
        <v>5.36962198981025</v>
      </c>
      <c r="J1652" s="40" t="n">
        <f aca="false">MIN(J1651,MAX(0,J1649)*$D$1578)</f>
        <v>5.15883595237464</v>
      </c>
      <c r="K1652" s="23"/>
      <c r="L1652" s="49" t="s">
        <v>671</v>
      </c>
    </row>
    <row r="1653" customFormat="false" ht="15" hidden="true" customHeight="false" outlineLevel="1" collapsed="false">
      <c r="A1653" s="20" t="n">
        <v>99</v>
      </c>
      <c r="B1653" s="6" t="s">
        <v>672</v>
      </c>
      <c r="C1653" s="20" t="s">
        <v>71</v>
      </c>
      <c r="D1653" s="23"/>
      <c r="E1653" s="23"/>
      <c r="F1653" s="40" t="n">
        <f aca="false">MAX(0,F1649)-F1652</f>
        <v>0</v>
      </c>
      <c r="G1653" s="40" t="n">
        <f aca="false">MAX(0,G1649)-G1652</f>
        <v>0</v>
      </c>
      <c r="H1653" s="40" t="n">
        <f aca="false">MAX(0,H1649)-H1652</f>
        <v>3.54050993288712</v>
      </c>
      <c r="I1653" s="40" t="n">
        <f aca="false">MAX(0,I1649)-I1652</f>
        <v>5.36962198981025</v>
      </c>
      <c r="J1653" s="40" t="n">
        <f aca="false">MAX(0,J1649)-J1652</f>
        <v>23.0163796842432</v>
      </c>
      <c r="K1653" s="23"/>
      <c r="L1653" s="49"/>
    </row>
    <row r="1654" customFormat="false" ht="15" hidden="true" customHeight="false" outlineLevel="1" collapsed="false">
      <c r="A1654" s="20" t="n">
        <v>100</v>
      </c>
      <c r="B1654" s="6" t="s">
        <v>572</v>
      </c>
      <c r="C1654" s="20" t="s">
        <v>71</v>
      </c>
      <c r="D1654" s="23"/>
      <c r="E1654" s="23"/>
      <c r="F1654" s="40" t="n">
        <f aca="false">F1653*$D$1577</f>
        <v>0</v>
      </c>
      <c r="G1654" s="40" t="n">
        <f aca="false">G1653*$D$1577</f>
        <v>0</v>
      </c>
      <c r="H1654" s="40" t="n">
        <f aca="false">H1653*$D$1577</f>
        <v>0.177025496644356</v>
      </c>
      <c r="I1654" s="40" t="n">
        <f aca="false">I1653*$D$1577</f>
        <v>0.268481099490512</v>
      </c>
      <c r="J1654" s="40" t="n">
        <f aca="false">J1653*$D$1577</f>
        <v>1.15081898421216</v>
      </c>
      <c r="K1654" s="51" t="n">
        <f aca="false">SUM(F1654:J1654)</f>
        <v>1.59632558034703</v>
      </c>
      <c r="L1654" s="49"/>
    </row>
    <row r="1655" customFormat="false" ht="15" hidden="true" customHeight="false" outlineLevel="1" collapsed="false">
      <c r="A1655" s="20" t="n">
        <v>101</v>
      </c>
      <c r="B1655" s="6" t="s">
        <v>673</v>
      </c>
      <c r="C1655" s="20" t="s">
        <v>71</v>
      </c>
      <c r="D1655" s="23"/>
      <c r="E1655" s="40" t="n">
        <f aca="false">0</f>
        <v>0</v>
      </c>
      <c r="F1655" s="40" t="n">
        <f aca="false">F1651-F1652+MAX(0,-F1649)</f>
        <v>10.9809678784</v>
      </c>
      <c r="G1655" s="40" t="n">
        <f aca="false">G1651-G1652+MAX(0,-G1649)</f>
        <v>14.068967875072</v>
      </c>
      <c r="H1655" s="40" t="n">
        <f aca="false">H1651-H1652+MAX(0,-H1649)</f>
        <v>10.5284579421849</v>
      </c>
      <c r="I1655" s="40" t="n">
        <f aca="false">I1651-I1652+MAX(0,-I1649)</f>
        <v>5.15883595237464</v>
      </c>
      <c r="J1655" s="40" t="n">
        <f aca="false">J1651-J1652+MAX(0,-J1649)</f>
        <v>0</v>
      </c>
      <c r="K1655" s="23"/>
      <c r="L1655" s="49"/>
    </row>
    <row r="1656" customFormat="false" ht="15" hidden="true" customHeight="false" outlineLevel="1" collapsed="false">
      <c r="A1656" s="20" t="n">
        <v>102</v>
      </c>
      <c r="B1656" s="6" t="s">
        <v>674</v>
      </c>
      <c r="C1656" s="20" t="s">
        <v>71</v>
      </c>
      <c r="D1656" s="23"/>
      <c r="E1656" s="23"/>
      <c r="F1656" s="40" t="n">
        <f aca="false">F1649-F1654</f>
        <v>-10.9809678784</v>
      </c>
      <c r="G1656" s="40" t="n">
        <f aca="false">G1649-G1654</f>
        <v>-3.087999996672</v>
      </c>
      <c r="H1656" s="40" t="n">
        <f aca="false">H1649-H1654</f>
        <v>6.90399436912988</v>
      </c>
      <c r="I1656" s="40" t="n">
        <f aca="false">I1649-I1654</f>
        <v>10.47076288013</v>
      </c>
      <c r="J1656" s="40" t="n">
        <f aca="false">J1649-J1654</f>
        <v>27.0243966524057</v>
      </c>
      <c r="K1656" s="51" t="n">
        <f aca="false">SUM(F1656:J1656)</f>
        <v>30.3301860265935</v>
      </c>
      <c r="L1656" s="49"/>
    </row>
    <row r="1657" customFormat="false" ht="15" hidden="true" customHeight="false" outlineLevel="1" collapsed="false">
      <c r="A1657" s="19" t="s">
        <v>675</v>
      </c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</row>
    <row r="1658" customFormat="false" ht="15" hidden="true" customHeight="false" outlineLevel="1" collapsed="false">
      <c r="A1658" s="20" t="n">
        <v>103</v>
      </c>
      <c r="B1658" s="6" t="s">
        <v>676</v>
      </c>
      <c r="C1658" s="20" t="s">
        <v>71</v>
      </c>
      <c r="D1658" s="23"/>
      <c r="E1658" s="40" t="n">
        <f aca="false">0</f>
        <v>0</v>
      </c>
      <c r="F1658" s="40" t="n">
        <f aca="false">F1618*$D$1579/365</f>
        <v>1.97260273972603</v>
      </c>
      <c r="G1658" s="40" t="n">
        <f aca="false">G1618*$D$1579/365</f>
        <v>4.4013698630137</v>
      </c>
      <c r="H1658" s="40" t="n">
        <f aca="false">H1618*$D$1579/365</f>
        <v>8.39759524828767</v>
      </c>
      <c r="I1658" s="40" t="n">
        <f aca="false">I1618*$D$1579/365</f>
        <v>10.6926531641598</v>
      </c>
      <c r="J1658" s="40" t="n">
        <f aca="false">J1618*$D$1579/365</f>
        <v>16.7121252079233</v>
      </c>
      <c r="K1658" s="23"/>
      <c r="L1658" s="49" t="s">
        <v>677</v>
      </c>
    </row>
    <row r="1659" customFormat="false" ht="15" hidden="true" customHeight="false" outlineLevel="1" collapsed="false">
      <c r="A1659" s="20" t="n">
        <v>104</v>
      </c>
      <c r="B1659" s="6" t="s">
        <v>678</v>
      </c>
      <c r="C1659" s="20" t="s">
        <v>71</v>
      </c>
      <c r="D1659" s="23"/>
      <c r="E1659" s="23"/>
      <c r="F1659" s="40" t="n">
        <f aca="false">F1658-E1658</f>
        <v>1.97260273972603</v>
      </c>
      <c r="G1659" s="40" t="n">
        <f aca="false">G1658-F1658</f>
        <v>2.42876712328767</v>
      </c>
      <c r="H1659" s="40" t="n">
        <f aca="false">H1658-G1658</f>
        <v>3.99622538527397</v>
      </c>
      <c r="I1659" s="40" t="n">
        <f aca="false">I1658-H1658</f>
        <v>2.29505791587212</v>
      </c>
      <c r="J1659" s="40" t="n">
        <f aca="false">J1658-I1658</f>
        <v>6.0194720437635</v>
      </c>
      <c r="K1659" s="51" t="n">
        <f aca="false">SUM(F1659:J1659)</f>
        <v>16.7121252079233</v>
      </c>
      <c r="L1659" s="49"/>
    </row>
    <row r="1660" customFormat="false" ht="15" hidden="true" customHeight="false" outlineLevel="1" collapsed="false">
      <c r="A1660" s="20" t="n">
        <v>105</v>
      </c>
      <c r="B1660" s="6" t="s">
        <v>679</v>
      </c>
      <c r="C1660" s="20" t="s">
        <v>71</v>
      </c>
      <c r="D1660" s="23"/>
      <c r="E1660" s="23"/>
      <c r="F1660" s="40" t="n">
        <f aca="false">F1656-F1659</f>
        <v>-12.953570618126</v>
      </c>
      <c r="G1660" s="40" t="n">
        <f aca="false">G1656-G1659</f>
        <v>-5.51676711995968</v>
      </c>
      <c r="H1660" s="40" t="n">
        <f aca="false">H1656-H1659</f>
        <v>2.90776898385591</v>
      </c>
      <c r="I1660" s="40" t="n">
        <f aca="false">I1656-I1659</f>
        <v>8.17570496425786</v>
      </c>
      <c r="J1660" s="40" t="n">
        <f aca="false">J1656-J1659</f>
        <v>21.0049246086422</v>
      </c>
      <c r="K1660" s="51" t="n">
        <f aca="false">SUM(F1660:J1660)</f>
        <v>13.6180608186702</v>
      </c>
      <c r="L1660" s="49" t="s">
        <v>680</v>
      </c>
    </row>
    <row r="1661" customFormat="false" ht="15" hidden="true" customHeight="false" outlineLevel="1" collapsed="false">
      <c r="A1661" s="20" t="n">
        <v>106</v>
      </c>
      <c r="B1661" s="6" t="s">
        <v>93</v>
      </c>
      <c r="C1661" s="20" t="s">
        <v>71</v>
      </c>
      <c r="D1661" s="23"/>
      <c r="E1661" s="40" t="n">
        <f aca="false">0</f>
        <v>0</v>
      </c>
      <c r="F1661" s="40" t="n">
        <f aca="false">E1661+F1660</f>
        <v>-12.953570618126</v>
      </c>
      <c r="G1661" s="40" t="n">
        <f aca="false">F1661+G1660</f>
        <v>-18.4703377380857</v>
      </c>
      <c r="H1661" s="40" t="n">
        <f aca="false">G1661+H1660</f>
        <v>-15.5625687542298</v>
      </c>
      <c r="I1661" s="40" t="n">
        <f aca="false">H1661+I1660</f>
        <v>-7.38686378997194</v>
      </c>
      <c r="J1661" s="40" t="n">
        <f aca="false">I1661+J1660</f>
        <v>13.6180608186702</v>
      </c>
      <c r="K1661" s="23"/>
      <c r="L1661" s="49" t="s">
        <v>681</v>
      </c>
    </row>
    <row r="1662" customFormat="false" ht="15" hidden="true" customHeight="false" outlineLevel="1" collapsed="false">
      <c r="A1662" s="20" t="n">
        <v>107</v>
      </c>
      <c r="B1662" s="6" t="s">
        <v>682</v>
      </c>
      <c r="C1662" s="20"/>
      <c r="D1662" s="23"/>
      <c r="E1662" s="23"/>
      <c r="F1662" s="53" t="n">
        <f aca="false">1/(1+$D$1580)^(F$1600-$E$1600)</f>
        <v>0.769230769230769</v>
      </c>
      <c r="G1662" s="53" t="n">
        <f aca="false">1/(1+$D$1580)^(G$1600-$E$1600)</f>
        <v>0.591715976331361</v>
      </c>
      <c r="H1662" s="53" t="n">
        <f aca="false">1/(1+$D$1580)^(H$1600-$E$1600)</f>
        <v>0.455166135639508</v>
      </c>
      <c r="I1662" s="53" t="n">
        <f aca="false">1/(1+$D$1580)^(I$1600-$E$1600)</f>
        <v>0.350127796645776</v>
      </c>
      <c r="J1662" s="53" t="n">
        <f aca="false">1/(1+$D$1580)^(J$1600-$E$1600)</f>
        <v>0.269329074342904</v>
      </c>
      <c r="K1662" s="23"/>
      <c r="L1662" s="49" t="s">
        <v>683</v>
      </c>
    </row>
    <row r="1663" customFormat="false" ht="15" hidden="true" customHeight="false" outlineLevel="1" collapsed="false">
      <c r="A1663" s="20" t="n">
        <v>108</v>
      </c>
      <c r="B1663" s="6" t="s">
        <v>684</v>
      </c>
      <c r="C1663" s="20" t="s">
        <v>71</v>
      </c>
      <c r="D1663" s="23"/>
      <c r="E1663" s="23"/>
      <c r="F1663" s="40" t="n">
        <f aca="false">F1660*F1662</f>
        <v>-9.96428509086618</v>
      </c>
      <c r="G1663" s="40" t="n">
        <f aca="false">G1660*G1662</f>
        <v>-3.26435924257969</v>
      </c>
      <c r="H1663" s="40" t="n">
        <f aca="false">H1660*H1662</f>
        <v>1.32351797171411</v>
      </c>
      <c r="I1663" s="40" t="n">
        <f aca="false">I1660*I1662</f>
        <v>2.86254156516153</v>
      </c>
      <c r="J1663" s="40" t="n">
        <f aca="false">J1660*J1662</f>
        <v>5.65723690148809</v>
      </c>
      <c r="K1663" s="51" t="n">
        <f aca="false">SUM(F1663:J1663)</f>
        <v>-3.38534789508213</v>
      </c>
      <c r="L1663" s="49"/>
    </row>
    <row r="1664" customFormat="false" ht="15" hidden="true" customHeight="false" outlineLevel="1" collapsed="false">
      <c r="A1664" s="20" t="n">
        <v>109</v>
      </c>
      <c r="B1664" s="6" t="s">
        <v>685</v>
      </c>
      <c r="C1664" s="20" t="s">
        <v>71</v>
      </c>
      <c r="D1664" s="23"/>
      <c r="E1664" s="23"/>
      <c r="F1664" s="40" t="n">
        <f aca="false">IF(F$1600=$J$1600,MAX(0,F1660)*(1+$D$1581)/($D$1580-$D$1581),0)</f>
        <v>0</v>
      </c>
      <c r="G1664" s="40" t="n">
        <f aca="false">IF(G$1600=$J$1600,MAX(0,G1660)*(1+$D$1581)/($D$1580-$D$1581),0)</f>
        <v>0</v>
      </c>
      <c r="H1664" s="40" t="n">
        <f aca="false">IF(H$1600=$J$1600,MAX(0,H1660)*(1+$D$1581)/($D$1580-$D$1581),0)</f>
        <v>0</v>
      </c>
      <c r="I1664" s="40" t="n">
        <f aca="false">IF(I$1600=$J$1600,MAX(0,I1660)*(1+$D$1581)/($D$1580-$D$1581),0)</f>
        <v>0</v>
      </c>
      <c r="J1664" s="40" t="n">
        <f aca="false">IF(J$1600=$J$1600,MAX(0,J1660)*(1+$D$1581)/($D$1580-$D$1581),0)</f>
        <v>84.0196984345686</v>
      </c>
      <c r="K1664" s="23"/>
      <c r="L1664" s="49" t="s">
        <v>686</v>
      </c>
    </row>
    <row r="1665" customFormat="false" ht="15" hidden="true" customHeight="false" outlineLevel="1" collapsed="false">
      <c r="A1665" s="20" t="n">
        <v>110</v>
      </c>
      <c r="B1665" s="6" t="s">
        <v>687</v>
      </c>
      <c r="C1665" s="20" t="s">
        <v>71</v>
      </c>
      <c r="D1665" s="23"/>
      <c r="E1665" s="23"/>
      <c r="F1665" s="40" t="n">
        <f aca="false">F1664*F1662</f>
        <v>0</v>
      </c>
      <c r="G1665" s="40" t="n">
        <f aca="false">G1664*G1662</f>
        <v>0</v>
      </c>
      <c r="H1665" s="40" t="n">
        <f aca="false">H1664*H1662</f>
        <v>0</v>
      </c>
      <c r="I1665" s="40" t="n">
        <f aca="false">I1664*I1662</f>
        <v>0</v>
      </c>
      <c r="J1665" s="40" t="n">
        <f aca="false">J1664*J1662</f>
        <v>22.6289476059523</v>
      </c>
      <c r="K1665" s="51" t="n">
        <f aca="false">SUM(F1665:J1665)</f>
        <v>22.6289476059523</v>
      </c>
      <c r="L1665" s="49"/>
    </row>
    <row r="1666" customFormat="false" ht="15" hidden="true" customHeight="false" outlineLevel="1" collapsed="false">
      <c r="A1666" s="20" t="n">
        <v>111</v>
      </c>
      <c r="B1666" s="6" t="s">
        <v>688</v>
      </c>
      <c r="C1666" s="20" t="s">
        <v>71</v>
      </c>
      <c r="D1666" s="23"/>
      <c r="E1666" s="23"/>
      <c r="F1666" s="40" t="n">
        <f aca="false">F1660+F1664</f>
        <v>-12.953570618126</v>
      </c>
      <c r="G1666" s="40" t="n">
        <f aca="false">G1660+G1664</f>
        <v>-5.51676711995968</v>
      </c>
      <c r="H1666" s="40" t="n">
        <f aca="false">H1660+H1664</f>
        <v>2.90776898385591</v>
      </c>
      <c r="I1666" s="40" t="n">
        <f aca="false">I1660+I1664</f>
        <v>8.17570496425786</v>
      </c>
      <c r="J1666" s="40" t="n">
        <f aca="false">J1660+J1664</f>
        <v>105.024623043211</v>
      </c>
      <c r="K1666" s="23"/>
      <c r="L1666" s="49" t="s">
        <v>689</v>
      </c>
    </row>
    <row r="1667" customFormat="false" ht="15" hidden="true" customHeight="false" outlineLevel="1" collapsed="false">
      <c r="A1667" s="20" t="n">
        <v>112</v>
      </c>
      <c r="B1667" s="6" t="s">
        <v>690</v>
      </c>
      <c r="C1667" s="20"/>
      <c r="D1667" s="23"/>
      <c r="E1667" s="23"/>
      <c r="F1667" s="52" t="str">
        <f aca="false">IF(AND(F1649&gt;0,COUNTIF($F$1649:F$1649,"&gt;0")=1),F$1600,"")</f>
        <v/>
      </c>
      <c r="G1667" s="52" t="str">
        <f aca="false">IF(AND(G1649&gt;0,COUNTIF($F$1649:G$1649,"&gt;0")=1),G$1600,"")</f>
        <v/>
      </c>
      <c r="H1667" s="52" t="n">
        <f aca="false">IF(AND(H1649&gt;0,COUNTIF($F$1649:H$1649,"&gt;0")=1),H$1600,"")</f>
        <v>2029</v>
      </c>
      <c r="I1667" s="52" t="str">
        <f aca="false">IF(AND(I1649&gt;0,COUNTIF($F$1649:I$1649,"&gt;0")=1),I$1600,"")</f>
        <v/>
      </c>
      <c r="J1667" s="52" t="str">
        <f aca="false">IF(AND(J1649&gt;0,COUNTIF($F$1649:J$1649,"&gt;0")=1),J$1600,"")</f>
        <v/>
      </c>
      <c r="K1667" s="23"/>
      <c r="L1667" s="49" t="s">
        <v>691</v>
      </c>
    </row>
    <row r="1668" customFormat="false" ht="15" hidden="true" customHeight="false" outlineLevel="1" collapsed="false">
      <c r="A1668" s="20" t="n">
        <v>113</v>
      </c>
      <c r="B1668" s="6" t="s">
        <v>692</v>
      </c>
      <c r="C1668" s="20"/>
      <c r="D1668" s="23"/>
      <c r="E1668" s="23"/>
      <c r="F1668" s="52" t="str">
        <f aca="false">IF(AND(F1661&gt;0,COUNTIF($F$1661:F$1661,"&gt;0")=1),F$1600,"")</f>
        <v/>
      </c>
      <c r="G1668" s="52" t="str">
        <f aca="false">IF(AND(G1661&gt;0,COUNTIF($F$1661:G$1661,"&gt;0")=1),G$1600,"")</f>
        <v/>
      </c>
      <c r="H1668" s="52" t="str">
        <f aca="false">IF(AND(H1661&gt;0,COUNTIF($F$1661:H$1661,"&gt;0")=1),H$1600,"")</f>
        <v/>
      </c>
      <c r="I1668" s="52" t="str">
        <f aca="false">IF(AND(I1661&gt;0,COUNTIF($F$1661:I$1661,"&gt;0")=1),I$1600,"")</f>
        <v/>
      </c>
      <c r="J1668" s="52" t="n">
        <f aca="false">IF(AND(J1661&gt;0,COUNTIF($F$1661:J$1661,"&gt;0")=1),J$1600,"")</f>
        <v>2031</v>
      </c>
      <c r="K1668" s="23"/>
      <c r="L1668" s="49" t="s">
        <v>691</v>
      </c>
    </row>
    <row r="1669" customFormat="false" ht="15" hidden="true" customHeight="false" outlineLevel="1" collapsed="false">
      <c r="A1669" s="19" t="s">
        <v>693</v>
      </c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</row>
    <row r="1670" customFormat="false" ht="15" hidden="true" customHeight="false" outlineLevel="1" collapsed="false">
      <c r="A1670" s="20" t="n">
        <v>114</v>
      </c>
      <c r="B1670" s="6" t="s">
        <v>70</v>
      </c>
      <c r="C1670" s="20" t="s">
        <v>71</v>
      </c>
      <c r="D1670" s="51" t="n">
        <f aca="false">SUM(F1618:J1618)</f>
        <v>171.04851523817</v>
      </c>
      <c r="E1670" s="23"/>
      <c r="F1670" s="23"/>
      <c r="G1670" s="23"/>
      <c r="H1670" s="23"/>
      <c r="I1670" s="23"/>
      <c r="J1670" s="23"/>
      <c r="K1670" s="23"/>
      <c r="L1670" s="49"/>
    </row>
    <row r="1671" customFormat="false" ht="15" hidden="true" customHeight="false" outlineLevel="1" collapsed="false">
      <c r="A1671" s="20" t="n">
        <v>115</v>
      </c>
      <c r="B1671" s="6" t="s">
        <v>694</v>
      </c>
      <c r="C1671" s="20" t="s">
        <v>71</v>
      </c>
      <c r="D1671" s="51" t="n">
        <f aca="false">J1618</f>
        <v>67.7769522321333</v>
      </c>
      <c r="E1671" s="23"/>
      <c r="F1671" s="23"/>
      <c r="G1671" s="23"/>
      <c r="H1671" s="23"/>
      <c r="I1671" s="23"/>
      <c r="J1671" s="23"/>
      <c r="K1671" s="23"/>
      <c r="L1671" s="49"/>
    </row>
    <row r="1672" customFormat="false" ht="15" hidden="true" customHeight="false" outlineLevel="1" collapsed="false">
      <c r="A1672" s="20" t="n">
        <v>116</v>
      </c>
      <c r="B1672" s="6" t="s">
        <v>695</v>
      </c>
      <c r="C1672" s="20" t="s">
        <v>71</v>
      </c>
      <c r="D1672" s="51" t="n">
        <f aca="false">J1619</f>
        <v>74.6329671070812</v>
      </c>
      <c r="E1672" s="23"/>
      <c r="F1672" s="23"/>
      <c r="G1672" s="23"/>
      <c r="H1672" s="23"/>
      <c r="I1672" s="23"/>
      <c r="J1672" s="23"/>
      <c r="K1672" s="23"/>
      <c r="L1672" s="49"/>
    </row>
    <row r="1673" customFormat="false" ht="15" hidden="true" customHeight="false" outlineLevel="1" collapsed="false">
      <c r="A1673" s="20" t="n">
        <v>117</v>
      </c>
      <c r="B1673" s="6" t="s">
        <v>696</v>
      </c>
      <c r="C1673" s="20" t="s">
        <v>71</v>
      </c>
      <c r="D1673" s="51" t="n">
        <f aca="false">J1649</f>
        <v>28.1752156366178</v>
      </c>
      <c r="E1673" s="23"/>
      <c r="F1673" s="23"/>
      <c r="G1673" s="23"/>
      <c r="H1673" s="23"/>
      <c r="I1673" s="23"/>
      <c r="J1673" s="23"/>
      <c r="K1673" s="23"/>
      <c r="L1673" s="49"/>
    </row>
    <row r="1674" customFormat="false" ht="15" hidden="true" customHeight="false" outlineLevel="1" collapsed="false">
      <c r="A1674" s="20" t="n">
        <v>118</v>
      </c>
      <c r="B1674" s="6" t="s">
        <v>697</v>
      </c>
      <c r="C1674" s="20" t="s">
        <v>76</v>
      </c>
      <c r="D1674" s="54" t="n">
        <f aca="false">J1610</f>
        <v>11</v>
      </c>
      <c r="E1674" s="23"/>
      <c r="F1674" s="23"/>
      <c r="G1674" s="23"/>
      <c r="H1674" s="23"/>
      <c r="I1674" s="23"/>
      <c r="J1674" s="23"/>
      <c r="K1674" s="23"/>
      <c r="L1674" s="49"/>
    </row>
    <row r="1675" customFormat="false" ht="15" hidden="true" customHeight="false" outlineLevel="1" collapsed="false">
      <c r="A1675" s="20" t="n">
        <v>119</v>
      </c>
      <c r="B1675" s="6" t="s">
        <v>698</v>
      </c>
      <c r="C1675" s="20" t="s">
        <v>53</v>
      </c>
      <c r="D1675" s="51" t="n">
        <f aca="false">J1621</f>
        <v>6.4</v>
      </c>
      <c r="E1675" s="23"/>
      <c r="F1675" s="23"/>
      <c r="G1675" s="23"/>
      <c r="H1675" s="23"/>
      <c r="I1675" s="23"/>
      <c r="J1675" s="23"/>
      <c r="K1675" s="23"/>
      <c r="L1675" s="49"/>
    </row>
    <row r="1676" customFormat="false" ht="15" hidden="true" customHeight="false" outlineLevel="1" collapsed="false">
      <c r="A1676" s="20" t="n">
        <v>120</v>
      </c>
      <c r="B1676" s="6" t="s">
        <v>699</v>
      </c>
      <c r="C1676" s="20" t="s">
        <v>71</v>
      </c>
      <c r="D1676" s="51" t="n">
        <f aca="false">MIN(0,MIN(F1661:J1661))</f>
        <v>-18.4703377380857</v>
      </c>
      <c r="E1676" s="23"/>
      <c r="F1676" s="23"/>
      <c r="G1676" s="23"/>
      <c r="H1676" s="23"/>
      <c r="I1676" s="23"/>
      <c r="J1676" s="23"/>
      <c r="K1676" s="23"/>
      <c r="L1676" s="49"/>
    </row>
    <row r="1677" customFormat="false" ht="15" hidden="true" customHeight="false" outlineLevel="1" collapsed="false">
      <c r="A1677" s="20" t="n">
        <v>121</v>
      </c>
      <c r="B1677" s="6" t="s">
        <v>700</v>
      </c>
      <c r="C1677" s="20" t="s">
        <v>71</v>
      </c>
      <c r="D1677" s="51" t="n">
        <f aca="false">-$D$1676*(1+$D$1582)</f>
        <v>22.1644052857028</v>
      </c>
      <c r="E1677" s="23"/>
      <c r="F1677" s="23"/>
      <c r="G1677" s="23"/>
      <c r="H1677" s="23"/>
      <c r="I1677" s="23"/>
      <c r="J1677" s="23"/>
      <c r="K1677" s="23"/>
      <c r="L1677" s="49"/>
    </row>
    <row r="1678" customFormat="false" ht="15" hidden="true" customHeight="false" outlineLevel="1" collapsed="false">
      <c r="A1678" s="20" t="n">
        <v>122</v>
      </c>
      <c r="B1678" s="6" t="s">
        <v>701</v>
      </c>
      <c r="C1678" s="20" t="s">
        <v>71</v>
      </c>
      <c r="D1678" s="51" t="n">
        <f aca="false">J1661</f>
        <v>13.6180608186702</v>
      </c>
      <c r="E1678" s="23"/>
      <c r="F1678" s="23"/>
      <c r="G1678" s="23"/>
      <c r="H1678" s="23"/>
      <c r="I1678" s="23"/>
      <c r="J1678" s="23"/>
      <c r="K1678" s="23"/>
      <c r="L1678" s="49"/>
    </row>
    <row r="1679" customFormat="false" ht="15" hidden="true" customHeight="false" outlineLevel="1" collapsed="false">
      <c r="A1679" s="20" t="n">
        <v>123</v>
      </c>
      <c r="B1679" s="6" t="s">
        <v>702</v>
      </c>
      <c r="C1679" s="20" t="s">
        <v>71</v>
      </c>
      <c r="D1679" s="51" t="n">
        <f aca="false">SUM(F1663:J1663)</f>
        <v>-3.38534789508213</v>
      </c>
      <c r="E1679" s="23"/>
      <c r="F1679" s="23"/>
      <c r="G1679" s="23"/>
      <c r="H1679" s="23"/>
      <c r="I1679" s="23"/>
      <c r="J1679" s="23"/>
      <c r="K1679" s="23"/>
      <c r="L1679" s="49"/>
    </row>
    <row r="1680" customFormat="false" ht="15" hidden="true" customHeight="false" outlineLevel="1" collapsed="false">
      <c r="A1680" s="20" t="n">
        <v>124</v>
      </c>
      <c r="B1680" s="6" t="s">
        <v>82</v>
      </c>
      <c r="C1680" s="20" t="s">
        <v>71</v>
      </c>
      <c r="D1680" s="51" t="n">
        <f aca="false">SUM(F1663:J1663)+SUM(F1665:J1665)</f>
        <v>19.2435997108702</v>
      </c>
      <c r="E1680" s="23"/>
      <c r="F1680" s="23"/>
      <c r="G1680" s="23"/>
      <c r="H1680" s="23"/>
      <c r="I1680" s="23"/>
      <c r="J1680" s="23"/>
      <c r="K1680" s="23"/>
      <c r="L1680" s="49"/>
    </row>
    <row r="1681" customFormat="false" ht="15" hidden="true" customHeight="false" outlineLevel="1" collapsed="false">
      <c r="A1681" s="20" t="n">
        <v>125</v>
      </c>
      <c r="B1681" s="6" t="s">
        <v>83</v>
      </c>
      <c r="C1681" s="20" t="s">
        <v>68</v>
      </c>
      <c r="D1681" s="55" t="n">
        <f aca="false">IFERROR(IRR(F1666:J1666),"н/д")</f>
        <v>0.671263414391177</v>
      </c>
      <c r="E1681" s="23"/>
      <c r="F1681" s="23"/>
      <c r="G1681" s="23"/>
      <c r="H1681" s="23"/>
      <c r="I1681" s="23"/>
      <c r="J1681" s="23"/>
      <c r="K1681" s="23"/>
      <c r="L1681" s="49"/>
    </row>
    <row r="1682" customFormat="false" ht="15" hidden="true" customHeight="false" outlineLevel="1" collapsed="false">
      <c r="A1682" s="20" t="n">
        <v>126</v>
      </c>
      <c r="B1682" s="6" t="s">
        <v>13</v>
      </c>
      <c r="C1682" s="20" t="s">
        <v>79</v>
      </c>
      <c r="D1682" s="56" t="n">
        <f aca="false">IF(COUNT(F1667:J1667)=0,"после 2031",MIN(F1667:J1667))</f>
        <v>2029</v>
      </c>
      <c r="E1682" s="23"/>
      <c r="F1682" s="23"/>
      <c r="G1682" s="23"/>
      <c r="H1682" s="23"/>
      <c r="I1682" s="23"/>
      <c r="J1682" s="23"/>
      <c r="K1682" s="23"/>
      <c r="L1682" s="49"/>
    </row>
    <row r="1683" customFormat="false" ht="15" hidden="true" customHeight="false" outlineLevel="1" collapsed="false">
      <c r="A1683" s="20" t="n">
        <v>127</v>
      </c>
      <c r="B1683" s="6" t="s">
        <v>703</v>
      </c>
      <c r="C1683" s="20" t="s">
        <v>79</v>
      </c>
      <c r="D1683" s="56" t="n">
        <f aca="false">IF(COUNT(F1668:J1668)=0,"после 2031",MIN(F1668:J1668))</f>
        <v>2031</v>
      </c>
      <c r="E1683" s="23"/>
      <c r="F1683" s="23"/>
      <c r="G1683" s="23"/>
      <c r="H1683" s="23"/>
      <c r="I1683" s="23"/>
      <c r="J1683" s="23"/>
      <c r="K1683" s="23"/>
      <c r="L1683" s="49"/>
    </row>
    <row r="1686" customFormat="false" ht="15" hidden="true" customHeight="false" outlineLevel="1" collapsed="false">
      <c r="A1686" s="57" t="s">
        <v>735</v>
      </c>
    </row>
    <row r="1687" customFormat="false" ht="30" hidden="true" customHeight="true" outlineLevel="1" collapsed="false">
      <c r="A1687" s="4" t="s">
        <v>49</v>
      </c>
      <c r="B1687" s="4" t="s">
        <v>3</v>
      </c>
      <c r="C1687" s="5" t="s">
        <v>50</v>
      </c>
      <c r="D1687" s="5" t="s">
        <v>551</v>
      </c>
      <c r="E1687" s="5" t="s">
        <v>356</v>
      </c>
      <c r="F1687" s="5" t="s">
        <v>86</v>
      </c>
      <c r="G1687" s="5" t="s">
        <v>87</v>
      </c>
      <c r="H1687" s="5" t="s">
        <v>88</v>
      </c>
      <c r="I1687" s="5" t="s">
        <v>89</v>
      </c>
      <c r="J1687" s="5" t="s">
        <v>90</v>
      </c>
      <c r="K1687" s="5" t="s">
        <v>552</v>
      </c>
      <c r="L1687" s="5" t="s">
        <v>393</v>
      </c>
    </row>
    <row r="1688" customFormat="false" ht="15" hidden="true" customHeight="false" outlineLevel="1" collapsed="false">
      <c r="A1688" s="19" t="s">
        <v>553</v>
      </c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</row>
    <row r="1689" customFormat="false" ht="15" hidden="true" customHeight="false" outlineLevel="1" collapsed="false">
      <c r="A1689" s="20" t="n">
        <v>1</v>
      </c>
      <c r="B1689" s="6" t="s">
        <v>554</v>
      </c>
      <c r="C1689" s="20" t="s">
        <v>79</v>
      </c>
      <c r="D1689" s="10" t="n">
        <f aca="false">Допущения!$E$49</f>
        <v>2027</v>
      </c>
      <c r="E1689" s="23"/>
      <c r="F1689" s="23"/>
      <c r="G1689" s="23"/>
      <c r="H1689" s="23"/>
      <c r="I1689" s="23"/>
      <c r="J1689" s="23"/>
      <c r="K1689" s="23"/>
      <c r="L1689" s="49"/>
    </row>
    <row r="1690" customFormat="false" ht="15" hidden="true" customHeight="false" outlineLevel="1" collapsed="false">
      <c r="A1690" s="20" t="n">
        <v>2</v>
      </c>
      <c r="B1690" s="6" t="s">
        <v>555</v>
      </c>
      <c r="C1690" s="20" t="s">
        <v>105</v>
      </c>
      <c r="D1690" s="45" t="n">
        <f aca="false">Допущения!$E$7</f>
        <v>1.8</v>
      </c>
      <c r="E1690" s="23"/>
      <c r="F1690" s="23"/>
      <c r="G1690" s="23"/>
      <c r="H1690" s="23"/>
      <c r="I1690" s="23"/>
      <c r="J1690" s="23"/>
      <c r="K1690" s="23"/>
      <c r="L1690" s="49"/>
    </row>
    <row r="1691" customFormat="false" ht="15" hidden="true" customHeight="false" outlineLevel="1" collapsed="false">
      <c r="A1691" s="20" t="n">
        <v>3</v>
      </c>
      <c r="B1691" s="6" t="s">
        <v>556</v>
      </c>
      <c r="C1691" s="20" t="s">
        <v>55</v>
      </c>
      <c r="D1691" s="9" t="n">
        <f aca="false">Допущения!$E$42</f>
        <v>6</v>
      </c>
      <c r="E1691" s="23"/>
      <c r="F1691" s="23"/>
      <c r="G1691" s="23"/>
      <c r="H1691" s="23"/>
      <c r="I1691" s="23"/>
      <c r="J1691" s="23"/>
      <c r="K1691" s="23"/>
      <c r="L1691" s="49"/>
    </row>
    <row r="1692" customFormat="false" ht="15" hidden="true" customHeight="false" outlineLevel="1" collapsed="false">
      <c r="A1692" s="20" t="n">
        <v>4</v>
      </c>
      <c r="B1692" s="6" t="s">
        <v>557</v>
      </c>
      <c r="C1692" s="20" t="s">
        <v>244</v>
      </c>
      <c r="D1692" s="9" t="n">
        <f aca="false">Допущения!$E$43</f>
        <v>5</v>
      </c>
      <c r="E1692" s="23"/>
      <c r="F1692" s="23"/>
      <c r="G1692" s="23"/>
      <c r="H1692" s="23"/>
      <c r="I1692" s="23"/>
      <c r="J1692" s="23"/>
      <c r="K1692" s="23"/>
      <c r="L1692" s="49"/>
    </row>
    <row r="1693" customFormat="false" ht="15" hidden="true" customHeight="false" outlineLevel="1" collapsed="false">
      <c r="A1693" s="20" t="n">
        <v>5</v>
      </c>
      <c r="B1693" s="6" t="s">
        <v>558</v>
      </c>
      <c r="C1693" s="20" t="s">
        <v>55</v>
      </c>
      <c r="D1693" s="9" t="n">
        <f aca="false">Допущения!$E$44</f>
        <v>1.5</v>
      </c>
      <c r="E1693" s="23"/>
      <c r="F1693" s="23"/>
      <c r="G1693" s="23"/>
      <c r="H1693" s="23"/>
      <c r="I1693" s="23"/>
      <c r="J1693" s="23"/>
      <c r="K1693" s="23"/>
      <c r="L1693" s="49"/>
    </row>
    <row r="1694" customFormat="false" ht="15" hidden="true" customHeight="false" outlineLevel="1" collapsed="false">
      <c r="A1694" s="20" t="n">
        <v>6</v>
      </c>
      <c r="B1694" s="6" t="s">
        <v>559</v>
      </c>
      <c r="C1694" s="20" t="s">
        <v>71</v>
      </c>
      <c r="D1694" s="9" t="n">
        <f aca="false">Допущения!$E$45</f>
        <v>8</v>
      </c>
      <c r="E1694" s="23"/>
      <c r="F1694" s="23"/>
      <c r="G1694" s="23"/>
      <c r="H1694" s="23"/>
      <c r="I1694" s="23"/>
      <c r="J1694" s="23"/>
      <c r="K1694" s="23"/>
      <c r="L1694" s="49"/>
    </row>
    <row r="1695" customFormat="false" ht="15" hidden="true" customHeight="false" outlineLevel="1" collapsed="false">
      <c r="A1695" s="20" t="n">
        <v>7</v>
      </c>
      <c r="B1695" s="6" t="s">
        <v>560</v>
      </c>
      <c r="C1695" s="20" t="s">
        <v>71</v>
      </c>
      <c r="D1695" s="9" t="n">
        <f aca="false">Допущения!$E$46</f>
        <v>2</v>
      </c>
      <c r="E1695" s="23"/>
      <c r="F1695" s="23"/>
      <c r="G1695" s="23"/>
      <c r="H1695" s="23"/>
      <c r="I1695" s="23"/>
      <c r="J1695" s="23"/>
      <c r="K1695" s="23"/>
      <c r="L1695" s="49"/>
    </row>
    <row r="1696" customFormat="false" ht="15" hidden="true" customHeight="false" outlineLevel="1" collapsed="false">
      <c r="A1696" s="20" t="n">
        <v>8</v>
      </c>
      <c r="B1696" s="6" t="s">
        <v>260</v>
      </c>
      <c r="C1696" s="20" t="s">
        <v>261</v>
      </c>
      <c r="D1696" s="22" t="n">
        <f aca="false">Допущения!$E$47</f>
        <v>0.05</v>
      </c>
      <c r="E1696" s="23"/>
      <c r="F1696" s="23"/>
      <c r="G1696" s="23"/>
      <c r="H1696" s="23"/>
      <c r="I1696" s="23"/>
      <c r="J1696" s="23"/>
      <c r="K1696" s="23"/>
      <c r="L1696" s="49"/>
    </row>
    <row r="1697" customFormat="false" ht="15" hidden="true" customHeight="false" outlineLevel="1" collapsed="false">
      <c r="A1697" s="20" t="n">
        <v>9</v>
      </c>
      <c r="B1697" s="6" t="s">
        <v>561</v>
      </c>
      <c r="C1697" s="20" t="s">
        <v>261</v>
      </c>
      <c r="D1697" s="22" t="n">
        <f aca="false">Допущения!$E$48</f>
        <v>0.15</v>
      </c>
      <c r="E1697" s="23"/>
      <c r="F1697" s="23"/>
      <c r="G1697" s="23"/>
      <c r="H1697" s="23"/>
      <c r="I1697" s="23"/>
      <c r="J1697" s="23"/>
      <c r="K1697" s="23"/>
      <c r="L1697" s="49"/>
    </row>
    <row r="1698" customFormat="false" ht="15" hidden="true" customHeight="false" outlineLevel="1" collapsed="false">
      <c r="A1698" s="20" t="n">
        <v>10</v>
      </c>
      <c r="B1698" s="6" t="s">
        <v>274</v>
      </c>
      <c r="C1698" s="20" t="s">
        <v>261</v>
      </c>
      <c r="D1698" s="22" t="n">
        <f aca="false">Допущения!$E$51</f>
        <v>0.07</v>
      </c>
      <c r="E1698" s="23"/>
      <c r="F1698" s="23"/>
      <c r="G1698" s="23"/>
      <c r="H1698" s="23"/>
      <c r="I1698" s="23"/>
      <c r="J1698" s="23"/>
      <c r="K1698" s="23"/>
      <c r="L1698" s="49"/>
    </row>
    <row r="1699" customFormat="false" ht="15" hidden="true" customHeight="false" outlineLevel="1" collapsed="false">
      <c r="A1699" s="20" t="n">
        <v>11</v>
      </c>
      <c r="B1699" s="6" t="s">
        <v>562</v>
      </c>
      <c r="C1699" s="20" t="s">
        <v>68</v>
      </c>
      <c r="D1699" s="22" t="n">
        <f aca="false">Допущения!$E$52</f>
        <v>0.15</v>
      </c>
      <c r="E1699" s="23"/>
      <c r="F1699" s="23"/>
      <c r="G1699" s="23"/>
      <c r="H1699" s="23"/>
      <c r="I1699" s="23"/>
      <c r="J1699" s="23"/>
      <c r="K1699" s="23"/>
      <c r="L1699" s="49"/>
    </row>
    <row r="1700" customFormat="false" ht="15" hidden="true" customHeight="false" outlineLevel="1" collapsed="false">
      <c r="A1700" s="20" t="n">
        <v>12</v>
      </c>
      <c r="B1700" s="6" t="s">
        <v>563</v>
      </c>
      <c r="C1700" s="20" t="s">
        <v>68</v>
      </c>
      <c r="D1700" s="22" t="n">
        <f aca="false">Допущения!$E$53</f>
        <v>0.076</v>
      </c>
      <c r="E1700" s="23"/>
      <c r="F1700" s="23"/>
      <c r="G1700" s="23"/>
      <c r="H1700" s="23"/>
      <c r="I1700" s="23"/>
      <c r="J1700" s="23"/>
      <c r="K1700" s="23"/>
      <c r="L1700" s="49"/>
    </row>
    <row r="1701" customFormat="false" ht="15" hidden="true" customHeight="false" outlineLevel="1" collapsed="false">
      <c r="A1701" s="20" t="n">
        <v>13</v>
      </c>
      <c r="B1701" s="6" t="s">
        <v>284</v>
      </c>
      <c r="C1701" s="20" t="s">
        <v>68</v>
      </c>
      <c r="D1701" s="22" t="n">
        <f aca="false">Допущения!$E$54</f>
        <v>0.002</v>
      </c>
      <c r="E1701" s="23"/>
      <c r="F1701" s="23"/>
      <c r="G1701" s="23"/>
      <c r="H1701" s="23"/>
      <c r="I1701" s="23"/>
      <c r="J1701" s="23"/>
      <c r="K1701" s="23"/>
      <c r="L1701" s="49"/>
    </row>
    <row r="1702" customFormat="false" ht="15" hidden="true" customHeight="false" outlineLevel="1" collapsed="false">
      <c r="A1702" s="20" t="n">
        <v>14</v>
      </c>
      <c r="B1702" s="6" t="s">
        <v>564</v>
      </c>
      <c r="C1702" s="20" t="s">
        <v>55</v>
      </c>
      <c r="D1702" s="50" t="n">
        <f aca="false">Допущения!$E$55</f>
        <v>2.979</v>
      </c>
      <c r="E1702" s="23"/>
      <c r="F1702" s="23"/>
      <c r="G1702" s="23"/>
      <c r="H1702" s="23"/>
      <c r="I1702" s="23"/>
      <c r="J1702" s="23"/>
      <c r="K1702" s="23"/>
      <c r="L1702" s="49"/>
    </row>
    <row r="1703" customFormat="false" ht="15" hidden="true" customHeight="false" outlineLevel="1" collapsed="false">
      <c r="A1703" s="20" t="n">
        <v>15</v>
      </c>
      <c r="B1703" s="6" t="s">
        <v>565</v>
      </c>
      <c r="C1703" s="20" t="s">
        <v>261</v>
      </c>
      <c r="D1703" s="22" t="n">
        <f aca="false">Допущения!$E$56</f>
        <v>0.08</v>
      </c>
      <c r="E1703" s="23"/>
      <c r="F1703" s="23"/>
      <c r="G1703" s="23"/>
      <c r="H1703" s="23"/>
      <c r="I1703" s="23"/>
      <c r="J1703" s="23"/>
      <c r="K1703" s="23"/>
      <c r="L1703" s="49"/>
    </row>
    <row r="1704" customFormat="false" ht="15" hidden="true" customHeight="false" outlineLevel="1" collapsed="false">
      <c r="A1704" s="20" t="n">
        <v>16</v>
      </c>
      <c r="B1704" s="6" t="s">
        <v>566</v>
      </c>
      <c r="C1704" s="20" t="s">
        <v>71</v>
      </c>
      <c r="D1704" s="9" t="n">
        <f aca="false">Допущения!$E$58</f>
        <v>2.5</v>
      </c>
      <c r="E1704" s="23"/>
      <c r="F1704" s="23"/>
      <c r="G1704" s="23"/>
      <c r="H1704" s="23"/>
      <c r="I1704" s="23"/>
      <c r="J1704" s="23"/>
      <c r="K1704" s="23"/>
      <c r="L1704" s="49"/>
    </row>
    <row r="1705" customFormat="false" ht="15" hidden="true" customHeight="false" outlineLevel="1" collapsed="false">
      <c r="A1705" s="20" t="n">
        <v>17</v>
      </c>
      <c r="B1705" s="6" t="s">
        <v>299</v>
      </c>
      <c r="C1705" s="20" t="s">
        <v>55</v>
      </c>
      <c r="D1705" s="9" t="n">
        <f aca="false">Допущения!$E$59</f>
        <v>1</v>
      </c>
      <c r="E1705" s="23"/>
      <c r="F1705" s="23"/>
      <c r="G1705" s="23"/>
      <c r="H1705" s="23"/>
      <c r="I1705" s="23"/>
      <c r="J1705" s="23"/>
      <c r="K1705" s="23"/>
      <c r="L1705" s="49"/>
    </row>
    <row r="1706" customFormat="false" ht="15" hidden="true" customHeight="false" outlineLevel="1" collapsed="false">
      <c r="A1706" s="20" t="n">
        <v>18</v>
      </c>
      <c r="B1706" s="6" t="s">
        <v>302</v>
      </c>
      <c r="C1706" s="20" t="s">
        <v>55</v>
      </c>
      <c r="D1706" s="9" t="n">
        <f aca="false">Допущения!$E$60</f>
        <v>0.6</v>
      </c>
      <c r="E1706" s="23"/>
      <c r="F1706" s="23"/>
      <c r="G1706" s="23"/>
      <c r="H1706" s="23"/>
      <c r="I1706" s="23"/>
      <c r="J1706" s="23"/>
      <c r="K1706" s="23"/>
      <c r="L1706" s="49"/>
    </row>
    <row r="1707" customFormat="false" ht="15" hidden="true" customHeight="false" outlineLevel="1" collapsed="false">
      <c r="A1707" s="20" t="n">
        <v>19</v>
      </c>
      <c r="B1707" s="6" t="s">
        <v>567</v>
      </c>
      <c r="C1707" s="20" t="s">
        <v>55</v>
      </c>
      <c r="D1707" s="45" t="n">
        <f aca="false">Допущения!$E$61</f>
        <v>0.15</v>
      </c>
      <c r="E1707" s="23"/>
      <c r="F1707" s="23"/>
      <c r="G1707" s="23"/>
      <c r="H1707" s="23"/>
      <c r="I1707" s="23"/>
      <c r="J1707" s="23"/>
      <c r="K1707" s="23"/>
      <c r="L1707" s="49"/>
    </row>
    <row r="1708" customFormat="false" ht="15" hidden="true" customHeight="false" outlineLevel="1" collapsed="false">
      <c r="A1708" s="20" t="n">
        <v>20</v>
      </c>
      <c r="B1708" s="6" t="s">
        <v>568</v>
      </c>
      <c r="C1708" s="20" t="s">
        <v>55</v>
      </c>
      <c r="D1708" s="9" t="n">
        <f aca="false">Допущения!$E$62</f>
        <v>1</v>
      </c>
      <c r="E1708" s="23"/>
      <c r="F1708" s="23"/>
      <c r="G1708" s="23"/>
      <c r="H1708" s="23"/>
      <c r="I1708" s="23"/>
      <c r="J1708" s="23"/>
      <c r="K1708" s="23"/>
      <c r="L1708" s="49"/>
    </row>
    <row r="1709" customFormat="false" ht="15" hidden="true" customHeight="false" outlineLevel="1" collapsed="false">
      <c r="A1709" s="20" t="n">
        <v>21</v>
      </c>
      <c r="B1709" s="6" t="s">
        <v>569</v>
      </c>
      <c r="C1709" s="20" t="s">
        <v>71</v>
      </c>
      <c r="D1709" s="9" t="n">
        <f aca="false">Допущения!$E$63</f>
        <v>0.4</v>
      </c>
      <c r="E1709" s="23"/>
      <c r="F1709" s="23"/>
      <c r="G1709" s="23"/>
      <c r="H1709" s="23"/>
      <c r="I1709" s="23"/>
      <c r="J1709" s="23"/>
      <c r="K1709" s="23"/>
      <c r="L1709" s="49"/>
    </row>
    <row r="1710" customFormat="false" ht="15" hidden="true" customHeight="false" outlineLevel="1" collapsed="false">
      <c r="A1710" s="20" t="n">
        <v>22</v>
      </c>
      <c r="B1710" s="6" t="s">
        <v>314</v>
      </c>
      <c r="C1710" s="20" t="s">
        <v>55</v>
      </c>
      <c r="D1710" s="9" t="n">
        <f aca="false">Допущения!$E$64</f>
        <v>1.2</v>
      </c>
      <c r="E1710" s="23"/>
      <c r="F1710" s="23"/>
      <c r="G1710" s="23"/>
      <c r="H1710" s="23"/>
      <c r="I1710" s="23"/>
      <c r="J1710" s="23"/>
      <c r="K1710" s="23"/>
      <c r="L1710" s="49"/>
    </row>
    <row r="1711" customFormat="false" ht="15" hidden="true" customHeight="false" outlineLevel="1" collapsed="false">
      <c r="A1711" s="20" t="n">
        <v>23</v>
      </c>
      <c r="B1711" s="6" t="s">
        <v>317</v>
      </c>
      <c r="C1711" s="20" t="s">
        <v>55</v>
      </c>
      <c r="D1711" s="45" t="n">
        <f aca="false">Допущения!$E$65</f>
        <v>0.1</v>
      </c>
      <c r="E1711" s="23"/>
      <c r="F1711" s="23"/>
      <c r="G1711" s="23"/>
      <c r="H1711" s="23"/>
      <c r="I1711" s="23"/>
      <c r="J1711" s="23"/>
      <c r="K1711" s="23"/>
      <c r="L1711" s="49"/>
    </row>
    <row r="1712" customFormat="false" ht="15" hidden="true" customHeight="false" outlineLevel="1" collapsed="false">
      <c r="A1712" s="20" t="n">
        <v>24</v>
      </c>
      <c r="B1712" s="6" t="s">
        <v>320</v>
      </c>
      <c r="C1712" s="20" t="s">
        <v>71</v>
      </c>
      <c r="D1712" s="45" t="n">
        <f aca="false">Допущения!$E$66</f>
        <v>0.25</v>
      </c>
      <c r="E1712" s="23"/>
      <c r="F1712" s="23"/>
      <c r="G1712" s="23"/>
      <c r="H1712" s="23"/>
      <c r="I1712" s="23"/>
      <c r="J1712" s="23"/>
      <c r="K1712" s="23"/>
      <c r="L1712" s="49"/>
    </row>
    <row r="1713" customFormat="false" ht="15" hidden="true" customHeight="false" outlineLevel="1" collapsed="false">
      <c r="A1713" s="20" t="n">
        <v>25</v>
      </c>
      <c r="B1713" s="6" t="s">
        <v>570</v>
      </c>
      <c r="C1713" s="20" t="s">
        <v>71</v>
      </c>
      <c r="D1713" s="9" t="n">
        <f aca="false">Допущения!$E$67</f>
        <v>0.3</v>
      </c>
      <c r="E1713" s="23"/>
      <c r="F1713" s="23"/>
      <c r="G1713" s="23"/>
      <c r="H1713" s="23"/>
      <c r="I1713" s="23"/>
      <c r="J1713" s="23"/>
      <c r="K1713" s="23"/>
      <c r="L1713" s="49"/>
    </row>
    <row r="1714" customFormat="false" ht="15" hidden="true" customHeight="false" outlineLevel="1" collapsed="false">
      <c r="A1714" s="20" t="n">
        <v>26</v>
      </c>
      <c r="B1714" s="6" t="s">
        <v>326</v>
      </c>
      <c r="C1714" s="20" t="s">
        <v>261</v>
      </c>
      <c r="D1714" s="22" t="n">
        <f aca="false">Допущения!$E$68</f>
        <v>0.05</v>
      </c>
      <c r="E1714" s="23"/>
      <c r="F1714" s="23"/>
      <c r="G1714" s="23"/>
      <c r="H1714" s="23"/>
      <c r="I1714" s="23"/>
      <c r="J1714" s="23"/>
      <c r="K1714" s="23"/>
      <c r="L1714" s="49"/>
    </row>
    <row r="1715" customFormat="false" ht="15" hidden="true" customHeight="false" outlineLevel="1" collapsed="false">
      <c r="A1715" s="20" t="n">
        <v>27</v>
      </c>
      <c r="B1715" s="6" t="s">
        <v>571</v>
      </c>
      <c r="C1715" s="20" t="s">
        <v>330</v>
      </c>
      <c r="D1715" s="22" t="n">
        <f aca="false">Допущения!$E$69</f>
        <v>0.1</v>
      </c>
      <c r="E1715" s="23"/>
      <c r="F1715" s="23"/>
      <c r="G1715" s="23"/>
      <c r="H1715" s="23"/>
      <c r="I1715" s="23"/>
      <c r="J1715" s="23"/>
      <c r="K1715" s="23"/>
      <c r="L1715" s="49"/>
    </row>
    <row r="1716" customFormat="false" ht="15" hidden="true" customHeight="false" outlineLevel="1" collapsed="false">
      <c r="A1716" s="20" t="n">
        <v>28</v>
      </c>
      <c r="B1716" s="6" t="s">
        <v>572</v>
      </c>
      <c r="C1716" s="20" t="s">
        <v>68</v>
      </c>
      <c r="D1716" s="22" t="n">
        <f aca="false">Допущения!$E$71</f>
        <v>0.05</v>
      </c>
      <c r="E1716" s="23"/>
      <c r="F1716" s="23"/>
      <c r="G1716" s="23"/>
      <c r="H1716" s="23"/>
      <c r="I1716" s="23"/>
      <c r="J1716" s="23"/>
      <c r="K1716" s="23"/>
      <c r="L1716" s="49"/>
    </row>
    <row r="1717" customFormat="false" ht="15" hidden="true" customHeight="false" outlineLevel="1" collapsed="false">
      <c r="A1717" s="20" t="n">
        <v>29</v>
      </c>
      <c r="B1717" s="6" t="s">
        <v>573</v>
      </c>
      <c r="C1717" s="20" t="s">
        <v>68</v>
      </c>
      <c r="D1717" s="22" t="n">
        <f aca="false">Допущения!$E$72</f>
        <v>0.5</v>
      </c>
      <c r="E1717" s="23"/>
      <c r="F1717" s="23"/>
      <c r="G1717" s="23"/>
      <c r="H1717" s="23"/>
      <c r="I1717" s="23"/>
      <c r="J1717" s="23"/>
      <c r="K1717" s="23"/>
      <c r="L1717" s="49"/>
    </row>
    <row r="1718" customFormat="false" ht="15" hidden="true" customHeight="false" outlineLevel="1" collapsed="false">
      <c r="A1718" s="20" t="n">
        <v>30</v>
      </c>
      <c r="B1718" s="6" t="s">
        <v>574</v>
      </c>
      <c r="C1718" s="20" t="s">
        <v>575</v>
      </c>
      <c r="D1718" s="7" t="n">
        <f aca="false">Допущения!$E$73</f>
        <v>90</v>
      </c>
      <c r="E1718" s="23"/>
      <c r="F1718" s="23"/>
      <c r="G1718" s="23"/>
      <c r="H1718" s="23"/>
      <c r="I1718" s="23"/>
      <c r="J1718" s="23"/>
      <c r="K1718" s="23"/>
      <c r="L1718" s="49"/>
    </row>
    <row r="1719" customFormat="false" ht="15" hidden="true" customHeight="false" outlineLevel="1" collapsed="false">
      <c r="A1719" s="20" t="n">
        <v>31</v>
      </c>
      <c r="B1719" s="6" t="s">
        <v>345</v>
      </c>
      <c r="C1719" s="20" t="s">
        <v>68</v>
      </c>
      <c r="D1719" s="22" t="n">
        <f aca="false">Допущения!$E$74</f>
        <v>0.3</v>
      </c>
      <c r="E1719" s="23"/>
      <c r="F1719" s="23"/>
      <c r="G1719" s="23"/>
      <c r="H1719" s="23"/>
      <c r="I1719" s="23"/>
      <c r="J1719" s="23"/>
      <c r="K1719" s="23"/>
      <c r="L1719" s="49"/>
    </row>
    <row r="1720" customFormat="false" ht="15" hidden="true" customHeight="false" outlineLevel="1" collapsed="false">
      <c r="A1720" s="20" t="n">
        <v>32</v>
      </c>
      <c r="B1720" s="6" t="s">
        <v>576</v>
      </c>
      <c r="C1720" s="20" t="s">
        <v>261</v>
      </c>
      <c r="D1720" s="22" t="n">
        <f aca="false">Допущения!$E$75</f>
        <v>0.04</v>
      </c>
      <c r="E1720" s="23"/>
      <c r="F1720" s="23"/>
      <c r="G1720" s="23"/>
      <c r="H1720" s="23"/>
      <c r="I1720" s="23"/>
      <c r="J1720" s="23"/>
      <c r="K1720" s="23"/>
      <c r="L1720" s="49"/>
    </row>
    <row r="1721" customFormat="false" ht="15" hidden="true" customHeight="false" outlineLevel="1" collapsed="false">
      <c r="A1721" s="20" t="n">
        <v>33</v>
      </c>
      <c r="B1721" s="6" t="s">
        <v>577</v>
      </c>
      <c r="C1721" s="20" t="s">
        <v>68</v>
      </c>
      <c r="D1721" s="22" t="n">
        <f aca="false">Допущения!$E$76</f>
        <v>0.2</v>
      </c>
      <c r="E1721" s="23"/>
      <c r="F1721" s="23"/>
      <c r="G1721" s="23"/>
      <c r="H1721" s="23"/>
      <c r="I1721" s="23"/>
      <c r="J1721" s="23"/>
      <c r="K1721" s="23"/>
      <c r="L1721" s="49"/>
    </row>
    <row r="1722" customFormat="false" ht="15" hidden="true" customHeight="false" outlineLevel="1" collapsed="false">
      <c r="A1722" s="20" t="n">
        <v>34</v>
      </c>
      <c r="B1722" s="6" t="s">
        <v>578</v>
      </c>
      <c r="C1722" s="20" t="s">
        <v>105</v>
      </c>
      <c r="D1722" s="50" t="n">
        <f aca="false">Рынок!$E$30</f>
        <v>0.490909090909091</v>
      </c>
      <c r="E1722" s="23"/>
      <c r="F1722" s="23"/>
      <c r="G1722" s="23"/>
      <c r="H1722" s="23"/>
      <c r="I1722" s="23"/>
      <c r="J1722" s="23"/>
      <c r="K1722" s="23"/>
      <c r="L1722" s="49" t="s">
        <v>579</v>
      </c>
    </row>
    <row r="1723" customFormat="false" ht="15" hidden="true" customHeight="false" outlineLevel="1" collapsed="false">
      <c r="A1723" s="20" t="n">
        <v>35</v>
      </c>
      <c r="B1723" s="6" t="s">
        <v>580</v>
      </c>
      <c r="C1723" s="20" t="s">
        <v>105</v>
      </c>
      <c r="D1723" s="50" t="n">
        <f aca="false">Рынок!$E$31</f>
        <v>0.028125</v>
      </c>
      <c r="E1723" s="23"/>
      <c r="F1723" s="23"/>
      <c r="G1723" s="23"/>
      <c r="H1723" s="23"/>
      <c r="I1723" s="23"/>
      <c r="J1723" s="23"/>
      <c r="K1723" s="23"/>
      <c r="L1723" s="49" t="s">
        <v>579</v>
      </c>
    </row>
    <row r="1724" customFormat="false" ht="15" hidden="true" customHeight="false" outlineLevel="1" collapsed="false">
      <c r="A1724" s="20" t="n">
        <v>36</v>
      </c>
      <c r="B1724" s="6" t="s">
        <v>581</v>
      </c>
      <c r="C1724" s="20" t="s">
        <v>142</v>
      </c>
      <c r="D1724" s="7" t="n">
        <f aca="false">План!$D$18</f>
        <v>200</v>
      </c>
      <c r="E1724" s="23"/>
      <c r="F1724" s="23"/>
      <c r="G1724" s="23"/>
      <c r="H1724" s="23"/>
      <c r="I1724" s="23"/>
      <c r="J1724" s="23"/>
      <c r="K1724" s="23"/>
      <c r="L1724" s="49" t="s">
        <v>582</v>
      </c>
    </row>
    <row r="1725" customFormat="false" ht="15" hidden="true" customHeight="false" outlineLevel="1" collapsed="false">
      <c r="A1725" s="20" t="n">
        <v>37</v>
      </c>
      <c r="B1725" s="6" t="s">
        <v>583</v>
      </c>
      <c r="C1725" s="20" t="s">
        <v>142</v>
      </c>
      <c r="D1725" s="7" t="n">
        <f aca="false">План!$D$19</f>
        <v>280</v>
      </c>
      <c r="E1725" s="23"/>
      <c r="F1725" s="23"/>
      <c r="G1725" s="23"/>
      <c r="H1725" s="23"/>
      <c r="I1725" s="23"/>
      <c r="J1725" s="23"/>
      <c r="K1725" s="23"/>
      <c r="L1725" s="49" t="s">
        <v>582</v>
      </c>
    </row>
    <row r="1726" customFormat="false" ht="15" hidden="true" customHeight="false" outlineLevel="1" collapsed="false">
      <c r="A1726" s="20" t="n">
        <v>38</v>
      </c>
      <c r="B1726" s="6" t="s">
        <v>584</v>
      </c>
      <c r="C1726" s="20" t="s">
        <v>142</v>
      </c>
      <c r="D1726" s="7" t="n">
        <f aca="false">План!$D$20</f>
        <v>230</v>
      </c>
      <c r="E1726" s="23"/>
      <c r="F1726" s="23"/>
      <c r="G1726" s="23"/>
      <c r="H1726" s="23"/>
      <c r="I1726" s="23"/>
      <c r="J1726" s="23"/>
      <c r="K1726" s="23"/>
      <c r="L1726" s="49" t="s">
        <v>582</v>
      </c>
    </row>
    <row r="1727" customFormat="false" ht="15" hidden="true" customHeight="false" outlineLevel="1" collapsed="false">
      <c r="A1727" s="20" t="n">
        <v>39</v>
      </c>
      <c r="B1727" s="6" t="s">
        <v>585</v>
      </c>
      <c r="C1727" s="20" t="s">
        <v>142</v>
      </c>
      <c r="D1727" s="7" t="n">
        <f aca="false">План!$D$21</f>
        <v>220</v>
      </c>
      <c r="E1727" s="23"/>
      <c r="F1727" s="23"/>
      <c r="G1727" s="23"/>
      <c r="H1727" s="23"/>
      <c r="I1727" s="23"/>
      <c r="J1727" s="23"/>
      <c r="K1727" s="23"/>
      <c r="L1727" s="49" t="s">
        <v>582</v>
      </c>
    </row>
    <row r="1728" customFormat="false" ht="15" hidden="true" customHeight="false" outlineLevel="1" collapsed="false">
      <c r="A1728" s="20" t="n">
        <v>40</v>
      </c>
      <c r="B1728" s="6" t="s">
        <v>586</v>
      </c>
      <c r="C1728" s="20" t="s">
        <v>142</v>
      </c>
      <c r="D1728" s="7" t="n">
        <f aca="false">План!$D$22</f>
        <v>250</v>
      </c>
      <c r="E1728" s="23"/>
      <c r="F1728" s="23"/>
      <c r="G1728" s="23"/>
      <c r="H1728" s="23"/>
      <c r="I1728" s="23"/>
      <c r="J1728" s="23"/>
      <c r="K1728" s="23"/>
      <c r="L1728" s="49" t="s">
        <v>582</v>
      </c>
    </row>
    <row r="1729" customFormat="false" ht="15" hidden="true" customHeight="false" outlineLevel="1" collapsed="false">
      <c r="A1729" s="20" t="n">
        <v>41</v>
      </c>
      <c r="B1729" s="6" t="s">
        <v>587</v>
      </c>
      <c r="C1729" s="20" t="s">
        <v>142</v>
      </c>
      <c r="D1729" s="7" t="n">
        <f aca="false">План!$D$23</f>
        <v>220</v>
      </c>
      <c r="E1729" s="23"/>
      <c r="F1729" s="23"/>
      <c r="G1729" s="23"/>
      <c r="H1729" s="23"/>
      <c r="I1729" s="23"/>
      <c r="J1729" s="23"/>
      <c r="K1729" s="23"/>
      <c r="L1729" s="49" t="s">
        <v>582</v>
      </c>
    </row>
    <row r="1730" customFormat="false" ht="15" hidden="true" customHeight="false" outlineLevel="1" collapsed="false">
      <c r="A1730" s="20" t="n">
        <v>42</v>
      </c>
      <c r="B1730" s="6" t="s">
        <v>359</v>
      </c>
      <c r="C1730" s="20" t="s">
        <v>76</v>
      </c>
      <c r="D1730" s="23"/>
      <c r="E1730" s="9" t="n">
        <f aca="false">План!E16</f>
        <v>0</v>
      </c>
      <c r="F1730" s="9" t="n">
        <f aca="false">План!F16</f>
        <v>0</v>
      </c>
      <c r="G1730" s="9" t="n">
        <f aca="false">План!G16</f>
        <v>0</v>
      </c>
      <c r="H1730" s="9" t="n">
        <f aca="false">План!H16</f>
        <v>1</v>
      </c>
      <c r="I1730" s="9" t="n">
        <f aca="false">План!I16</f>
        <v>0</v>
      </c>
      <c r="J1730" s="9" t="n">
        <f aca="false">План!J16</f>
        <v>1</v>
      </c>
      <c r="K1730" s="51" t="n">
        <f aca="false">SUM(F1730:J1730)</f>
        <v>2</v>
      </c>
      <c r="L1730" s="49" t="s">
        <v>582</v>
      </c>
    </row>
    <row r="1731" customFormat="false" ht="15" hidden="true" customHeight="false" outlineLevel="1" collapsed="false">
      <c r="A1731" s="20" t="n">
        <v>43</v>
      </c>
      <c r="B1731" s="6" t="s">
        <v>361</v>
      </c>
      <c r="C1731" s="20" t="s">
        <v>76</v>
      </c>
      <c r="D1731" s="23"/>
      <c r="E1731" s="9" t="n">
        <f aca="false">План!E17</f>
        <v>0</v>
      </c>
      <c r="F1731" s="9" t="n">
        <f aca="false">План!F17</f>
        <v>0</v>
      </c>
      <c r="G1731" s="9" t="n">
        <f aca="false">План!G17</f>
        <v>1</v>
      </c>
      <c r="H1731" s="9" t="n">
        <f aca="false">План!H17</f>
        <v>2</v>
      </c>
      <c r="I1731" s="9" t="n">
        <f aca="false">План!I17</f>
        <v>2</v>
      </c>
      <c r="J1731" s="9" t="n">
        <f aca="false">План!J17</f>
        <v>3</v>
      </c>
      <c r="K1731" s="51" t="n">
        <f aca="false">SUM(F1731:J1731)</f>
        <v>8</v>
      </c>
      <c r="L1731" s="49" t="s">
        <v>582</v>
      </c>
    </row>
    <row r="1732" customFormat="false" ht="15" hidden="true" customHeight="false" outlineLevel="1" collapsed="false">
      <c r="A1732" s="20" t="n">
        <v>44</v>
      </c>
      <c r="B1732" s="6" t="s">
        <v>588</v>
      </c>
      <c r="C1732" s="20" t="s">
        <v>53</v>
      </c>
      <c r="D1732" s="23"/>
      <c r="E1732" s="9" t="n">
        <f aca="false">План!E18*1.2</f>
        <v>2.4</v>
      </c>
      <c r="F1732" s="9" t="n">
        <f aca="false">План!F18*1.2</f>
        <v>2.4</v>
      </c>
      <c r="G1732" s="9" t="n">
        <f aca="false">План!G18*1.2</f>
        <v>2.4</v>
      </c>
      <c r="H1732" s="9" t="n">
        <f aca="false">План!H18*1.2</f>
        <v>2.4</v>
      </c>
      <c r="I1732" s="9" t="n">
        <f aca="false">План!I18*1.2</f>
        <v>2.4</v>
      </c>
      <c r="J1732" s="9" t="n">
        <f aca="false">План!J18*1.2</f>
        <v>2.4</v>
      </c>
      <c r="K1732" s="23"/>
      <c r="L1732" s="49" t="s">
        <v>582</v>
      </c>
    </row>
    <row r="1733" customFormat="false" ht="15" hidden="true" customHeight="false" outlineLevel="1" collapsed="false">
      <c r="A1733" s="20" t="n">
        <v>45</v>
      </c>
      <c r="B1733" s="6" t="s">
        <v>589</v>
      </c>
      <c r="C1733" s="20" t="s">
        <v>53</v>
      </c>
      <c r="D1733" s="23"/>
      <c r="E1733" s="9" t="n">
        <f aca="false">План!E19*1.2</f>
        <v>0</v>
      </c>
      <c r="F1733" s="9" t="n">
        <f aca="false">План!F19*1.2</f>
        <v>1.2</v>
      </c>
      <c r="G1733" s="9" t="n">
        <f aca="false">План!G19*1.2</f>
        <v>1.2</v>
      </c>
      <c r="H1733" s="9" t="n">
        <f aca="false">План!H19*1.2</f>
        <v>1.2</v>
      </c>
      <c r="I1733" s="9" t="n">
        <f aca="false">План!I19*1.2</f>
        <v>2.4</v>
      </c>
      <c r="J1733" s="9" t="n">
        <f aca="false">План!J19*1.2</f>
        <v>2.4</v>
      </c>
      <c r="K1733" s="23"/>
      <c r="L1733" s="49" t="s">
        <v>582</v>
      </c>
    </row>
    <row r="1734" customFormat="false" ht="15" hidden="true" customHeight="false" outlineLevel="1" collapsed="false">
      <c r="A1734" s="20" t="n">
        <v>46</v>
      </c>
      <c r="B1734" s="6" t="s">
        <v>590</v>
      </c>
      <c r="C1734" s="20" t="s">
        <v>53</v>
      </c>
      <c r="D1734" s="23"/>
      <c r="E1734" s="9" t="n">
        <f aca="false">План!E20*1.2</f>
        <v>0</v>
      </c>
      <c r="F1734" s="9" t="n">
        <f aca="false">План!F20*1.2</f>
        <v>1.2</v>
      </c>
      <c r="G1734" s="9" t="n">
        <f aca="false">План!G20*1.2</f>
        <v>1.2</v>
      </c>
      <c r="H1734" s="9" t="n">
        <f aca="false">План!H20*1.2</f>
        <v>1.2</v>
      </c>
      <c r="I1734" s="9" t="n">
        <f aca="false">План!I20*1.2</f>
        <v>1.2</v>
      </c>
      <c r="J1734" s="9" t="n">
        <f aca="false">План!J20*1.2</f>
        <v>1.2</v>
      </c>
      <c r="K1734" s="23"/>
      <c r="L1734" s="49" t="s">
        <v>582</v>
      </c>
    </row>
    <row r="1735" customFormat="false" ht="15" hidden="true" customHeight="false" outlineLevel="1" collapsed="false">
      <c r="A1735" s="20" t="n">
        <v>47</v>
      </c>
      <c r="B1735" s="6" t="s">
        <v>591</v>
      </c>
      <c r="C1735" s="20" t="s">
        <v>53</v>
      </c>
      <c r="D1735" s="23"/>
      <c r="E1735" s="9" t="n">
        <f aca="false">План!E21*1.2</f>
        <v>0</v>
      </c>
      <c r="F1735" s="9" t="n">
        <f aca="false">План!F21*1.2</f>
        <v>0</v>
      </c>
      <c r="G1735" s="9" t="n">
        <f aca="false">План!G21*1.2</f>
        <v>1.2</v>
      </c>
      <c r="H1735" s="9" t="n">
        <f aca="false">План!H21*1.2</f>
        <v>1.2</v>
      </c>
      <c r="I1735" s="9" t="n">
        <f aca="false">План!I21*1.2</f>
        <v>1.2</v>
      </c>
      <c r="J1735" s="9" t="n">
        <f aca="false">План!J21*1.2</f>
        <v>1.2</v>
      </c>
      <c r="K1735" s="23"/>
      <c r="L1735" s="49" t="s">
        <v>582</v>
      </c>
    </row>
    <row r="1736" customFormat="false" ht="15" hidden="true" customHeight="false" outlineLevel="1" collapsed="false">
      <c r="A1736" s="20" t="n">
        <v>48</v>
      </c>
      <c r="B1736" s="6" t="s">
        <v>592</v>
      </c>
      <c r="C1736" s="20" t="s">
        <v>53</v>
      </c>
      <c r="D1736" s="23"/>
      <c r="E1736" s="9" t="n">
        <f aca="false">План!E22*1.2</f>
        <v>0</v>
      </c>
      <c r="F1736" s="9" t="n">
        <f aca="false">План!F22*1.2</f>
        <v>0</v>
      </c>
      <c r="G1736" s="9" t="n">
        <f aca="false">План!G22*1.2</f>
        <v>0</v>
      </c>
      <c r="H1736" s="9" t="n">
        <f aca="false">План!H22*1.2</f>
        <v>1.2</v>
      </c>
      <c r="I1736" s="9" t="n">
        <f aca="false">План!I22*1.2</f>
        <v>1.2</v>
      </c>
      <c r="J1736" s="9" t="n">
        <f aca="false">План!J22*1.2</f>
        <v>1.2</v>
      </c>
      <c r="K1736" s="23"/>
      <c r="L1736" s="49" t="s">
        <v>582</v>
      </c>
    </row>
    <row r="1737" customFormat="false" ht="15" hidden="true" customHeight="false" outlineLevel="1" collapsed="false">
      <c r="A1737" s="20" t="n">
        <v>49</v>
      </c>
      <c r="B1737" s="6" t="s">
        <v>593</v>
      </c>
      <c r="C1737" s="20" t="s">
        <v>53</v>
      </c>
      <c r="D1737" s="23"/>
      <c r="E1737" s="9" t="n">
        <f aca="false">План!E23*1.2</f>
        <v>0</v>
      </c>
      <c r="F1737" s="9" t="n">
        <f aca="false">План!F23*1.2</f>
        <v>0</v>
      </c>
      <c r="G1737" s="9" t="n">
        <f aca="false">План!G23*1.2</f>
        <v>0</v>
      </c>
      <c r="H1737" s="9" t="n">
        <f aca="false">План!H23*1.2</f>
        <v>0</v>
      </c>
      <c r="I1737" s="9" t="n">
        <f aca="false">План!I23*1.2</f>
        <v>0</v>
      </c>
      <c r="J1737" s="9" t="n">
        <f aca="false">План!J23*1.2</f>
        <v>1.2</v>
      </c>
      <c r="K1737" s="23"/>
      <c r="L1737" s="49" t="s">
        <v>582</v>
      </c>
    </row>
    <row r="1738" customFormat="false" ht="15" hidden="true" customHeight="false" outlineLevel="1" collapsed="false">
      <c r="A1738" s="19" t="s">
        <v>594</v>
      </c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</row>
    <row r="1739" customFormat="false" ht="15" hidden="true" customHeight="false" outlineLevel="1" collapsed="false">
      <c r="A1739" s="20" t="n">
        <v>50</v>
      </c>
      <c r="B1739" s="6" t="s">
        <v>595</v>
      </c>
      <c r="C1739" s="20"/>
      <c r="D1739" s="23"/>
      <c r="E1739" s="10" t="n">
        <f aca="false">Допущения!$D$3</f>
        <v>2026</v>
      </c>
      <c r="F1739" s="52" t="n">
        <f aca="false">E1739+1</f>
        <v>2027</v>
      </c>
      <c r="G1739" s="52" t="n">
        <f aca="false">F1739+1</f>
        <v>2028</v>
      </c>
      <c r="H1739" s="52" t="n">
        <f aca="false">G1739+1</f>
        <v>2029</v>
      </c>
      <c r="I1739" s="52" t="n">
        <f aca="false">H1739+1</f>
        <v>2030</v>
      </c>
      <c r="J1739" s="52" t="n">
        <f aca="false">I1739+1</f>
        <v>2031</v>
      </c>
      <c r="K1739" s="23"/>
      <c r="L1739" s="49" t="s">
        <v>596</v>
      </c>
    </row>
    <row r="1740" customFormat="false" ht="15" hidden="true" customHeight="false" outlineLevel="1" collapsed="false">
      <c r="A1740" s="20" t="n">
        <v>51</v>
      </c>
      <c r="B1740" s="6" t="s">
        <v>597</v>
      </c>
      <c r="C1740" s="20" t="s">
        <v>62</v>
      </c>
      <c r="D1740" s="23"/>
      <c r="E1740" s="23"/>
      <c r="F1740" s="53" t="n">
        <f aca="false">(1+$D$1696)^(F$1739-$E$1739-1)</f>
        <v>1</v>
      </c>
      <c r="G1740" s="53" t="n">
        <f aca="false">(1+$D$1696)^(G$1739-$E$1739-1)</f>
        <v>1.05</v>
      </c>
      <c r="H1740" s="53" t="n">
        <f aca="false">(1+$D$1696)^(H$1739-$E$1739-1)</f>
        <v>1.1025</v>
      </c>
      <c r="I1740" s="53" t="n">
        <f aca="false">(1+$D$1696)^(I$1739-$E$1739-1)</f>
        <v>1.157625</v>
      </c>
      <c r="J1740" s="53" t="n">
        <f aca="false">(1+$D$1696)^(J$1739-$E$1739-1)</f>
        <v>1.21550625</v>
      </c>
      <c r="K1740" s="23"/>
      <c r="L1740" s="49" t="s">
        <v>598</v>
      </c>
    </row>
    <row r="1741" customFormat="false" ht="15" hidden="true" customHeight="false" outlineLevel="1" collapsed="false">
      <c r="A1741" s="20" t="n">
        <v>52</v>
      </c>
      <c r="B1741" s="6" t="s">
        <v>599</v>
      </c>
      <c r="C1741" s="20" t="s">
        <v>62</v>
      </c>
      <c r="D1741" s="23"/>
      <c r="E1741" s="23"/>
      <c r="F1741" s="53" t="n">
        <f aca="false">(1+$D$1714)^(F$1739-$E$1739-1)</f>
        <v>1</v>
      </c>
      <c r="G1741" s="53" t="n">
        <f aca="false">(1+$D$1714)^(G$1739-$E$1739-1)</f>
        <v>1.05</v>
      </c>
      <c r="H1741" s="53" t="n">
        <f aca="false">(1+$D$1714)^(H$1739-$E$1739-1)</f>
        <v>1.1025</v>
      </c>
      <c r="I1741" s="53" t="n">
        <f aca="false">(1+$D$1714)^(I$1739-$E$1739-1)</f>
        <v>1.157625</v>
      </c>
      <c r="J1741" s="53" t="n">
        <f aca="false">(1+$D$1714)^(J$1739-$E$1739-1)</f>
        <v>1.21550625</v>
      </c>
      <c r="K1741" s="23"/>
      <c r="L1741" s="49" t="s">
        <v>600</v>
      </c>
    </row>
    <row r="1742" customFormat="false" ht="15" hidden="true" customHeight="false" outlineLevel="1" collapsed="false">
      <c r="A1742" s="20" t="n">
        <v>53</v>
      </c>
      <c r="B1742" s="6" t="s">
        <v>601</v>
      </c>
      <c r="C1742" s="20" t="s">
        <v>62</v>
      </c>
      <c r="D1742" s="23"/>
      <c r="E1742" s="23"/>
      <c r="F1742" s="53" t="n">
        <f aca="false">(1+$D$1698)^(F$1739-$E$1739-1)</f>
        <v>1</v>
      </c>
      <c r="G1742" s="53" t="n">
        <f aca="false">(1+$D$1698)^(G$1739-$E$1739-1)</f>
        <v>1.07</v>
      </c>
      <c r="H1742" s="53" t="n">
        <f aca="false">(1+$D$1698)^(H$1739-$E$1739-1)</f>
        <v>1.1449</v>
      </c>
      <c r="I1742" s="53" t="n">
        <f aca="false">(1+$D$1698)^(I$1739-$E$1739-1)</f>
        <v>1.225043</v>
      </c>
      <c r="J1742" s="53" t="n">
        <f aca="false">(1+$D$1698)^(J$1739-$E$1739-1)</f>
        <v>1.31079601</v>
      </c>
      <c r="K1742" s="23"/>
      <c r="L1742" s="49" t="s">
        <v>602</v>
      </c>
    </row>
    <row r="1743" customFormat="false" ht="15" hidden="true" customHeight="false" outlineLevel="1" collapsed="false">
      <c r="A1743" s="20" t="n">
        <v>54</v>
      </c>
      <c r="B1743" s="6" t="s">
        <v>603</v>
      </c>
      <c r="C1743" s="20" t="s">
        <v>55</v>
      </c>
      <c r="D1743" s="23"/>
      <c r="E1743" s="23"/>
      <c r="F1743" s="46" t="n">
        <f aca="false">$D$1702*(1+$D$1703)^(F$1739-$E$1739)</f>
        <v>3.21732</v>
      </c>
      <c r="G1743" s="46" t="n">
        <f aca="false">$D$1702*(1+$D$1703)^(G$1739-$E$1739)</f>
        <v>3.4747056</v>
      </c>
      <c r="H1743" s="46" t="n">
        <f aca="false">$D$1702*(1+$D$1703)^(H$1739-$E$1739)</f>
        <v>3.752682048</v>
      </c>
      <c r="I1743" s="46" t="n">
        <f aca="false">$D$1702*(1+$D$1703)^(I$1739-$E$1739)</f>
        <v>4.05289661184</v>
      </c>
      <c r="J1743" s="46" t="n">
        <f aca="false">$D$1702*(1+$D$1703)^(J$1739-$E$1739)</f>
        <v>4.3771283407872</v>
      </c>
      <c r="K1743" s="23"/>
      <c r="L1743" s="49" t="s">
        <v>604</v>
      </c>
    </row>
    <row r="1744" customFormat="false" ht="15" hidden="true" customHeight="false" outlineLevel="1" collapsed="false">
      <c r="A1744" s="19" t="s">
        <v>605</v>
      </c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</row>
    <row r="1745" customFormat="false" ht="15" hidden="true" customHeight="false" outlineLevel="1" collapsed="false">
      <c r="A1745" s="20" t="n">
        <v>55</v>
      </c>
      <c r="B1745" s="6" t="s">
        <v>606</v>
      </c>
      <c r="C1745" s="20" t="s">
        <v>76</v>
      </c>
      <c r="D1745" s="23"/>
      <c r="E1745" s="23"/>
      <c r="F1745" s="38" t="n">
        <f aca="false">IF(F$1739=$D$1689,1,0)</f>
        <v>1</v>
      </c>
      <c r="G1745" s="38" t="n">
        <f aca="false">IF(G$1739=$D$1689,1,0)</f>
        <v>0</v>
      </c>
      <c r="H1745" s="38" t="n">
        <f aca="false">IF(H$1739=$D$1689,1,0)</f>
        <v>0</v>
      </c>
      <c r="I1745" s="38" t="n">
        <f aca="false">IF(I$1739=$D$1689,1,0)</f>
        <v>0</v>
      </c>
      <c r="J1745" s="38" t="n">
        <f aca="false">IF(J$1739=$D$1689,1,0)</f>
        <v>0</v>
      </c>
      <c r="K1745" s="23"/>
      <c r="L1745" s="49" t="s">
        <v>607</v>
      </c>
    </row>
    <row r="1746" customFormat="false" ht="15" hidden="true" customHeight="false" outlineLevel="1" collapsed="false">
      <c r="A1746" s="20" t="n">
        <v>56</v>
      </c>
      <c r="B1746" s="6" t="s">
        <v>608</v>
      </c>
      <c r="C1746" s="20" t="s">
        <v>76</v>
      </c>
      <c r="D1746" s="23"/>
      <c r="E1746" s="38" t="n">
        <f aca="false">0</f>
        <v>0</v>
      </c>
      <c r="F1746" s="38" t="n">
        <f aca="false">F1745+F1730</f>
        <v>1</v>
      </c>
      <c r="G1746" s="38" t="n">
        <f aca="false">G1745+G1730</f>
        <v>0</v>
      </c>
      <c r="H1746" s="38" t="n">
        <f aca="false">H1745+H1730</f>
        <v>1</v>
      </c>
      <c r="I1746" s="38" t="n">
        <f aca="false">I1745+I1730</f>
        <v>0</v>
      </c>
      <c r="J1746" s="38" t="n">
        <f aca="false">J1745+J1730</f>
        <v>1</v>
      </c>
      <c r="K1746" s="54" t="n">
        <f aca="false">SUM(F1746:J1746)</f>
        <v>3</v>
      </c>
      <c r="L1746" s="49" t="s">
        <v>609</v>
      </c>
    </row>
    <row r="1747" customFormat="false" ht="15" hidden="true" customHeight="false" outlineLevel="1" collapsed="false">
      <c r="A1747" s="20" t="n">
        <v>57</v>
      </c>
      <c r="B1747" s="6" t="s">
        <v>610</v>
      </c>
      <c r="C1747" s="20" t="s">
        <v>76</v>
      </c>
      <c r="D1747" s="23"/>
      <c r="E1747" s="38" t="n">
        <f aca="false">0</f>
        <v>0</v>
      </c>
      <c r="F1747" s="38" t="n">
        <f aca="false">E1747+F1746</f>
        <v>1</v>
      </c>
      <c r="G1747" s="38" t="n">
        <f aca="false">F1747+G1746</f>
        <v>1</v>
      </c>
      <c r="H1747" s="38" t="n">
        <f aca="false">G1747+H1746</f>
        <v>2</v>
      </c>
      <c r="I1747" s="38" t="n">
        <f aca="false">H1747+I1746</f>
        <v>2</v>
      </c>
      <c r="J1747" s="38" t="n">
        <f aca="false">I1747+J1746</f>
        <v>3</v>
      </c>
      <c r="K1747" s="23"/>
      <c r="L1747" s="49" t="s">
        <v>611</v>
      </c>
    </row>
    <row r="1748" customFormat="false" ht="15" hidden="true" customHeight="false" outlineLevel="1" collapsed="false">
      <c r="A1748" s="20" t="n">
        <v>58</v>
      </c>
      <c r="B1748" s="6" t="s">
        <v>612</v>
      </c>
      <c r="C1748" s="20" t="s">
        <v>76</v>
      </c>
      <c r="D1748" s="23"/>
      <c r="E1748" s="38" t="n">
        <f aca="false">0</f>
        <v>0</v>
      </c>
      <c r="F1748" s="38" t="n">
        <f aca="false">E1748+F1731</f>
        <v>0</v>
      </c>
      <c r="G1748" s="38" t="n">
        <f aca="false">F1748+G1731</f>
        <v>1</v>
      </c>
      <c r="H1748" s="38" t="n">
        <f aca="false">G1748+H1731</f>
        <v>3</v>
      </c>
      <c r="I1748" s="38" t="n">
        <f aca="false">H1748+I1731</f>
        <v>5</v>
      </c>
      <c r="J1748" s="38" t="n">
        <f aca="false">I1748+J1731</f>
        <v>8</v>
      </c>
      <c r="K1748" s="23"/>
      <c r="L1748" s="49" t="s">
        <v>611</v>
      </c>
    </row>
    <row r="1749" customFormat="false" ht="15" hidden="true" customHeight="false" outlineLevel="1" collapsed="false">
      <c r="A1749" s="20" t="n">
        <v>59</v>
      </c>
      <c r="B1749" s="6" t="s">
        <v>613</v>
      </c>
      <c r="C1749" s="20" t="s">
        <v>76</v>
      </c>
      <c r="D1749" s="23"/>
      <c r="E1749" s="38" t="n">
        <f aca="false">0</f>
        <v>0</v>
      </c>
      <c r="F1749" s="38" t="n">
        <f aca="false">F1747+F1748</f>
        <v>1</v>
      </c>
      <c r="G1749" s="38" t="n">
        <f aca="false">G1747+G1748</f>
        <v>2</v>
      </c>
      <c r="H1749" s="38" t="n">
        <f aca="false">H1747+H1748</f>
        <v>5</v>
      </c>
      <c r="I1749" s="38" t="n">
        <f aca="false">I1747+I1748</f>
        <v>7</v>
      </c>
      <c r="J1749" s="38" t="n">
        <f aca="false">J1747+J1748</f>
        <v>11</v>
      </c>
      <c r="K1749" s="23"/>
      <c r="L1749" s="49" t="s">
        <v>614</v>
      </c>
    </row>
    <row r="1750" customFormat="false" ht="15" hidden="true" customHeight="false" outlineLevel="1" collapsed="false">
      <c r="A1750" s="20" t="n">
        <v>60</v>
      </c>
      <c r="B1750" s="6" t="s">
        <v>615</v>
      </c>
      <c r="C1750" s="20" t="s">
        <v>76</v>
      </c>
      <c r="D1750" s="23"/>
      <c r="E1750" s="23"/>
      <c r="F1750" s="38" t="n">
        <f aca="false">F1746+F1731</f>
        <v>1</v>
      </c>
      <c r="G1750" s="38" t="n">
        <f aca="false">G1746+G1731</f>
        <v>1</v>
      </c>
      <c r="H1750" s="38" t="n">
        <f aca="false">H1746+H1731</f>
        <v>3</v>
      </c>
      <c r="I1750" s="38" t="n">
        <f aca="false">I1746+I1731</f>
        <v>2</v>
      </c>
      <c r="J1750" s="38" t="n">
        <f aca="false">J1746+J1731</f>
        <v>4</v>
      </c>
      <c r="K1750" s="54" t="n">
        <f aca="false">SUM(F1750:J1750)</f>
        <v>11</v>
      </c>
      <c r="L1750" s="49"/>
    </row>
    <row r="1751" customFormat="false" ht="15" hidden="true" customHeight="false" outlineLevel="1" collapsed="false">
      <c r="A1751" s="19" t="s">
        <v>616</v>
      </c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</row>
    <row r="1752" customFormat="false" ht="15" hidden="true" customHeight="false" outlineLevel="1" collapsed="false">
      <c r="A1752" s="20" t="n">
        <v>61</v>
      </c>
      <c r="B1752" s="6" t="s">
        <v>617</v>
      </c>
      <c r="C1752" s="20" t="s">
        <v>71</v>
      </c>
      <c r="D1752" s="23"/>
      <c r="E1752" s="23"/>
      <c r="F1752" s="40" t="n">
        <f aca="false">IF(F$1739&gt;$D$1689,($D$1691+$D$1690*$D$1692)*(1+$D$1697)^(F$1739-$D$1689-1)*F1740,0)</f>
        <v>0</v>
      </c>
      <c r="G1752" s="40" t="n">
        <f aca="false">IF(G$1739&gt;$D$1689,($D$1691+$D$1690*$D$1692)*(1+$D$1697)^(G$1739-$D$1689-1)*G1740,0)</f>
        <v>15.75</v>
      </c>
      <c r="H1752" s="40" t="n">
        <f aca="false">IF(H$1739&gt;$D$1689,($D$1691+$D$1690*$D$1692)*(1+$D$1697)^(H$1739-$D$1689-1)*H1740,0)</f>
        <v>19.018125</v>
      </c>
      <c r="I1752" s="40" t="n">
        <f aca="false">IF(I$1739&gt;$D$1689,($D$1691+$D$1690*$D$1692)*(1+$D$1697)^(I$1739-$D$1689-1)*I1740,0)</f>
        <v>22.9643859375</v>
      </c>
      <c r="J1752" s="40" t="n">
        <f aca="false">IF(J$1739&gt;$D$1689,($D$1691+$D$1690*$D$1692)*(1+$D$1697)^(J$1739-$D$1689-1)*J1740,0)</f>
        <v>27.7294960195313</v>
      </c>
      <c r="K1752" s="51" t="n">
        <f aca="false">SUM(F1752:J1752)</f>
        <v>85.4620069570313</v>
      </c>
      <c r="L1752" s="49" t="s">
        <v>618</v>
      </c>
    </row>
    <row r="1753" customFormat="false" ht="15" hidden="true" customHeight="false" outlineLevel="1" collapsed="false">
      <c r="A1753" s="20" t="n">
        <v>62</v>
      </c>
      <c r="B1753" s="6" t="s">
        <v>619</v>
      </c>
      <c r="C1753" s="20" t="s">
        <v>71</v>
      </c>
      <c r="D1753" s="23"/>
      <c r="E1753" s="23"/>
      <c r="F1753" s="40" t="n">
        <f aca="false">($D$1691+$D$1722*$D$1692)*F1740*SUMPRODUCT($E$1730:E$1730,(1+$D$1697)^(F$1739-$E$1739:E$1739-1))</f>
        <v>0</v>
      </c>
      <c r="G1753" s="40" t="n">
        <f aca="false">($D$1691+$D$1722*$D$1692)*G1740*SUMPRODUCT($E$1730:F$1730,(1+$D$1697)^(G$1739-$E$1739:F$1739-1))</f>
        <v>0</v>
      </c>
      <c r="H1753" s="40" t="n">
        <f aca="false">($D$1691+$D$1722*$D$1692)*H1740*SUMPRODUCT($E$1730:G$1730,(1+$D$1697)^(H$1739-$E$1739:G$1739-1))</f>
        <v>0</v>
      </c>
      <c r="I1753" s="40" t="n">
        <f aca="false">($D$1691+$D$1722*$D$1692)*I1740*SUMPRODUCT($E$1730:H$1730,(1+$D$1697)^(I$1739-$E$1739:H$1739-1))</f>
        <v>9.78719318181818</v>
      </c>
      <c r="J1753" s="40" t="n">
        <f aca="false">($D$1691+$D$1722*$D$1692)*J1740*SUMPRODUCT($E$1730:I$1730,(1+$D$1697)^(J$1739-$E$1739:I$1739-1))</f>
        <v>11.8180357670455</v>
      </c>
      <c r="K1753" s="51" t="n">
        <f aca="false">SUM(F1753:J1753)</f>
        <v>21.6052289488636</v>
      </c>
      <c r="L1753" s="49" t="s">
        <v>620</v>
      </c>
    </row>
    <row r="1754" customFormat="false" ht="15" hidden="true" customHeight="false" outlineLevel="1" collapsed="false">
      <c r="A1754" s="20" t="n">
        <v>63</v>
      </c>
      <c r="B1754" s="6" t="s">
        <v>621</v>
      </c>
      <c r="C1754" s="20" t="s">
        <v>71</v>
      </c>
      <c r="D1754" s="23"/>
      <c r="E1754" s="23"/>
      <c r="F1754" s="40" t="n">
        <f aca="false">($D$1693+$D$1723*$D$1692)*F1740*SUMPRODUCT($E$1731:E$1731,(1+$D$1697)^(F$1739-$E$1739:E$1739-1))</f>
        <v>0</v>
      </c>
      <c r="G1754" s="40" t="n">
        <f aca="false">($D$1693+$D$1723*$D$1692)*G1740*SUMPRODUCT($E$1731:F$1731,(1+$D$1697)^(G$1739-$E$1739:F$1739-1))</f>
        <v>0</v>
      </c>
      <c r="H1754" s="40" t="n">
        <f aca="false">($D$1693+$D$1723*$D$1692)*H1740*SUMPRODUCT($E$1731:G$1731,(1+$D$1697)^(H$1739-$E$1739:G$1739-1))</f>
        <v>1.8087890625</v>
      </c>
      <c r="I1754" s="40" t="n">
        <f aca="false">($D$1693+$D$1723*$D$1692)*I1740*SUMPRODUCT($E$1731:H$1731,(1+$D$1697)^(I$1739-$E$1739:H$1739-1))</f>
        <v>5.98256982421875</v>
      </c>
      <c r="J1754" s="40" t="n">
        <f aca="false">($D$1693+$D$1723*$D$1692)*J1740*SUMPRODUCT($E$1731:I$1731,(1+$D$1697)^(J$1739-$E$1739:I$1739-1))</f>
        <v>11.2123329455566</v>
      </c>
      <c r="K1754" s="51" t="n">
        <f aca="false">SUM(F1754:J1754)</f>
        <v>19.0036918322754</v>
      </c>
      <c r="L1754" s="49" t="s">
        <v>622</v>
      </c>
    </row>
    <row r="1755" customFormat="false" ht="15" hidden="true" customHeight="false" outlineLevel="1" collapsed="false">
      <c r="A1755" s="20" t="n">
        <v>64</v>
      </c>
      <c r="B1755" s="6" t="s">
        <v>623</v>
      </c>
      <c r="C1755" s="20" t="s">
        <v>71</v>
      </c>
      <c r="D1755" s="23"/>
      <c r="E1755" s="23"/>
      <c r="F1755" s="40" t="n">
        <f aca="false">(F1746*$D$1694+F1731*$D$1695)*F1740</f>
        <v>8</v>
      </c>
      <c r="G1755" s="40" t="n">
        <f aca="false">(G1746*$D$1694+G1731*$D$1695)*G1740</f>
        <v>2.1</v>
      </c>
      <c r="H1755" s="40" t="n">
        <f aca="false">(H1746*$D$1694+H1731*$D$1695)*H1740</f>
        <v>13.23</v>
      </c>
      <c r="I1755" s="40" t="n">
        <f aca="false">(I1746*$D$1694+I1731*$D$1695)*I1740</f>
        <v>4.6305</v>
      </c>
      <c r="J1755" s="40" t="n">
        <f aca="false">(J1746*$D$1694+J1731*$D$1695)*J1740</f>
        <v>17.0170875</v>
      </c>
      <c r="K1755" s="51" t="n">
        <f aca="false">SUM(F1755:J1755)</f>
        <v>44.9775875</v>
      </c>
      <c r="L1755" s="49" t="s">
        <v>624</v>
      </c>
    </row>
    <row r="1756" customFormat="false" ht="15" hidden="true" customHeight="false" outlineLevel="1" collapsed="false">
      <c r="A1756" s="20" t="n">
        <v>65</v>
      </c>
      <c r="B1756" s="6" t="s">
        <v>625</v>
      </c>
      <c r="C1756" s="20" t="s">
        <v>71</v>
      </c>
      <c r="D1756" s="23"/>
      <c r="E1756" s="23"/>
      <c r="F1756" s="40" t="n">
        <f aca="false">F1752+F1753+F1754</f>
        <v>0</v>
      </c>
      <c r="G1756" s="40" t="n">
        <f aca="false">G1752+G1753+G1754</f>
        <v>15.75</v>
      </c>
      <c r="H1756" s="40" t="n">
        <f aca="false">H1752+H1753+H1754</f>
        <v>20.8269140625</v>
      </c>
      <c r="I1756" s="40" t="n">
        <f aca="false">I1752+I1753+I1754</f>
        <v>38.7341489435369</v>
      </c>
      <c r="J1756" s="40" t="n">
        <f aca="false">J1752+J1753+J1754</f>
        <v>50.7598647321333</v>
      </c>
      <c r="K1756" s="51" t="n">
        <f aca="false">SUM(F1756:J1756)</f>
        <v>126.07092773817</v>
      </c>
      <c r="L1756" s="49"/>
    </row>
    <row r="1757" customFormat="false" ht="15" hidden="true" customHeight="false" outlineLevel="1" collapsed="false">
      <c r="A1757" s="20" t="n">
        <v>66</v>
      </c>
      <c r="B1757" s="6" t="s">
        <v>91</v>
      </c>
      <c r="C1757" s="20" t="s">
        <v>71</v>
      </c>
      <c r="D1757" s="23"/>
      <c r="E1757" s="23"/>
      <c r="F1757" s="40" t="n">
        <f aca="false">F1756+F1755</f>
        <v>8</v>
      </c>
      <c r="G1757" s="40" t="n">
        <f aca="false">G1756+G1755</f>
        <v>17.85</v>
      </c>
      <c r="H1757" s="40" t="n">
        <f aca="false">H1756+H1755</f>
        <v>34.0569140625</v>
      </c>
      <c r="I1757" s="40" t="n">
        <f aca="false">I1756+I1755</f>
        <v>43.3646489435369</v>
      </c>
      <c r="J1757" s="40" t="n">
        <f aca="false">J1756+J1755</f>
        <v>67.7769522321333</v>
      </c>
      <c r="K1757" s="51" t="n">
        <f aca="false">SUM(F1757:J1757)</f>
        <v>171.04851523817</v>
      </c>
      <c r="L1757" s="49" t="s">
        <v>626</v>
      </c>
    </row>
    <row r="1758" customFormat="false" ht="15" hidden="true" customHeight="false" outlineLevel="1" collapsed="false">
      <c r="A1758" s="20" t="n">
        <v>67</v>
      </c>
      <c r="B1758" s="6" t="s">
        <v>627</v>
      </c>
      <c r="C1758" s="20" t="s">
        <v>55</v>
      </c>
      <c r="D1758" s="23"/>
      <c r="E1758" s="23"/>
      <c r="F1758" s="40" t="n">
        <f aca="false">IF(F$1739&gt;=$D$1689,($D$1691+$D$1690*$D$1692)*(1+$D$1697)^(F$1739-$D$1689)*F1740,0)+($D$1691+$D$1722*$D$1692)*F1740*SUMPRODUCT($E$1730:F$1730,(1+$D$1697)^(F$1739-$E$1739:F$1739))+($D$1693+$D$1723*$D$1692)*F1740*SUMPRODUCT($E$1731:F$1731,(1+$D$1697)^(F$1739-$E$1739:F$1739))</f>
        <v>15</v>
      </c>
      <c r="G1758" s="40" t="n">
        <f aca="false">IF(G$1739&gt;=$D$1689,($D$1691+$D$1690*$D$1692)*(1+$D$1697)^(G$1739-$D$1689)*G1740,0)+($D$1691+$D$1722*$D$1692)*G1740*SUMPRODUCT($E$1730:G$1730,(1+$D$1697)^(G$1739-$E$1739:G$1739))+($D$1693+$D$1723*$D$1692)*G1740*SUMPRODUCT($E$1731:G$1731,(1+$D$1697)^(G$1739-$E$1739:G$1739))</f>
        <v>19.83515625</v>
      </c>
      <c r="H1758" s="40" t="n">
        <f aca="false">IF(H$1739&gt;=$D$1689,($D$1691+$D$1690*$D$1692)*(1+$D$1697)^(H$1739-$D$1689)*H1740,0)+($D$1691+$D$1722*$D$1692)*H1740*SUMPRODUCT($E$1730:H$1730,(1+$D$1697)^(H$1739-$E$1739:H$1739))+($D$1693+$D$1723*$D$1692)*H1740*SUMPRODUCT($E$1731:H$1731,(1+$D$1697)^(H$1739-$E$1739:H$1739))</f>
        <v>36.8896656605114</v>
      </c>
      <c r="I1758" s="40" t="n">
        <f aca="false">IF(I$1739&gt;=$D$1689,($D$1691+$D$1690*$D$1692)*(1+$D$1697)^(I$1739-$D$1689)*I1740,0)+($D$1691+$D$1722*$D$1692)*I1740*SUMPRODUCT($E$1730:I$1730,(1+$D$1697)^(I$1739-$E$1739:I$1739))+($D$1693+$D$1723*$D$1692)*I1740*SUMPRODUCT($E$1731:I$1731,(1+$D$1697)^(I$1739-$E$1739:I$1739))</f>
        <v>48.3427283163175</v>
      </c>
      <c r="J1758" s="40" t="n">
        <f aca="false">IF(J$1739&gt;=$D$1689,($D$1691+$D$1690*$D$1692)*(1+$D$1697)^(J$1739-$D$1689)*J1740,0)+($D$1691+$D$1722*$D$1692)*J1740*SUMPRODUCT($E$1730:J$1730,(1+$D$1697)^(J$1739-$E$1739:J$1739))+($D$1693+$D$1723*$D$1692)*J1740*SUMPRODUCT($E$1731:J$1731,(1+$D$1697)^(J$1739-$E$1739:J$1739))</f>
        <v>74.6329671070812</v>
      </c>
      <c r="K1758" s="23"/>
      <c r="L1758" s="49" t="s">
        <v>628</v>
      </c>
    </row>
    <row r="1759" customFormat="false" ht="15" hidden="true" customHeight="false" outlineLevel="1" collapsed="false">
      <c r="A1759" s="19" t="s">
        <v>629</v>
      </c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</row>
    <row r="1760" customFormat="false" ht="15" hidden="true" customHeight="false" outlineLevel="1" collapsed="false">
      <c r="A1760" s="20" t="n">
        <v>68</v>
      </c>
      <c r="B1760" s="6" t="s">
        <v>630</v>
      </c>
      <c r="C1760" s="20" t="s">
        <v>53</v>
      </c>
      <c r="D1760" s="23"/>
      <c r="E1760" s="40" t="n">
        <f aca="false">E1732+E1733+E1734+E1735+E1736+E1737</f>
        <v>2.4</v>
      </c>
      <c r="F1760" s="40" t="n">
        <f aca="false">F1732+F1733+F1734+F1735+F1736+F1737</f>
        <v>4.8</v>
      </c>
      <c r="G1760" s="40" t="n">
        <f aca="false">G1732+G1733+G1734+G1735+G1736+G1737</f>
        <v>6</v>
      </c>
      <c r="H1760" s="40" t="n">
        <f aca="false">H1732+H1733+H1734+H1735+H1736+H1737</f>
        <v>7.2</v>
      </c>
      <c r="I1760" s="40" t="n">
        <f aca="false">I1732+I1733+I1734+I1735+I1736+I1737</f>
        <v>8.4</v>
      </c>
      <c r="J1760" s="40" t="n">
        <f aca="false">J1732+J1733+J1734+J1735+J1736+J1737</f>
        <v>9.6</v>
      </c>
      <c r="K1760" s="23"/>
      <c r="L1760" s="49" t="s">
        <v>631</v>
      </c>
    </row>
    <row r="1761" customFormat="false" ht="15" hidden="true" customHeight="false" outlineLevel="1" collapsed="false">
      <c r="A1761" s="20" t="n">
        <v>69</v>
      </c>
      <c r="B1761" s="6" t="s">
        <v>632</v>
      </c>
      <c r="C1761" s="20" t="s">
        <v>53</v>
      </c>
      <c r="D1761" s="23"/>
      <c r="E1761" s="23"/>
      <c r="F1761" s="40" t="n">
        <f aca="false">MAX(0,F1760-E1760)</f>
        <v>2.4</v>
      </c>
      <c r="G1761" s="40" t="n">
        <f aca="false">MAX(0,G1760-F1760)</f>
        <v>1.2</v>
      </c>
      <c r="H1761" s="40" t="n">
        <f aca="false">MAX(0,H1760-G1760)</f>
        <v>1.2</v>
      </c>
      <c r="I1761" s="40" t="n">
        <f aca="false">MAX(0,I1760-H1760)</f>
        <v>1.2</v>
      </c>
      <c r="J1761" s="40" t="n">
        <f aca="false">MAX(0,J1760-I1760)</f>
        <v>1.2</v>
      </c>
      <c r="K1761" s="23"/>
      <c r="L1761" s="49" t="s">
        <v>633</v>
      </c>
    </row>
    <row r="1762" customFormat="false" ht="15" hidden="true" customHeight="false" outlineLevel="1" collapsed="false">
      <c r="A1762" s="20" t="n">
        <v>70</v>
      </c>
      <c r="B1762" s="6" t="s">
        <v>634</v>
      </c>
      <c r="C1762" s="20" t="s">
        <v>71</v>
      </c>
      <c r="D1762" s="23"/>
      <c r="E1762" s="23"/>
      <c r="F1762" s="41" t="n">
        <f aca="false">$D$1724*12/1000*F1742</f>
        <v>2.4</v>
      </c>
      <c r="G1762" s="41" t="n">
        <f aca="false">$D$1724*12/1000*G1742</f>
        <v>2.568</v>
      </c>
      <c r="H1762" s="41" t="n">
        <f aca="false">$D$1724*12/1000*H1742</f>
        <v>2.74776</v>
      </c>
      <c r="I1762" s="41" t="n">
        <f aca="false">$D$1724*12/1000*I1742</f>
        <v>2.9401032</v>
      </c>
      <c r="J1762" s="41" t="n">
        <f aca="false">$D$1724*12/1000*J1742</f>
        <v>3.145910424</v>
      </c>
      <c r="K1762" s="23"/>
      <c r="L1762" s="49" t="s">
        <v>635</v>
      </c>
    </row>
    <row r="1763" customFormat="false" ht="15" hidden="true" customHeight="false" outlineLevel="1" collapsed="false">
      <c r="A1763" s="20" t="n">
        <v>71</v>
      </c>
      <c r="B1763" s="6" t="s">
        <v>636</v>
      </c>
      <c r="C1763" s="20" t="s">
        <v>71</v>
      </c>
      <c r="D1763" s="23"/>
      <c r="E1763" s="23"/>
      <c r="F1763" s="41" t="n">
        <f aca="false">$D$1725*12/1000*F1742</f>
        <v>3.36</v>
      </c>
      <c r="G1763" s="41" t="n">
        <f aca="false">$D$1725*12/1000*G1742</f>
        <v>3.5952</v>
      </c>
      <c r="H1763" s="41" t="n">
        <f aca="false">$D$1725*12/1000*H1742</f>
        <v>3.846864</v>
      </c>
      <c r="I1763" s="41" t="n">
        <f aca="false">$D$1725*12/1000*I1742</f>
        <v>4.11614448</v>
      </c>
      <c r="J1763" s="41" t="n">
        <f aca="false">$D$1725*12/1000*J1742</f>
        <v>4.4042745936</v>
      </c>
      <c r="K1763" s="23"/>
      <c r="L1763" s="49" t="s">
        <v>635</v>
      </c>
    </row>
    <row r="1764" customFormat="false" ht="15" hidden="true" customHeight="false" outlineLevel="1" collapsed="false">
      <c r="A1764" s="20" t="n">
        <v>72</v>
      </c>
      <c r="B1764" s="6" t="s">
        <v>637</v>
      </c>
      <c r="C1764" s="20" t="s">
        <v>71</v>
      </c>
      <c r="D1764" s="23"/>
      <c r="E1764" s="23"/>
      <c r="F1764" s="41" t="n">
        <f aca="false">$D$1726*12/1000*F1742</f>
        <v>2.76</v>
      </c>
      <c r="G1764" s="41" t="n">
        <f aca="false">$D$1726*12/1000*G1742</f>
        <v>2.9532</v>
      </c>
      <c r="H1764" s="41" t="n">
        <f aca="false">$D$1726*12/1000*H1742</f>
        <v>3.159924</v>
      </c>
      <c r="I1764" s="41" t="n">
        <f aca="false">$D$1726*12/1000*I1742</f>
        <v>3.38111868</v>
      </c>
      <c r="J1764" s="41" t="n">
        <f aca="false">$D$1726*12/1000*J1742</f>
        <v>3.6177969876</v>
      </c>
      <c r="K1764" s="23"/>
      <c r="L1764" s="49" t="s">
        <v>635</v>
      </c>
    </row>
    <row r="1765" customFormat="false" ht="15" hidden="true" customHeight="false" outlineLevel="1" collapsed="false">
      <c r="A1765" s="20" t="n">
        <v>73</v>
      </c>
      <c r="B1765" s="6" t="s">
        <v>638</v>
      </c>
      <c r="C1765" s="20" t="s">
        <v>71</v>
      </c>
      <c r="D1765" s="23"/>
      <c r="E1765" s="23"/>
      <c r="F1765" s="41" t="n">
        <f aca="false">$D$1727*12/1000*F1742</f>
        <v>2.64</v>
      </c>
      <c r="G1765" s="41" t="n">
        <f aca="false">$D$1727*12/1000*G1742</f>
        <v>2.8248</v>
      </c>
      <c r="H1765" s="41" t="n">
        <f aca="false">$D$1727*12/1000*H1742</f>
        <v>3.022536</v>
      </c>
      <c r="I1765" s="41" t="n">
        <f aca="false">$D$1727*12/1000*I1742</f>
        <v>3.23411352</v>
      </c>
      <c r="J1765" s="41" t="n">
        <f aca="false">$D$1727*12/1000*J1742</f>
        <v>3.4605014664</v>
      </c>
      <c r="K1765" s="23"/>
      <c r="L1765" s="49" t="s">
        <v>635</v>
      </c>
    </row>
    <row r="1766" customFormat="false" ht="15" hidden="true" customHeight="false" outlineLevel="1" collapsed="false">
      <c r="A1766" s="20" t="n">
        <v>74</v>
      </c>
      <c r="B1766" s="6" t="s">
        <v>639</v>
      </c>
      <c r="C1766" s="20" t="s">
        <v>71</v>
      </c>
      <c r="D1766" s="23"/>
      <c r="E1766" s="23"/>
      <c r="F1766" s="41" t="n">
        <f aca="false">$D$1728*12/1000*F1742</f>
        <v>3</v>
      </c>
      <c r="G1766" s="41" t="n">
        <f aca="false">$D$1728*12/1000*G1742</f>
        <v>3.21</v>
      </c>
      <c r="H1766" s="41" t="n">
        <f aca="false">$D$1728*12/1000*H1742</f>
        <v>3.4347</v>
      </c>
      <c r="I1766" s="41" t="n">
        <f aca="false">$D$1728*12/1000*I1742</f>
        <v>3.675129</v>
      </c>
      <c r="J1766" s="41" t="n">
        <f aca="false">$D$1728*12/1000*J1742</f>
        <v>3.93238803</v>
      </c>
      <c r="K1766" s="23"/>
      <c r="L1766" s="49" t="s">
        <v>635</v>
      </c>
    </row>
    <row r="1767" customFormat="false" ht="15" hidden="true" customHeight="false" outlineLevel="1" collapsed="false">
      <c r="A1767" s="20" t="n">
        <v>75</v>
      </c>
      <c r="B1767" s="6" t="s">
        <v>640</v>
      </c>
      <c r="C1767" s="20" t="s">
        <v>71</v>
      </c>
      <c r="D1767" s="23"/>
      <c r="E1767" s="23"/>
      <c r="F1767" s="41" t="n">
        <f aca="false">$D$1729*12/1000*F1742</f>
        <v>2.64</v>
      </c>
      <c r="G1767" s="41" t="n">
        <f aca="false">$D$1729*12/1000*G1742</f>
        <v>2.8248</v>
      </c>
      <c r="H1767" s="41" t="n">
        <f aca="false">$D$1729*12/1000*H1742</f>
        <v>3.022536</v>
      </c>
      <c r="I1767" s="41" t="n">
        <f aca="false">$D$1729*12/1000*I1742</f>
        <v>3.23411352</v>
      </c>
      <c r="J1767" s="41" t="n">
        <f aca="false">$D$1729*12/1000*J1742</f>
        <v>3.4605014664</v>
      </c>
      <c r="K1767" s="23"/>
      <c r="L1767" s="49" t="s">
        <v>635</v>
      </c>
    </row>
    <row r="1768" customFormat="false" ht="15" hidden="true" customHeight="false" outlineLevel="1" collapsed="false">
      <c r="A1768" s="20" t="n">
        <v>76</v>
      </c>
      <c r="B1768" s="6" t="s">
        <v>641</v>
      </c>
      <c r="C1768" s="20" t="s">
        <v>71</v>
      </c>
      <c r="D1768" s="23"/>
      <c r="E1768" s="23"/>
      <c r="F1768" s="40" t="n">
        <f aca="false">F1732*F1762</f>
        <v>5.76</v>
      </c>
      <c r="G1768" s="40" t="n">
        <f aca="false">G1732*G1762</f>
        <v>6.1632</v>
      </c>
      <c r="H1768" s="40" t="n">
        <f aca="false">H1732*H1762</f>
        <v>6.594624</v>
      </c>
      <c r="I1768" s="40" t="n">
        <f aca="false">I1732*I1762</f>
        <v>7.05624768</v>
      </c>
      <c r="J1768" s="40" t="n">
        <f aca="false">J1732*J1762</f>
        <v>7.5501850176</v>
      </c>
      <c r="K1768" s="51" t="n">
        <f aca="false">SUM(F1768:J1768)</f>
        <v>33.1242566976</v>
      </c>
      <c r="L1768" s="49" t="s">
        <v>642</v>
      </c>
    </row>
    <row r="1769" customFormat="false" ht="15" hidden="true" customHeight="false" outlineLevel="1" collapsed="false">
      <c r="A1769" s="20" t="n">
        <v>77</v>
      </c>
      <c r="B1769" s="6" t="s">
        <v>643</v>
      </c>
      <c r="C1769" s="20" t="s">
        <v>71</v>
      </c>
      <c r="D1769" s="23"/>
      <c r="E1769" s="23"/>
      <c r="F1769" s="40" t="n">
        <f aca="false">F1733*F1763</f>
        <v>4.032</v>
      </c>
      <c r="G1769" s="40" t="n">
        <f aca="false">G1733*G1763</f>
        <v>4.31424</v>
      </c>
      <c r="H1769" s="40" t="n">
        <f aca="false">H1733*H1763</f>
        <v>4.6162368</v>
      </c>
      <c r="I1769" s="40" t="n">
        <f aca="false">I1733*I1763</f>
        <v>9.878746752</v>
      </c>
      <c r="J1769" s="40" t="n">
        <f aca="false">J1733*J1763</f>
        <v>10.57025902464</v>
      </c>
      <c r="K1769" s="51" t="n">
        <f aca="false">SUM(F1769:J1769)</f>
        <v>33.41148257664</v>
      </c>
      <c r="L1769" s="49" t="s">
        <v>642</v>
      </c>
    </row>
    <row r="1770" customFormat="false" ht="15" hidden="true" customHeight="false" outlineLevel="1" collapsed="false">
      <c r="A1770" s="20" t="n">
        <v>78</v>
      </c>
      <c r="B1770" s="6" t="s">
        <v>644</v>
      </c>
      <c r="C1770" s="20" t="s">
        <v>71</v>
      </c>
      <c r="D1770" s="23"/>
      <c r="E1770" s="23"/>
      <c r="F1770" s="40" t="n">
        <f aca="false">F1734*F1764</f>
        <v>3.312</v>
      </c>
      <c r="G1770" s="40" t="n">
        <f aca="false">G1734*G1764</f>
        <v>3.54384</v>
      </c>
      <c r="H1770" s="40" t="n">
        <f aca="false">H1734*H1764</f>
        <v>3.7919088</v>
      </c>
      <c r="I1770" s="40" t="n">
        <f aca="false">I1734*I1764</f>
        <v>4.057342416</v>
      </c>
      <c r="J1770" s="40" t="n">
        <f aca="false">J1734*J1764</f>
        <v>4.34135638512</v>
      </c>
      <c r="K1770" s="51" t="n">
        <f aca="false">SUM(F1770:J1770)</f>
        <v>19.04644760112</v>
      </c>
      <c r="L1770" s="49" t="s">
        <v>642</v>
      </c>
    </row>
    <row r="1771" customFormat="false" ht="15" hidden="true" customHeight="false" outlineLevel="1" collapsed="false">
      <c r="A1771" s="20" t="n">
        <v>79</v>
      </c>
      <c r="B1771" s="6" t="s">
        <v>645</v>
      </c>
      <c r="C1771" s="20" t="s">
        <v>71</v>
      </c>
      <c r="D1771" s="23"/>
      <c r="E1771" s="23"/>
      <c r="F1771" s="40" t="n">
        <f aca="false">F1735*F1765</f>
        <v>0</v>
      </c>
      <c r="G1771" s="40" t="n">
        <f aca="false">G1735*G1765</f>
        <v>3.38976</v>
      </c>
      <c r="H1771" s="40" t="n">
        <f aca="false">H1735*H1765</f>
        <v>3.6270432</v>
      </c>
      <c r="I1771" s="40" t="n">
        <f aca="false">I1735*I1765</f>
        <v>3.880936224</v>
      </c>
      <c r="J1771" s="40" t="n">
        <f aca="false">J1735*J1765</f>
        <v>4.15260175968</v>
      </c>
      <c r="K1771" s="51" t="n">
        <f aca="false">SUM(F1771:J1771)</f>
        <v>15.05034118368</v>
      </c>
      <c r="L1771" s="49" t="s">
        <v>642</v>
      </c>
    </row>
    <row r="1772" customFormat="false" ht="15" hidden="true" customHeight="false" outlineLevel="1" collapsed="false">
      <c r="A1772" s="20" t="n">
        <v>80</v>
      </c>
      <c r="B1772" s="6" t="s">
        <v>646</v>
      </c>
      <c r="C1772" s="20" t="s">
        <v>71</v>
      </c>
      <c r="D1772" s="23"/>
      <c r="E1772" s="23"/>
      <c r="F1772" s="40" t="n">
        <f aca="false">F1736*F1766</f>
        <v>0</v>
      </c>
      <c r="G1772" s="40" t="n">
        <f aca="false">G1736*G1766</f>
        <v>0</v>
      </c>
      <c r="H1772" s="40" t="n">
        <f aca="false">H1736*H1766</f>
        <v>4.12164</v>
      </c>
      <c r="I1772" s="40" t="n">
        <f aca="false">I1736*I1766</f>
        <v>4.4101548</v>
      </c>
      <c r="J1772" s="40" t="n">
        <f aca="false">J1736*J1766</f>
        <v>4.718865636</v>
      </c>
      <c r="K1772" s="51" t="n">
        <f aca="false">SUM(F1772:J1772)</f>
        <v>13.250660436</v>
      </c>
      <c r="L1772" s="49" t="s">
        <v>642</v>
      </c>
    </row>
    <row r="1773" customFormat="false" ht="15" hidden="true" customHeight="false" outlineLevel="1" collapsed="false">
      <c r="A1773" s="20" t="n">
        <v>81</v>
      </c>
      <c r="B1773" s="6" t="s">
        <v>647</v>
      </c>
      <c r="C1773" s="20" t="s">
        <v>71</v>
      </c>
      <c r="D1773" s="23"/>
      <c r="E1773" s="23"/>
      <c r="F1773" s="40" t="n">
        <f aca="false">F1737*F1767</f>
        <v>0</v>
      </c>
      <c r="G1773" s="40" t="n">
        <f aca="false">G1737*G1767</f>
        <v>0</v>
      </c>
      <c r="H1773" s="40" t="n">
        <f aca="false">H1737*H1767</f>
        <v>0</v>
      </c>
      <c r="I1773" s="40" t="n">
        <f aca="false">I1737*I1767</f>
        <v>0</v>
      </c>
      <c r="J1773" s="40" t="n">
        <f aca="false">J1737*J1767</f>
        <v>4.15260175968</v>
      </c>
      <c r="K1773" s="51" t="n">
        <f aca="false">SUM(F1773:J1773)</f>
        <v>4.15260175968</v>
      </c>
      <c r="L1773" s="49" t="s">
        <v>642</v>
      </c>
    </row>
    <row r="1774" customFormat="false" ht="15" hidden="true" customHeight="false" outlineLevel="1" collapsed="false">
      <c r="A1774" s="20" t="n">
        <v>82</v>
      </c>
      <c r="B1774" s="6" t="s">
        <v>648</v>
      </c>
      <c r="C1774" s="20" t="s">
        <v>71</v>
      </c>
      <c r="D1774" s="23"/>
      <c r="E1774" s="23"/>
      <c r="F1774" s="40" t="n">
        <f aca="false">F1768+F1769+F1770+F1771+F1772+F1773</f>
        <v>13.104</v>
      </c>
      <c r="G1774" s="40" t="n">
        <f aca="false">G1768+G1769+G1770+G1771+G1772+G1773</f>
        <v>17.41104</v>
      </c>
      <c r="H1774" s="40" t="n">
        <f aca="false">H1768+H1769+H1770+H1771+H1772+H1773</f>
        <v>22.7514528</v>
      </c>
      <c r="I1774" s="40" t="n">
        <f aca="false">I1768+I1769+I1770+I1771+I1772+I1773</f>
        <v>29.283427872</v>
      </c>
      <c r="J1774" s="40" t="n">
        <f aca="false">J1768+J1769+J1770+J1771+J1772+J1773</f>
        <v>35.48586958272</v>
      </c>
      <c r="K1774" s="51" t="n">
        <f aca="false">SUM(F1774:J1774)</f>
        <v>118.03579025472</v>
      </c>
      <c r="L1774" s="49"/>
    </row>
    <row r="1775" customFormat="false" ht="15" hidden="true" customHeight="false" outlineLevel="1" collapsed="false">
      <c r="A1775" s="20" t="n">
        <v>83</v>
      </c>
      <c r="B1775" s="6" t="s">
        <v>649</v>
      </c>
      <c r="C1775" s="20" t="s">
        <v>71</v>
      </c>
      <c r="D1775" s="23"/>
      <c r="E1775" s="23"/>
      <c r="F1775" s="40" t="n">
        <f aca="false">F1732*(MIN(F1762,F1743)*$D$1699+MAX(0,F1762-F1743)*$D$1700+F1762*$D$1701)+F1733*(MIN(F1763,F1743)*$D$1699+MAX(0,F1763-F1743)*$D$1700+F1763*$D$1701)+F1734*(MIN(F1764,F1743)*$D$1699+MAX(0,F1764-F1743)*$D$1700+F1764*$D$1701)+F1735*(MIN(F1765,F1743)*$D$1699+MAX(0,F1765-F1743)*$D$1700+F1765*$D$1701)+F1736*(MIN(F1766,F1743)*$D$1699+MAX(0,F1766-F1743)*$D$1700+F1766*$D$1701)+F1737*(MIN(F1767,F1743)*$D$1699+MAX(0,F1767-F1743)*$D$1700+F1767*$D$1701)</f>
        <v>1.979138016</v>
      </c>
      <c r="G1775" s="40" t="n">
        <f aca="false">G1732*(MIN(G1762,G1743)*$D$1699+MAX(0,G1762-G1743)*$D$1700+G1762*$D$1701)+G1733*(MIN(G1763,G1743)*$D$1699+MAX(0,G1763-G1743)*$D$1700+G1763*$D$1701)+G1734*(MIN(G1764,G1743)*$D$1699+MAX(0,G1764-G1743)*$D$1700+G1764*$D$1701)+G1735*(MIN(G1765,G1743)*$D$1699+MAX(0,G1765-G1743)*$D$1700+G1765*$D$1701)+G1736*(MIN(G1766,G1743)*$D$1699+MAX(0,G1766-G1743)*$D$1700+G1766*$D$1701)+G1737*(MIN(G1767,G1743)*$D$1699+MAX(0,G1767-G1743)*$D$1700+G1767*$D$1701)</f>
        <v>2.63577817728</v>
      </c>
      <c r="H1775" s="40" t="n">
        <f aca="false">H1732*(MIN(H1762,H1743)*$D$1699+MAX(0,H1762-H1743)*$D$1700+H1762*$D$1701)+H1733*(MIN(H1763,H1743)*$D$1699+MAX(0,H1763-H1743)*$D$1700+H1763*$D$1701)+H1734*(MIN(H1764,H1743)*$D$1699+MAX(0,H1764-H1743)*$D$1700+H1764*$D$1701)+H1735*(MIN(H1765,H1743)*$D$1699+MAX(0,H1765-H1743)*$D$1700+H1765*$D$1701)+H1736*(MIN(H1766,H1743)*$D$1699+MAX(0,H1766-H1743)*$D$1700+H1766*$D$1701)+H1737*(MIN(H1767,H1743)*$D$1699+MAX(0,H1767-H1743)*$D$1700+H1767*$D$1701)</f>
        <v>3.4498574682624</v>
      </c>
      <c r="I1775" s="40" t="n">
        <f aca="false">I1732*(MIN(I1762,I1743)*$D$1699+MAX(0,I1762-I1743)*$D$1700+I1762*$D$1701)+I1733*(MIN(I1763,I1743)*$D$1699+MAX(0,I1763-I1743)*$D$1700+I1763*$D$1701)+I1734*(MIN(I1764,I1743)*$D$1699+MAX(0,I1764-I1743)*$D$1700+I1764*$D$1701)+I1735*(MIN(I1765,I1743)*$D$1699+MAX(0,I1765-I1743)*$D$1700+I1765*$D$1701)+I1736*(MIN(I1766,I1743)*$D$1699+MAX(0,I1766-I1743)*$D$1700+I1766*$D$1701)+I1737*(MIN(I1767,I1743)*$D$1699+MAX(0,I1767-I1743)*$D$1700+I1767*$D$1701)</f>
        <v>4.43984821515879</v>
      </c>
      <c r="J1775" s="40" t="n">
        <f aca="false">J1732*(MIN(J1762,J1743)*$D$1699+MAX(0,J1762-J1743)*$D$1700+J1762*$D$1701)+J1733*(MIN(J1763,J1743)*$D$1699+MAX(0,J1763-J1743)*$D$1700+J1763*$D$1701)+J1734*(MIN(J1764,J1743)*$D$1699+MAX(0,J1764-J1743)*$D$1700+J1764*$D$1701)+J1735*(MIN(J1765,J1743)*$D$1699+MAX(0,J1765-J1743)*$D$1700+J1765*$D$1701)+J1736*(MIN(J1766,J1743)*$D$1699+MAX(0,J1766-J1743)*$D$1700+J1766*$D$1701)+J1737*(MIN(J1767,J1743)*$D$1699+MAX(0,J1767-J1743)*$D$1700+J1767*$D$1701)</f>
        <v>5.38903100207389</v>
      </c>
      <c r="K1775" s="51" t="n">
        <f aca="false">SUM(F1775:J1775)</f>
        <v>17.8936528787751</v>
      </c>
      <c r="L1775" s="49" t="s">
        <v>650</v>
      </c>
    </row>
    <row r="1776" customFormat="false" ht="15" hidden="true" customHeight="false" outlineLevel="1" collapsed="false">
      <c r="A1776" s="20" t="n">
        <v>84</v>
      </c>
      <c r="B1776" s="6" t="s">
        <v>651</v>
      </c>
      <c r="C1776" s="20"/>
      <c r="D1776" s="23"/>
      <c r="E1776" s="23"/>
      <c r="F1776" s="38" t="n">
        <f aca="false">IF(AND(F1749&gt;0,E1749=0),1,0)</f>
        <v>1</v>
      </c>
      <c r="G1776" s="38" t="n">
        <f aca="false">IF(AND(G1749&gt;0,F1749=0),1,0)</f>
        <v>0</v>
      </c>
      <c r="H1776" s="38" t="n">
        <f aca="false">IF(AND(H1749&gt;0,G1749=0),1,0)</f>
        <v>0</v>
      </c>
      <c r="I1776" s="38" t="n">
        <f aca="false">IF(AND(I1749&gt;0,H1749=0),1,0)</f>
        <v>0</v>
      </c>
      <c r="J1776" s="38" t="n">
        <f aca="false">IF(AND(J1749&gt;0,I1749=0),1,0)</f>
        <v>0</v>
      </c>
      <c r="K1776" s="23"/>
      <c r="L1776" s="49"/>
    </row>
    <row r="1777" customFormat="false" ht="15" hidden="true" customHeight="false" outlineLevel="1" collapsed="false">
      <c r="A1777" s="20" t="n">
        <v>85</v>
      </c>
      <c r="B1777" s="6" t="s">
        <v>652</v>
      </c>
      <c r="C1777" s="20" t="s">
        <v>71</v>
      </c>
      <c r="D1777" s="23"/>
      <c r="E1777" s="23"/>
      <c r="F1777" s="40" t="n">
        <f aca="false">(F1776*$D$1704+IF(E1749&gt;0,1,0)*$D$1705)*F1741</f>
        <v>2.5</v>
      </c>
      <c r="G1777" s="40" t="n">
        <f aca="false">(G1776*$D$1704+IF(F1749&gt;0,1,0)*$D$1705)*G1741</f>
        <v>1.05</v>
      </c>
      <c r="H1777" s="40" t="n">
        <f aca="false">(H1776*$D$1704+IF(G1749&gt;0,1,0)*$D$1705)*H1741</f>
        <v>1.1025</v>
      </c>
      <c r="I1777" s="40" t="n">
        <f aca="false">(I1776*$D$1704+IF(H1749&gt;0,1,0)*$D$1705)*I1741</f>
        <v>1.157625</v>
      </c>
      <c r="J1777" s="40" t="n">
        <f aca="false">(J1776*$D$1704+IF(I1749&gt;0,1,0)*$D$1705)*J1741</f>
        <v>1.21550625</v>
      </c>
      <c r="K1777" s="51" t="n">
        <f aca="false">SUM(F1777:J1777)</f>
        <v>7.02563125</v>
      </c>
      <c r="L1777" s="49" t="s">
        <v>653</v>
      </c>
    </row>
    <row r="1778" customFormat="false" ht="15" hidden="true" customHeight="false" outlineLevel="1" collapsed="false">
      <c r="A1778" s="20" t="n">
        <v>86</v>
      </c>
      <c r="B1778" s="6" t="s">
        <v>302</v>
      </c>
      <c r="C1778" s="20" t="s">
        <v>71</v>
      </c>
      <c r="D1778" s="23"/>
      <c r="E1778" s="23"/>
      <c r="F1778" s="40" t="n">
        <f aca="false">$D$1706*F1741</f>
        <v>0.6</v>
      </c>
      <c r="G1778" s="40" t="n">
        <f aca="false">$D$1706*G1741</f>
        <v>0.63</v>
      </c>
      <c r="H1778" s="40" t="n">
        <f aca="false">$D$1706*H1741</f>
        <v>0.6615</v>
      </c>
      <c r="I1778" s="40" t="n">
        <f aca="false">$D$1706*I1741</f>
        <v>0.694575</v>
      </c>
      <c r="J1778" s="40" t="n">
        <f aca="false">$D$1706*J1741</f>
        <v>0.72930375</v>
      </c>
      <c r="K1778" s="51" t="n">
        <f aca="false">SUM(F1778:J1778)</f>
        <v>3.31537875</v>
      </c>
      <c r="L1778" s="49"/>
    </row>
    <row r="1779" customFormat="false" ht="15" hidden="true" customHeight="false" outlineLevel="1" collapsed="false">
      <c r="A1779" s="20" t="n">
        <v>87</v>
      </c>
      <c r="B1779" s="6" t="s">
        <v>654</v>
      </c>
      <c r="C1779" s="20" t="s">
        <v>71</v>
      </c>
      <c r="D1779" s="23"/>
      <c r="E1779" s="23"/>
      <c r="F1779" s="40" t="n">
        <f aca="false">$D$1707*F1760*F1741</f>
        <v>0.72</v>
      </c>
      <c r="G1779" s="40" t="n">
        <f aca="false">$D$1707*G1760*G1741</f>
        <v>0.945</v>
      </c>
      <c r="H1779" s="40" t="n">
        <f aca="false">$D$1707*H1760*H1741</f>
        <v>1.1907</v>
      </c>
      <c r="I1779" s="40" t="n">
        <f aca="false">$D$1707*I1760*I1741</f>
        <v>1.4586075</v>
      </c>
      <c r="J1779" s="40" t="n">
        <f aca="false">$D$1707*J1760*J1741</f>
        <v>1.750329</v>
      </c>
      <c r="K1779" s="51" t="n">
        <f aca="false">SUM(F1779:J1779)</f>
        <v>6.0646365</v>
      </c>
      <c r="L1779" s="49" t="s">
        <v>655</v>
      </c>
    </row>
    <row r="1780" customFormat="false" ht="15" hidden="true" customHeight="false" outlineLevel="1" collapsed="false">
      <c r="A1780" s="20" t="n">
        <v>88</v>
      </c>
      <c r="B1780" s="6" t="s">
        <v>656</v>
      </c>
      <c r="C1780" s="20" t="s">
        <v>71</v>
      </c>
      <c r="D1780" s="23"/>
      <c r="E1780" s="23"/>
      <c r="F1780" s="40" t="n">
        <f aca="false">($D$1708+$D$1709*F1750)*F1741</f>
        <v>1.4</v>
      </c>
      <c r="G1780" s="40" t="n">
        <f aca="false">($D$1708+$D$1709*G1750)*G1741</f>
        <v>1.47</v>
      </c>
      <c r="H1780" s="40" t="n">
        <f aca="false">($D$1708+$D$1709*H1750)*H1741</f>
        <v>2.4255</v>
      </c>
      <c r="I1780" s="40" t="n">
        <f aca="false">($D$1708+$D$1709*I1750)*I1741</f>
        <v>2.083725</v>
      </c>
      <c r="J1780" s="40" t="n">
        <f aca="false">($D$1708+$D$1709*J1750)*J1741</f>
        <v>3.16031625</v>
      </c>
      <c r="K1780" s="51" t="n">
        <f aca="false">SUM(F1780:J1780)</f>
        <v>10.53954125</v>
      </c>
      <c r="L1780" s="49" t="s">
        <v>657</v>
      </c>
    </row>
    <row r="1781" customFormat="false" ht="15" hidden="true" customHeight="false" outlineLevel="1" collapsed="false">
      <c r="A1781" s="20" t="n">
        <v>89</v>
      </c>
      <c r="B1781" s="6" t="s">
        <v>658</v>
      </c>
      <c r="C1781" s="20" t="s">
        <v>71</v>
      </c>
      <c r="D1781" s="23"/>
      <c r="E1781" s="23"/>
      <c r="F1781" s="40" t="n">
        <f aca="false">($D$1710+$D$1711*F1760)*F1741</f>
        <v>1.68</v>
      </c>
      <c r="G1781" s="40" t="n">
        <f aca="false">($D$1710+$D$1711*G1760)*G1741</f>
        <v>1.89</v>
      </c>
      <c r="H1781" s="40" t="n">
        <f aca="false">($D$1710+$D$1711*H1760)*H1741</f>
        <v>2.1168</v>
      </c>
      <c r="I1781" s="40" t="n">
        <f aca="false">($D$1710+$D$1711*I1760)*I1741</f>
        <v>2.361555</v>
      </c>
      <c r="J1781" s="40" t="n">
        <f aca="false">($D$1710+$D$1711*J1760)*J1741</f>
        <v>2.6254935</v>
      </c>
      <c r="K1781" s="51" t="n">
        <f aca="false">SUM(F1781:J1781)</f>
        <v>10.6738485</v>
      </c>
      <c r="L1781" s="49" t="s">
        <v>659</v>
      </c>
    </row>
    <row r="1782" customFormat="false" ht="15" hidden="true" customHeight="false" outlineLevel="1" collapsed="false">
      <c r="A1782" s="20" t="n">
        <v>90</v>
      </c>
      <c r="B1782" s="6" t="s">
        <v>660</v>
      </c>
      <c r="C1782" s="20" t="s">
        <v>71</v>
      </c>
      <c r="D1782" s="23"/>
      <c r="E1782" s="23"/>
      <c r="F1782" s="40" t="n">
        <f aca="false">$D$1712*F1761*F1741</f>
        <v>0.6</v>
      </c>
      <c r="G1782" s="40" t="n">
        <f aca="false">$D$1712*G1761*G1741</f>
        <v>0.315</v>
      </c>
      <c r="H1782" s="40" t="n">
        <f aca="false">$D$1712*H1761*H1741</f>
        <v>0.33075</v>
      </c>
      <c r="I1782" s="40" t="n">
        <f aca="false">$D$1712*I1761*I1741</f>
        <v>0.3472875</v>
      </c>
      <c r="J1782" s="40" t="n">
        <f aca="false">$D$1712*J1761*J1741</f>
        <v>0.364651875</v>
      </c>
      <c r="K1782" s="51" t="n">
        <f aca="false">SUM(F1782:J1782)</f>
        <v>1.957689375</v>
      </c>
      <c r="L1782" s="49" t="s">
        <v>661</v>
      </c>
    </row>
    <row r="1783" customFormat="false" ht="15" hidden="true" customHeight="false" outlineLevel="1" collapsed="false">
      <c r="A1783" s="20" t="n">
        <v>91</v>
      </c>
      <c r="B1783" s="6" t="s">
        <v>570</v>
      </c>
      <c r="C1783" s="20" t="s">
        <v>71</v>
      </c>
      <c r="D1783" s="23"/>
      <c r="E1783" s="23"/>
      <c r="F1783" s="40" t="n">
        <f aca="false">IF(F$1739=$F$1739,$D$1713,0)</f>
        <v>0.3</v>
      </c>
      <c r="G1783" s="40" t="n">
        <f aca="false">IF(G$1739=$F$1739,$D$1713,0)</f>
        <v>0</v>
      </c>
      <c r="H1783" s="40" t="n">
        <f aca="false">IF(H$1739=$F$1739,$D$1713,0)</f>
        <v>0</v>
      </c>
      <c r="I1783" s="40" t="n">
        <f aca="false">IF(I$1739=$F$1739,$D$1713,0)</f>
        <v>0</v>
      </c>
      <c r="J1783" s="40" t="n">
        <f aca="false">IF(J$1739=$F$1739,$D$1713,0)</f>
        <v>0</v>
      </c>
      <c r="K1783" s="51" t="n">
        <f aca="false">SUM(F1783:J1783)</f>
        <v>0.3</v>
      </c>
      <c r="L1783" s="49" t="s">
        <v>662</v>
      </c>
    </row>
    <row r="1784" customFormat="false" ht="15" hidden="true" customHeight="false" outlineLevel="1" collapsed="false">
      <c r="A1784" s="20" t="n">
        <v>92</v>
      </c>
      <c r="B1784" s="6" t="s">
        <v>663</v>
      </c>
      <c r="C1784" s="20" t="s">
        <v>71</v>
      </c>
      <c r="D1784" s="23"/>
      <c r="E1784" s="23"/>
      <c r="F1784" s="40" t="n">
        <f aca="false">F1774+F1775+F1777+F1778+F1779+F1780+F1781+F1782+F1783</f>
        <v>22.883138016</v>
      </c>
      <c r="G1784" s="40" t="n">
        <f aca="false">G1774+G1775+G1777+G1778+G1779+G1780+G1781+G1782+G1783</f>
        <v>26.34681817728</v>
      </c>
      <c r="H1784" s="40" t="n">
        <f aca="false">H1774+H1775+H1777+H1778+H1779+H1780+H1781+H1782+H1783</f>
        <v>34.0290602682624</v>
      </c>
      <c r="I1784" s="40" t="n">
        <f aca="false">I1774+I1775+I1777+I1778+I1779+I1780+I1781+I1782+I1783</f>
        <v>41.8266510871588</v>
      </c>
      <c r="J1784" s="40" t="n">
        <f aca="false">J1774+J1775+J1777+J1778+J1779+J1780+J1781+J1782+J1783</f>
        <v>50.7205012097939</v>
      </c>
      <c r="K1784" s="51" t="n">
        <f aca="false">SUM(F1784:J1784)</f>
        <v>175.806168758495</v>
      </c>
      <c r="L1784" s="49"/>
    </row>
    <row r="1785" customFormat="false" ht="15" hidden="true" customHeight="false" outlineLevel="1" collapsed="false">
      <c r="A1785" s="20" t="n">
        <v>93</v>
      </c>
      <c r="B1785" s="6" t="s">
        <v>329</v>
      </c>
      <c r="C1785" s="20" t="s">
        <v>71</v>
      </c>
      <c r="D1785" s="23"/>
      <c r="E1785" s="23"/>
      <c r="F1785" s="40" t="n">
        <f aca="false">F1784*$D$1715</f>
        <v>2.2883138016</v>
      </c>
      <c r="G1785" s="40" t="n">
        <f aca="false">G1784*$D$1715</f>
        <v>2.634681817728</v>
      </c>
      <c r="H1785" s="40" t="n">
        <f aca="false">H1784*$D$1715</f>
        <v>3.40290602682624</v>
      </c>
      <c r="I1785" s="40" t="n">
        <f aca="false">I1784*$D$1715</f>
        <v>4.18266510871588</v>
      </c>
      <c r="J1785" s="40" t="n">
        <f aca="false">J1784*$D$1715</f>
        <v>5.07205012097939</v>
      </c>
      <c r="K1785" s="51" t="n">
        <f aca="false">SUM(F1785:J1785)</f>
        <v>17.5806168758495</v>
      </c>
      <c r="L1785" s="49"/>
    </row>
    <row r="1786" customFormat="false" ht="15" hidden="true" customHeight="false" outlineLevel="1" collapsed="false">
      <c r="A1786" s="20" t="n">
        <v>94</v>
      </c>
      <c r="B1786" s="6" t="s">
        <v>664</v>
      </c>
      <c r="C1786" s="20" t="s">
        <v>71</v>
      </c>
      <c r="D1786" s="23"/>
      <c r="E1786" s="23"/>
      <c r="F1786" s="40" t="n">
        <f aca="false">F1784+F1785</f>
        <v>25.1714518176</v>
      </c>
      <c r="G1786" s="40" t="n">
        <f aca="false">G1784+G1785</f>
        <v>28.981499995008</v>
      </c>
      <c r="H1786" s="40" t="n">
        <f aca="false">H1784+H1785</f>
        <v>37.4319662950886</v>
      </c>
      <c r="I1786" s="40" t="n">
        <f aca="false">I1784+I1785</f>
        <v>46.0093161958747</v>
      </c>
      <c r="J1786" s="40" t="n">
        <f aca="false">J1784+J1785</f>
        <v>55.7925513307733</v>
      </c>
      <c r="K1786" s="51" t="n">
        <f aca="false">SUM(F1786:J1786)</f>
        <v>193.386785634345</v>
      </c>
      <c r="L1786" s="49"/>
    </row>
    <row r="1787" customFormat="false" ht="15" hidden="true" customHeight="false" outlineLevel="1" collapsed="false">
      <c r="A1787" s="19" t="s">
        <v>665</v>
      </c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</row>
    <row r="1788" customFormat="false" ht="15" hidden="true" customHeight="false" outlineLevel="1" collapsed="false">
      <c r="A1788" s="20" t="n">
        <v>95</v>
      </c>
      <c r="B1788" s="6" t="s">
        <v>666</v>
      </c>
      <c r="C1788" s="20" t="s">
        <v>71</v>
      </c>
      <c r="D1788" s="23"/>
      <c r="E1788" s="23"/>
      <c r="F1788" s="40" t="n">
        <f aca="false">F1757-F1786</f>
        <v>-17.1714518176</v>
      </c>
      <c r="G1788" s="40" t="n">
        <f aca="false">G1757-G1786</f>
        <v>-11.131499995008</v>
      </c>
      <c r="H1788" s="40" t="n">
        <f aca="false">H1757-H1786</f>
        <v>-3.37505223258864</v>
      </c>
      <c r="I1788" s="40" t="n">
        <f aca="false">I1757-I1786</f>
        <v>-2.64466725233774</v>
      </c>
      <c r="J1788" s="40" t="n">
        <f aca="false">J1757-J1786</f>
        <v>11.9844009013601</v>
      </c>
      <c r="K1788" s="51" t="n">
        <f aca="false">SUM(F1788:J1788)</f>
        <v>-22.3382703961743</v>
      </c>
      <c r="L1788" s="49" t="s">
        <v>667</v>
      </c>
    </row>
    <row r="1789" customFormat="false" ht="15" hidden="true" customHeight="false" outlineLevel="1" collapsed="false">
      <c r="A1789" s="20" t="n">
        <v>96</v>
      </c>
      <c r="B1789" s="6" t="s">
        <v>668</v>
      </c>
      <c r="C1789" s="20" t="s">
        <v>68</v>
      </c>
      <c r="D1789" s="23"/>
      <c r="E1789" s="23"/>
      <c r="F1789" s="44" t="n">
        <f aca="false">IF(F1757&gt;0,F1788/F1757,0)</f>
        <v>-2.1464314772</v>
      </c>
      <c r="G1789" s="44" t="n">
        <f aca="false">IF(G1757&gt;0,G1788/G1757,0)</f>
        <v>-0.623613445098487</v>
      </c>
      <c r="H1789" s="44" t="n">
        <f aca="false">IF(H1757&gt;0,H1788/H1757,0)</f>
        <v>-0.0991003537899783</v>
      </c>
      <c r="I1789" s="44" t="n">
        <f aca="false">IF(I1757&gt;0,I1788/I1757,0)</f>
        <v>-0.0609867096072019</v>
      </c>
      <c r="J1789" s="44" t="n">
        <f aca="false">IF(J1757&gt;0,J1788/J1757,0)</f>
        <v>0.176821183406329</v>
      </c>
      <c r="K1789" s="23"/>
      <c r="L1789" s="49"/>
    </row>
    <row r="1790" customFormat="false" ht="15" hidden="true" customHeight="false" outlineLevel="1" collapsed="false">
      <c r="A1790" s="20" t="n">
        <v>97</v>
      </c>
      <c r="B1790" s="6" t="s">
        <v>669</v>
      </c>
      <c r="C1790" s="20" t="s">
        <v>71</v>
      </c>
      <c r="D1790" s="23"/>
      <c r="E1790" s="23"/>
      <c r="F1790" s="40" t="n">
        <f aca="false">E1794</f>
        <v>0</v>
      </c>
      <c r="G1790" s="40" t="n">
        <f aca="false">F1794</f>
        <v>17.1714518176</v>
      </c>
      <c r="H1790" s="40" t="n">
        <f aca="false">G1794</f>
        <v>28.302951812608</v>
      </c>
      <c r="I1790" s="40" t="n">
        <f aca="false">H1794</f>
        <v>31.6780040451966</v>
      </c>
      <c r="J1790" s="40" t="n">
        <f aca="false">I1794</f>
        <v>34.3226712975344</v>
      </c>
      <c r="K1790" s="23"/>
      <c r="L1790" s="49"/>
    </row>
    <row r="1791" customFormat="false" ht="15" hidden="true" customHeight="false" outlineLevel="1" collapsed="false">
      <c r="A1791" s="20" t="n">
        <v>98</v>
      </c>
      <c r="B1791" s="6" t="s">
        <v>670</v>
      </c>
      <c r="C1791" s="20" t="s">
        <v>71</v>
      </c>
      <c r="D1791" s="23"/>
      <c r="E1791" s="23"/>
      <c r="F1791" s="40" t="n">
        <f aca="false">MIN(F1790,MAX(0,F1788)*$D$1717)</f>
        <v>0</v>
      </c>
      <c r="G1791" s="40" t="n">
        <f aca="false">MIN(G1790,MAX(0,G1788)*$D$1717)</f>
        <v>0</v>
      </c>
      <c r="H1791" s="40" t="n">
        <f aca="false">MIN(H1790,MAX(0,H1788)*$D$1717)</f>
        <v>0</v>
      </c>
      <c r="I1791" s="40" t="n">
        <f aca="false">MIN(I1790,MAX(0,I1788)*$D$1717)</f>
        <v>0</v>
      </c>
      <c r="J1791" s="40" t="n">
        <f aca="false">MIN(J1790,MAX(0,J1788)*$D$1717)</f>
        <v>5.99220045068003</v>
      </c>
      <c r="K1791" s="23"/>
      <c r="L1791" s="49" t="s">
        <v>671</v>
      </c>
    </row>
    <row r="1792" customFormat="false" ht="15" hidden="true" customHeight="false" outlineLevel="1" collapsed="false">
      <c r="A1792" s="20" t="n">
        <v>99</v>
      </c>
      <c r="B1792" s="6" t="s">
        <v>672</v>
      </c>
      <c r="C1792" s="20" t="s">
        <v>71</v>
      </c>
      <c r="D1792" s="23"/>
      <c r="E1792" s="23"/>
      <c r="F1792" s="40" t="n">
        <f aca="false">MAX(0,F1788)-F1791</f>
        <v>0</v>
      </c>
      <c r="G1792" s="40" t="n">
        <f aca="false">MAX(0,G1788)-G1791</f>
        <v>0</v>
      </c>
      <c r="H1792" s="40" t="n">
        <f aca="false">MAX(0,H1788)-H1791</f>
        <v>0</v>
      </c>
      <c r="I1792" s="40" t="n">
        <f aca="false">MAX(0,I1788)-I1791</f>
        <v>0</v>
      </c>
      <c r="J1792" s="40" t="n">
        <f aca="false">MAX(0,J1788)-J1791</f>
        <v>5.99220045068003</v>
      </c>
      <c r="K1792" s="23"/>
      <c r="L1792" s="49"/>
    </row>
    <row r="1793" customFormat="false" ht="15" hidden="true" customHeight="false" outlineLevel="1" collapsed="false">
      <c r="A1793" s="20" t="n">
        <v>100</v>
      </c>
      <c r="B1793" s="6" t="s">
        <v>572</v>
      </c>
      <c r="C1793" s="20" t="s">
        <v>71</v>
      </c>
      <c r="D1793" s="23"/>
      <c r="E1793" s="23"/>
      <c r="F1793" s="40" t="n">
        <f aca="false">F1792*$D$1716</f>
        <v>0</v>
      </c>
      <c r="G1793" s="40" t="n">
        <f aca="false">G1792*$D$1716</f>
        <v>0</v>
      </c>
      <c r="H1793" s="40" t="n">
        <f aca="false">H1792*$D$1716</f>
        <v>0</v>
      </c>
      <c r="I1793" s="40" t="n">
        <f aca="false">I1792*$D$1716</f>
        <v>0</v>
      </c>
      <c r="J1793" s="40" t="n">
        <f aca="false">J1792*$D$1716</f>
        <v>0.299610022534002</v>
      </c>
      <c r="K1793" s="51" t="n">
        <f aca="false">SUM(F1793:J1793)</f>
        <v>0.299610022534002</v>
      </c>
      <c r="L1793" s="49"/>
    </row>
    <row r="1794" customFormat="false" ht="15" hidden="true" customHeight="false" outlineLevel="1" collapsed="false">
      <c r="A1794" s="20" t="n">
        <v>101</v>
      </c>
      <c r="B1794" s="6" t="s">
        <v>673</v>
      </c>
      <c r="C1794" s="20" t="s">
        <v>71</v>
      </c>
      <c r="D1794" s="23"/>
      <c r="E1794" s="40" t="n">
        <f aca="false">0</f>
        <v>0</v>
      </c>
      <c r="F1794" s="40" t="n">
        <f aca="false">F1790-F1791+MAX(0,-F1788)</f>
        <v>17.1714518176</v>
      </c>
      <c r="G1794" s="40" t="n">
        <f aca="false">G1790-G1791+MAX(0,-G1788)</f>
        <v>28.302951812608</v>
      </c>
      <c r="H1794" s="40" t="n">
        <f aca="false">H1790-H1791+MAX(0,-H1788)</f>
        <v>31.6780040451966</v>
      </c>
      <c r="I1794" s="40" t="n">
        <f aca="false">I1790-I1791+MAX(0,-I1788)</f>
        <v>34.3226712975344</v>
      </c>
      <c r="J1794" s="40" t="n">
        <f aca="false">J1790-J1791+MAX(0,-J1788)</f>
        <v>28.3304708468543</v>
      </c>
      <c r="K1794" s="23"/>
      <c r="L1794" s="49"/>
    </row>
    <row r="1795" customFormat="false" ht="15" hidden="true" customHeight="false" outlineLevel="1" collapsed="false">
      <c r="A1795" s="20" t="n">
        <v>102</v>
      </c>
      <c r="B1795" s="6" t="s">
        <v>674</v>
      </c>
      <c r="C1795" s="20" t="s">
        <v>71</v>
      </c>
      <c r="D1795" s="23"/>
      <c r="E1795" s="23"/>
      <c r="F1795" s="40" t="n">
        <f aca="false">F1788-F1793</f>
        <v>-17.1714518176</v>
      </c>
      <c r="G1795" s="40" t="n">
        <f aca="false">G1788-G1793</f>
        <v>-11.131499995008</v>
      </c>
      <c r="H1795" s="40" t="n">
        <f aca="false">H1788-H1793</f>
        <v>-3.37505223258864</v>
      </c>
      <c r="I1795" s="40" t="n">
        <f aca="false">I1788-I1793</f>
        <v>-2.64466725233774</v>
      </c>
      <c r="J1795" s="40" t="n">
        <f aca="false">J1788-J1793</f>
        <v>11.6847908788261</v>
      </c>
      <c r="K1795" s="51" t="n">
        <f aca="false">SUM(F1795:J1795)</f>
        <v>-22.6378804187083</v>
      </c>
      <c r="L1795" s="49"/>
    </row>
    <row r="1796" customFormat="false" ht="15" hidden="true" customHeight="false" outlineLevel="1" collapsed="false">
      <c r="A1796" s="19" t="s">
        <v>675</v>
      </c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</row>
    <row r="1797" customFormat="false" ht="15" hidden="true" customHeight="false" outlineLevel="1" collapsed="false">
      <c r="A1797" s="20" t="n">
        <v>103</v>
      </c>
      <c r="B1797" s="6" t="s">
        <v>676</v>
      </c>
      <c r="C1797" s="20" t="s">
        <v>71</v>
      </c>
      <c r="D1797" s="23"/>
      <c r="E1797" s="40" t="n">
        <f aca="false">0</f>
        <v>0</v>
      </c>
      <c r="F1797" s="40" t="n">
        <f aca="false">F1757*$D$1718/365</f>
        <v>1.97260273972603</v>
      </c>
      <c r="G1797" s="40" t="n">
        <f aca="false">G1757*$D$1718/365</f>
        <v>4.4013698630137</v>
      </c>
      <c r="H1797" s="40" t="n">
        <f aca="false">H1757*$D$1718/365</f>
        <v>8.39759524828767</v>
      </c>
      <c r="I1797" s="40" t="n">
        <f aca="false">I1757*$D$1718/365</f>
        <v>10.6926531641598</v>
      </c>
      <c r="J1797" s="40" t="n">
        <f aca="false">J1757*$D$1718/365</f>
        <v>16.7121252079233</v>
      </c>
      <c r="K1797" s="23"/>
      <c r="L1797" s="49" t="s">
        <v>677</v>
      </c>
    </row>
    <row r="1798" customFormat="false" ht="15" hidden="true" customHeight="false" outlineLevel="1" collapsed="false">
      <c r="A1798" s="20" t="n">
        <v>104</v>
      </c>
      <c r="B1798" s="6" t="s">
        <v>678</v>
      </c>
      <c r="C1798" s="20" t="s">
        <v>71</v>
      </c>
      <c r="D1798" s="23"/>
      <c r="E1798" s="23"/>
      <c r="F1798" s="40" t="n">
        <f aca="false">F1797-E1797</f>
        <v>1.97260273972603</v>
      </c>
      <c r="G1798" s="40" t="n">
        <f aca="false">G1797-F1797</f>
        <v>2.42876712328767</v>
      </c>
      <c r="H1798" s="40" t="n">
        <f aca="false">H1797-G1797</f>
        <v>3.99622538527397</v>
      </c>
      <c r="I1798" s="40" t="n">
        <f aca="false">I1797-H1797</f>
        <v>2.29505791587212</v>
      </c>
      <c r="J1798" s="40" t="n">
        <f aca="false">J1797-I1797</f>
        <v>6.0194720437635</v>
      </c>
      <c r="K1798" s="51" t="n">
        <f aca="false">SUM(F1798:J1798)</f>
        <v>16.7121252079233</v>
      </c>
      <c r="L1798" s="49"/>
    </row>
    <row r="1799" customFormat="false" ht="15" hidden="true" customHeight="false" outlineLevel="1" collapsed="false">
      <c r="A1799" s="20" t="n">
        <v>105</v>
      </c>
      <c r="B1799" s="6" t="s">
        <v>679</v>
      </c>
      <c r="C1799" s="20" t="s">
        <v>71</v>
      </c>
      <c r="D1799" s="23"/>
      <c r="E1799" s="23"/>
      <c r="F1799" s="40" t="n">
        <f aca="false">F1795-F1798</f>
        <v>-19.144054557326</v>
      </c>
      <c r="G1799" s="40" t="n">
        <f aca="false">G1795-G1798</f>
        <v>-13.5602671182957</v>
      </c>
      <c r="H1799" s="40" t="n">
        <f aca="false">H1795-H1798</f>
        <v>-7.37127761786261</v>
      </c>
      <c r="I1799" s="40" t="n">
        <f aca="false">I1795-I1798</f>
        <v>-4.93972516820986</v>
      </c>
      <c r="J1799" s="40" t="n">
        <f aca="false">J1795-J1798</f>
        <v>5.66531883506256</v>
      </c>
      <c r="K1799" s="51" t="n">
        <f aca="false">SUM(F1799:J1799)</f>
        <v>-39.3500056266316</v>
      </c>
      <c r="L1799" s="49" t="s">
        <v>680</v>
      </c>
    </row>
    <row r="1800" customFormat="false" ht="15" hidden="true" customHeight="false" outlineLevel="1" collapsed="false">
      <c r="A1800" s="20" t="n">
        <v>106</v>
      </c>
      <c r="B1800" s="6" t="s">
        <v>93</v>
      </c>
      <c r="C1800" s="20" t="s">
        <v>71</v>
      </c>
      <c r="D1800" s="23"/>
      <c r="E1800" s="40" t="n">
        <f aca="false">0</f>
        <v>0</v>
      </c>
      <c r="F1800" s="40" t="n">
        <f aca="false">E1800+F1799</f>
        <v>-19.144054557326</v>
      </c>
      <c r="G1800" s="40" t="n">
        <f aca="false">F1800+G1799</f>
        <v>-32.7043216756217</v>
      </c>
      <c r="H1800" s="40" t="n">
        <f aca="false">G1800+H1799</f>
        <v>-40.0755992934843</v>
      </c>
      <c r="I1800" s="40" t="n">
        <f aca="false">H1800+I1799</f>
        <v>-45.0153244616942</v>
      </c>
      <c r="J1800" s="40" t="n">
        <f aca="false">I1800+J1799</f>
        <v>-39.3500056266316</v>
      </c>
      <c r="K1800" s="23"/>
      <c r="L1800" s="49" t="s">
        <v>681</v>
      </c>
    </row>
    <row r="1801" customFormat="false" ht="15" hidden="true" customHeight="false" outlineLevel="1" collapsed="false">
      <c r="A1801" s="20" t="n">
        <v>107</v>
      </c>
      <c r="B1801" s="6" t="s">
        <v>682</v>
      </c>
      <c r="C1801" s="20"/>
      <c r="D1801" s="23"/>
      <c r="E1801" s="23"/>
      <c r="F1801" s="53" t="n">
        <f aca="false">1/(1+$D$1719)^(F$1739-$E$1739)</f>
        <v>0.769230769230769</v>
      </c>
      <c r="G1801" s="53" t="n">
        <f aca="false">1/(1+$D$1719)^(G$1739-$E$1739)</f>
        <v>0.591715976331361</v>
      </c>
      <c r="H1801" s="53" t="n">
        <f aca="false">1/(1+$D$1719)^(H$1739-$E$1739)</f>
        <v>0.455166135639508</v>
      </c>
      <c r="I1801" s="53" t="n">
        <f aca="false">1/(1+$D$1719)^(I$1739-$E$1739)</f>
        <v>0.350127796645776</v>
      </c>
      <c r="J1801" s="53" t="n">
        <f aca="false">1/(1+$D$1719)^(J$1739-$E$1739)</f>
        <v>0.269329074342904</v>
      </c>
      <c r="K1801" s="23"/>
      <c r="L1801" s="49" t="s">
        <v>683</v>
      </c>
    </row>
    <row r="1802" customFormat="false" ht="15" hidden="true" customHeight="false" outlineLevel="1" collapsed="false">
      <c r="A1802" s="20" t="n">
        <v>108</v>
      </c>
      <c r="B1802" s="6" t="s">
        <v>684</v>
      </c>
      <c r="C1802" s="20" t="s">
        <v>71</v>
      </c>
      <c r="D1802" s="23"/>
      <c r="E1802" s="23"/>
      <c r="F1802" s="40" t="n">
        <f aca="false">F1799*F1801</f>
        <v>-14.7261958133277</v>
      </c>
      <c r="G1802" s="40" t="n">
        <f aca="false">G1799*G1801</f>
        <v>-8.02382669721637</v>
      </c>
      <c r="H1802" s="40" t="n">
        <f aca="false">H1799*H1801</f>
        <v>-3.35515594804852</v>
      </c>
      <c r="I1802" s="40" t="n">
        <f aca="false">I1799*I1801</f>
        <v>-1.729535089181</v>
      </c>
      <c r="J1802" s="40" t="n">
        <f aca="false">J1799*J1801</f>
        <v>1.52583507770482</v>
      </c>
      <c r="K1802" s="51" t="n">
        <f aca="false">SUM(F1802:J1802)</f>
        <v>-26.3088784700688</v>
      </c>
      <c r="L1802" s="49"/>
    </row>
    <row r="1803" customFormat="false" ht="15" hidden="true" customHeight="false" outlineLevel="1" collapsed="false">
      <c r="A1803" s="20" t="n">
        <v>109</v>
      </c>
      <c r="B1803" s="6" t="s">
        <v>685</v>
      </c>
      <c r="C1803" s="20" t="s">
        <v>71</v>
      </c>
      <c r="D1803" s="23"/>
      <c r="E1803" s="23"/>
      <c r="F1803" s="40" t="n">
        <f aca="false">IF(F$1739=$J$1739,MAX(0,F1799)*(1+$D$1720)/($D$1719-$D$1720),0)</f>
        <v>0</v>
      </c>
      <c r="G1803" s="40" t="n">
        <f aca="false">IF(G$1739=$J$1739,MAX(0,G1799)*(1+$D$1720)/($D$1719-$D$1720),0)</f>
        <v>0</v>
      </c>
      <c r="H1803" s="40" t="n">
        <f aca="false">IF(H$1739=$J$1739,MAX(0,H1799)*(1+$D$1720)/($D$1719-$D$1720),0)</f>
        <v>0</v>
      </c>
      <c r="I1803" s="40" t="n">
        <f aca="false">IF(I$1739=$J$1739,MAX(0,I1799)*(1+$D$1720)/($D$1719-$D$1720),0)</f>
        <v>0</v>
      </c>
      <c r="J1803" s="40" t="n">
        <f aca="false">IF(J$1739=$J$1739,MAX(0,J1799)*(1+$D$1720)/($D$1719-$D$1720),0)</f>
        <v>22.6612753402503</v>
      </c>
      <c r="K1803" s="23"/>
      <c r="L1803" s="49" t="s">
        <v>686</v>
      </c>
    </row>
    <row r="1804" customFormat="false" ht="15" hidden="true" customHeight="false" outlineLevel="1" collapsed="false">
      <c r="A1804" s="20" t="n">
        <v>110</v>
      </c>
      <c r="B1804" s="6" t="s">
        <v>687</v>
      </c>
      <c r="C1804" s="20" t="s">
        <v>71</v>
      </c>
      <c r="D1804" s="23"/>
      <c r="E1804" s="23"/>
      <c r="F1804" s="40" t="n">
        <f aca="false">F1803*F1801</f>
        <v>0</v>
      </c>
      <c r="G1804" s="40" t="n">
        <f aca="false">G1803*G1801</f>
        <v>0</v>
      </c>
      <c r="H1804" s="40" t="n">
        <f aca="false">H1803*H1801</f>
        <v>0</v>
      </c>
      <c r="I1804" s="40" t="n">
        <f aca="false">I1803*I1801</f>
        <v>0</v>
      </c>
      <c r="J1804" s="40" t="n">
        <f aca="false">J1803*J1801</f>
        <v>6.10334031081929</v>
      </c>
      <c r="K1804" s="51" t="n">
        <f aca="false">SUM(F1804:J1804)</f>
        <v>6.10334031081929</v>
      </c>
      <c r="L1804" s="49"/>
    </row>
    <row r="1805" customFormat="false" ht="15" hidden="true" customHeight="false" outlineLevel="1" collapsed="false">
      <c r="A1805" s="20" t="n">
        <v>111</v>
      </c>
      <c r="B1805" s="6" t="s">
        <v>688</v>
      </c>
      <c r="C1805" s="20" t="s">
        <v>71</v>
      </c>
      <c r="D1805" s="23"/>
      <c r="E1805" s="23"/>
      <c r="F1805" s="40" t="n">
        <f aca="false">F1799+F1803</f>
        <v>-19.144054557326</v>
      </c>
      <c r="G1805" s="40" t="n">
        <f aca="false">G1799+G1803</f>
        <v>-13.5602671182957</v>
      </c>
      <c r="H1805" s="40" t="n">
        <f aca="false">H1799+H1803</f>
        <v>-7.37127761786261</v>
      </c>
      <c r="I1805" s="40" t="n">
        <f aca="false">I1799+I1803</f>
        <v>-4.93972516820986</v>
      </c>
      <c r="J1805" s="40" t="n">
        <f aca="false">J1799+J1803</f>
        <v>28.3265941753128</v>
      </c>
      <c r="K1805" s="23"/>
      <c r="L1805" s="49" t="s">
        <v>689</v>
      </c>
    </row>
    <row r="1806" customFormat="false" ht="15" hidden="true" customHeight="false" outlineLevel="1" collapsed="false">
      <c r="A1806" s="20" t="n">
        <v>112</v>
      </c>
      <c r="B1806" s="6" t="s">
        <v>690</v>
      </c>
      <c r="C1806" s="20"/>
      <c r="D1806" s="23"/>
      <c r="E1806" s="23"/>
      <c r="F1806" s="52" t="str">
        <f aca="false">IF(AND(F1788&gt;0,COUNTIF($F$1788:F$1788,"&gt;0")=1),F$1739,"")</f>
        <v/>
      </c>
      <c r="G1806" s="52" t="str">
        <f aca="false">IF(AND(G1788&gt;0,COUNTIF($F$1788:G$1788,"&gt;0")=1),G$1739,"")</f>
        <v/>
      </c>
      <c r="H1806" s="52" t="str">
        <f aca="false">IF(AND(H1788&gt;0,COUNTIF($F$1788:H$1788,"&gt;0")=1),H$1739,"")</f>
        <v/>
      </c>
      <c r="I1806" s="52" t="str">
        <f aca="false">IF(AND(I1788&gt;0,COUNTIF($F$1788:I$1788,"&gt;0")=1),I$1739,"")</f>
        <v/>
      </c>
      <c r="J1806" s="52" t="n">
        <f aca="false">IF(AND(J1788&gt;0,COUNTIF($F$1788:J$1788,"&gt;0")=1),J$1739,"")</f>
        <v>2031</v>
      </c>
      <c r="K1806" s="23"/>
      <c r="L1806" s="49" t="s">
        <v>691</v>
      </c>
    </row>
    <row r="1807" customFormat="false" ht="15" hidden="true" customHeight="false" outlineLevel="1" collapsed="false">
      <c r="A1807" s="20" t="n">
        <v>113</v>
      </c>
      <c r="B1807" s="6" t="s">
        <v>692</v>
      </c>
      <c r="C1807" s="20"/>
      <c r="D1807" s="23"/>
      <c r="E1807" s="23"/>
      <c r="F1807" s="52" t="str">
        <f aca="false">IF(AND(F1800&gt;0,COUNTIF($F$1800:F$1800,"&gt;0")=1),F$1739,"")</f>
        <v/>
      </c>
      <c r="G1807" s="52" t="str">
        <f aca="false">IF(AND(G1800&gt;0,COUNTIF($F$1800:G$1800,"&gt;0")=1),G$1739,"")</f>
        <v/>
      </c>
      <c r="H1807" s="52" t="str">
        <f aca="false">IF(AND(H1800&gt;0,COUNTIF($F$1800:H$1800,"&gt;0")=1),H$1739,"")</f>
        <v/>
      </c>
      <c r="I1807" s="52" t="str">
        <f aca="false">IF(AND(I1800&gt;0,COUNTIF($F$1800:I$1800,"&gt;0")=1),I$1739,"")</f>
        <v/>
      </c>
      <c r="J1807" s="52" t="str">
        <f aca="false">IF(AND(J1800&gt;0,COUNTIF($F$1800:J$1800,"&gt;0")=1),J$1739,"")</f>
        <v/>
      </c>
      <c r="K1807" s="23"/>
      <c r="L1807" s="49" t="s">
        <v>691</v>
      </c>
    </row>
    <row r="1808" customFormat="false" ht="15" hidden="true" customHeight="false" outlineLevel="1" collapsed="false">
      <c r="A1808" s="19" t="s">
        <v>693</v>
      </c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</row>
    <row r="1809" customFormat="false" ht="15" hidden="true" customHeight="false" outlineLevel="1" collapsed="false">
      <c r="A1809" s="20" t="n">
        <v>114</v>
      </c>
      <c r="B1809" s="6" t="s">
        <v>70</v>
      </c>
      <c r="C1809" s="20" t="s">
        <v>71</v>
      </c>
      <c r="D1809" s="51" t="n">
        <f aca="false">SUM(F1757:J1757)</f>
        <v>171.04851523817</v>
      </c>
      <c r="E1809" s="23"/>
      <c r="F1809" s="23"/>
      <c r="G1809" s="23"/>
      <c r="H1809" s="23"/>
      <c r="I1809" s="23"/>
      <c r="J1809" s="23"/>
      <c r="K1809" s="23"/>
      <c r="L1809" s="49"/>
    </row>
    <row r="1810" customFormat="false" ht="15" hidden="true" customHeight="false" outlineLevel="1" collapsed="false">
      <c r="A1810" s="20" t="n">
        <v>115</v>
      </c>
      <c r="B1810" s="6" t="s">
        <v>694</v>
      </c>
      <c r="C1810" s="20" t="s">
        <v>71</v>
      </c>
      <c r="D1810" s="51" t="n">
        <f aca="false">J1757</f>
        <v>67.7769522321333</v>
      </c>
      <c r="E1810" s="23"/>
      <c r="F1810" s="23"/>
      <c r="G1810" s="23"/>
      <c r="H1810" s="23"/>
      <c r="I1810" s="23"/>
      <c r="J1810" s="23"/>
      <c r="K1810" s="23"/>
      <c r="L1810" s="49"/>
    </row>
    <row r="1811" customFormat="false" ht="15" hidden="true" customHeight="false" outlineLevel="1" collapsed="false">
      <c r="A1811" s="20" t="n">
        <v>116</v>
      </c>
      <c r="B1811" s="6" t="s">
        <v>695</v>
      </c>
      <c r="C1811" s="20" t="s">
        <v>71</v>
      </c>
      <c r="D1811" s="51" t="n">
        <f aca="false">J1758</f>
        <v>74.6329671070812</v>
      </c>
      <c r="E1811" s="23"/>
      <c r="F1811" s="23"/>
      <c r="G1811" s="23"/>
      <c r="H1811" s="23"/>
      <c r="I1811" s="23"/>
      <c r="J1811" s="23"/>
      <c r="K1811" s="23"/>
      <c r="L1811" s="49"/>
    </row>
    <row r="1812" customFormat="false" ht="15" hidden="true" customHeight="false" outlineLevel="1" collapsed="false">
      <c r="A1812" s="20" t="n">
        <v>117</v>
      </c>
      <c r="B1812" s="6" t="s">
        <v>696</v>
      </c>
      <c r="C1812" s="20" t="s">
        <v>71</v>
      </c>
      <c r="D1812" s="51" t="n">
        <f aca="false">J1788</f>
        <v>11.9844009013601</v>
      </c>
      <c r="E1812" s="23"/>
      <c r="F1812" s="23"/>
      <c r="G1812" s="23"/>
      <c r="H1812" s="23"/>
      <c r="I1812" s="23"/>
      <c r="J1812" s="23"/>
      <c r="K1812" s="23"/>
      <c r="L1812" s="49"/>
    </row>
    <row r="1813" customFormat="false" ht="15" hidden="true" customHeight="false" outlineLevel="1" collapsed="false">
      <c r="A1813" s="20" t="n">
        <v>118</v>
      </c>
      <c r="B1813" s="6" t="s">
        <v>697</v>
      </c>
      <c r="C1813" s="20" t="s">
        <v>76</v>
      </c>
      <c r="D1813" s="54" t="n">
        <f aca="false">J1749</f>
        <v>11</v>
      </c>
      <c r="E1813" s="23"/>
      <c r="F1813" s="23"/>
      <c r="G1813" s="23"/>
      <c r="H1813" s="23"/>
      <c r="I1813" s="23"/>
      <c r="J1813" s="23"/>
      <c r="K1813" s="23"/>
      <c r="L1813" s="49"/>
    </row>
    <row r="1814" customFormat="false" ht="15" hidden="true" customHeight="false" outlineLevel="1" collapsed="false">
      <c r="A1814" s="20" t="n">
        <v>119</v>
      </c>
      <c r="B1814" s="6" t="s">
        <v>698</v>
      </c>
      <c r="C1814" s="20" t="s">
        <v>53</v>
      </c>
      <c r="D1814" s="51" t="n">
        <f aca="false">J1760</f>
        <v>9.6</v>
      </c>
      <c r="E1814" s="23"/>
      <c r="F1814" s="23"/>
      <c r="G1814" s="23"/>
      <c r="H1814" s="23"/>
      <c r="I1814" s="23"/>
      <c r="J1814" s="23"/>
      <c r="K1814" s="23"/>
      <c r="L1814" s="49"/>
    </row>
    <row r="1815" customFormat="false" ht="15" hidden="true" customHeight="false" outlineLevel="1" collapsed="false">
      <c r="A1815" s="20" t="n">
        <v>120</v>
      </c>
      <c r="B1815" s="6" t="s">
        <v>699</v>
      </c>
      <c r="C1815" s="20" t="s">
        <v>71</v>
      </c>
      <c r="D1815" s="51" t="n">
        <f aca="false">MIN(0,MIN(F1800:J1800))</f>
        <v>-45.0153244616942</v>
      </c>
      <c r="E1815" s="23"/>
      <c r="F1815" s="23"/>
      <c r="G1815" s="23"/>
      <c r="H1815" s="23"/>
      <c r="I1815" s="23"/>
      <c r="J1815" s="23"/>
      <c r="K1815" s="23"/>
      <c r="L1815" s="49"/>
    </row>
    <row r="1816" customFormat="false" ht="15" hidden="true" customHeight="false" outlineLevel="1" collapsed="false">
      <c r="A1816" s="20" t="n">
        <v>121</v>
      </c>
      <c r="B1816" s="6" t="s">
        <v>700</v>
      </c>
      <c r="C1816" s="20" t="s">
        <v>71</v>
      </c>
      <c r="D1816" s="51" t="n">
        <f aca="false">-$D$1815*(1+$D$1721)</f>
        <v>54.018389354033</v>
      </c>
      <c r="E1816" s="23"/>
      <c r="F1816" s="23"/>
      <c r="G1816" s="23"/>
      <c r="H1816" s="23"/>
      <c r="I1816" s="23"/>
      <c r="J1816" s="23"/>
      <c r="K1816" s="23"/>
      <c r="L1816" s="49"/>
    </row>
    <row r="1817" customFormat="false" ht="15" hidden="true" customHeight="false" outlineLevel="1" collapsed="false">
      <c r="A1817" s="20" t="n">
        <v>122</v>
      </c>
      <c r="B1817" s="6" t="s">
        <v>701</v>
      </c>
      <c r="C1817" s="20" t="s">
        <v>71</v>
      </c>
      <c r="D1817" s="51" t="n">
        <f aca="false">J1800</f>
        <v>-39.3500056266316</v>
      </c>
      <c r="E1817" s="23"/>
      <c r="F1817" s="23"/>
      <c r="G1817" s="23"/>
      <c r="H1817" s="23"/>
      <c r="I1817" s="23"/>
      <c r="J1817" s="23"/>
      <c r="K1817" s="23"/>
      <c r="L1817" s="49"/>
    </row>
    <row r="1818" customFormat="false" ht="15" hidden="true" customHeight="false" outlineLevel="1" collapsed="false">
      <c r="A1818" s="20" t="n">
        <v>123</v>
      </c>
      <c r="B1818" s="6" t="s">
        <v>702</v>
      </c>
      <c r="C1818" s="20" t="s">
        <v>71</v>
      </c>
      <c r="D1818" s="51" t="n">
        <f aca="false">SUM(F1802:J1802)</f>
        <v>-26.3088784700688</v>
      </c>
      <c r="E1818" s="23"/>
      <c r="F1818" s="23"/>
      <c r="G1818" s="23"/>
      <c r="H1818" s="23"/>
      <c r="I1818" s="23"/>
      <c r="J1818" s="23"/>
      <c r="K1818" s="23"/>
      <c r="L1818" s="49"/>
    </row>
    <row r="1819" customFormat="false" ht="15" hidden="true" customHeight="false" outlineLevel="1" collapsed="false">
      <c r="A1819" s="20" t="n">
        <v>124</v>
      </c>
      <c r="B1819" s="6" t="s">
        <v>82</v>
      </c>
      <c r="C1819" s="20" t="s">
        <v>71</v>
      </c>
      <c r="D1819" s="51" t="n">
        <f aca="false">SUM(F1802:J1802)+SUM(F1804:J1804)</f>
        <v>-20.2055381592495</v>
      </c>
      <c r="E1819" s="23"/>
      <c r="F1819" s="23"/>
      <c r="G1819" s="23"/>
      <c r="H1819" s="23"/>
      <c r="I1819" s="23"/>
      <c r="J1819" s="23"/>
      <c r="K1819" s="23"/>
      <c r="L1819" s="49"/>
    </row>
    <row r="1820" customFormat="false" ht="15" hidden="true" customHeight="false" outlineLevel="1" collapsed="false">
      <c r="A1820" s="20" t="n">
        <v>125</v>
      </c>
      <c r="B1820" s="6" t="s">
        <v>83</v>
      </c>
      <c r="C1820" s="20" t="s">
        <v>68</v>
      </c>
      <c r="D1820" s="55" t="n">
        <f aca="false">IFERROR(IRR(F1805:J1805),"н/д")</f>
        <v>-0.144910878883158</v>
      </c>
      <c r="E1820" s="23"/>
      <c r="F1820" s="23"/>
      <c r="G1820" s="23"/>
      <c r="H1820" s="23"/>
      <c r="I1820" s="23"/>
      <c r="J1820" s="23"/>
      <c r="K1820" s="23"/>
      <c r="L1820" s="49"/>
    </row>
    <row r="1821" customFormat="false" ht="15" hidden="true" customHeight="false" outlineLevel="1" collapsed="false">
      <c r="A1821" s="20" t="n">
        <v>126</v>
      </c>
      <c r="B1821" s="6" t="s">
        <v>13</v>
      </c>
      <c r="C1821" s="20" t="s">
        <v>79</v>
      </c>
      <c r="D1821" s="56" t="n">
        <f aca="false">IF(COUNT(F1806:J1806)=0,"после 2031",MIN(F1806:J1806))</f>
        <v>2031</v>
      </c>
      <c r="E1821" s="23"/>
      <c r="F1821" s="23"/>
      <c r="G1821" s="23"/>
      <c r="H1821" s="23"/>
      <c r="I1821" s="23"/>
      <c r="J1821" s="23"/>
      <c r="K1821" s="23"/>
      <c r="L1821" s="49"/>
    </row>
    <row r="1822" customFormat="false" ht="15" hidden="true" customHeight="false" outlineLevel="1" collapsed="false">
      <c r="A1822" s="20" t="n">
        <v>127</v>
      </c>
      <c r="B1822" s="6" t="s">
        <v>703</v>
      </c>
      <c r="C1822" s="20" t="s">
        <v>79</v>
      </c>
      <c r="D1822" s="56" t="str">
        <f aca="false">IF(COUNT(F1807:J1807)=0,"после 2031",MIN(F1807:J1807))</f>
        <v>после 2031</v>
      </c>
      <c r="E1822" s="23"/>
      <c r="F1822" s="23"/>
      <c r="G1822" s="23"/>
      <c r="H1822" s="23"/>
      <c r="I1822" s="23"/>
      <c r="J1822" s="23"/>
      <c r="K1822" s="23"/>
      <c r="L1822" s="49"/>
    </row>
    <row r="1825" customFormat="false" ht="15" hidden="true" customHeight="false" outlineLevel="1" collapsed="false">
      <c r="A1825" s="57" t="s">
        <v>736</v>
      </c>
    </row>
    <row r="1826" customFormat="false" ht="30" hidden="true" customHeight="true" outlineLevel="1" collapsed="false">
      <c r="A1826" s="4" t="s">
        <v>49</v>
      </c>
      <c r="B1826" s="4" t="s">
        <v>3</v>
      </c>
      <c r="C1826" s="5" t="s">
        <v>50</v>
      </c>
      <c r="D1826" s="5" t="s">
        <v>551</v>
      </c>
      <c r="E1826" s="5" t="s">
        <v>356</v>
      </c>
      <c r="F1826" s="5" t="s">
        <v>86</v>
      </c>
      <c r="G1826" s="5" t="s">
        <v>87</v>
      </c>
      <c r="H1826" s="5" t="s">
        <v>88</v>
      </c>
      <c r="I1826" s="5" t="s">
        <v>89</v>
      </c>
      <c r="J1826" s="5" t="s">
        <v>90</v>
      </c>
      <c r="K1826" s="5" t="s">
        <v>552</v>
      </c>
      <c r="L1826" s="5" t="s">
        <v>393</v>
      </c>
    </row>
    <row r="1827" customFormat="false" ht="15" hidden="true" customHeight="false" outlineLevel="1" collapsed="false">
      <c r="A1827" s="19" t="s">
        <v>553</v>
      </c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</row>
    <row r="1828" customFormat="false" ht="15" hidden="true" customHeight="false" outlineLevel="1" collapsed="false">
      <c r="A1828" s="20" t="n">
        <v>1</v>
      </c>
      <c r="B1828" s="6" t="s">
        <v>554</v>
      </c>
      <c r="C1828" s="20" t="s">
        <v>79</v>
      </c>
      <c r="D1828" s="10" t="n">
        <f aca="false">Допущения!$E$49</f>
        <v>2027</v>
      </c>
      <c r="E1828" s="23"/>
      <c r="F1828" s="23"/>
      <c r="G1828" s="23"/>
      <c r="H1828" s="23"/>
      <c r="I1828" s="23"/>
      <c r="J1828" s="23"/>
      <c r="K1828" s="23"/>
      <c r="L1828" s="49"/>
    </row>
    <row r="1829" customFormat="false" ht="15" hidden="true" customHeight="false" outlineLevel="1" collapsed="false">
      <c r="A1829" s="20" t="n">
        <v>2</v>
      </c>
      <c r="B1829" s="6" t="s">
        <v>555</v>
      </c>
      <c r="C1829" s="20" t="s">
        <v>105</v>
      </c>
      <c r="D1829" s="45" t="n">
        <f aca="false">Допущения!$E$7</f>
        <v>1.8</v>
      </c>
      <c r="E1829" s="23"/>
      <c r="F1829" s="23"/>
      <c r="G1829" s="23"/>
      <c r="H1829" s="23"/>
      <c r="I1829" s="23"/>
      <c r="J1829" s="23"/>
      <c r="K1829" s="23"/>
      <c r="L1829" s="49"/>
    </row>
    <row r="1830" customFormat="false" ht="15" hidden="true" customHeight="false" outlineLevel="1" collapsed="false">
      <c r="A1830" s="20" t="n">
        <v>3</v>
      </c>
      <c r="B1830" s="6" t="s">
        <v>556</v>
      </c>
      <c r="C1830" s="20" t="s">
        <v>55</v>
      </c>
      <c r="D1830" s="9" t="n">
        <f aca="false">Допущения!$E$42</f>
        <v>6</v>
      </c>
      <c r="E1830" s="23"/>
      <c r="F1830" s="23"/>
      <c r="G1830" s="23"/>
      <c r="H1830" s="23"/>
      <c r="I1830" s="23"/>
      <c r="J1830" s="23"/>
      <c r="K1830" s="23"/>
      <c r="L1830" s="49"/>
    </row>
    <row r="1831" customFormat="false" ht="15" hidden="true" customHeight="false" outlineLevel="1" collapsed="false">
      <c r="A1831" s="20" t="n">
        <v>4</v>
      </c>
      <c r="B1831" s="6" t="s">
        <v>557</v>
      </c>
      <c r="C1831" s="20" t="s">
        <v>244</v>
      </c>
      <c r="D1831" s="9" t="n">
        <f aca="false">Допущения!$E$43</f>
        <v>5</v>
      </c>
      <c r="E1831" s="23"/>
      <c r="F1831" s="23"/>
      <c r="G1831" s="23"/>
      <c r="H1831" s="23"/>
      <c r="I1831" s="23"/>
      <c r="J1831" s="23"/>
      <c r="K1831" s="23"/>
      <c r="L1831" s="49"/>
    </row>
    <row r="1832" customFormat="false" ht="15" hidden="true" customHeight="false" outlineLevel="1" collapsed="false">
      <c r="A1832" s="20" t="n">
        <v>5</v>
      </c>
      <c r="B1832" s="6" t="s">
        <v>558</v>
      </c>
      <c r="C1832" s="20" t="s">
        <v>55</v>
      </c>
      <c r="D1832" s="9" t="n">
        <f aca="false">Допущения!$E$44</f>
        <v>1.5</v>
      </c>
      <c r="E1832" s="23"/>
      <c r="F1832" s="23"/>
      <c r="G1832" s="23"/>
      <c r="H1832" s="23"/>
      <c r="I1832" s="23"/>
      <c r="J1832" s="23"/>
      <c r="K1832" s="23"/>
      <c r="L1832" s="49"/>
    </row>
    <row r="1833" customFormat="false" ht="15" hidden="true" customHeight="false" outlineLevel="1" collapsed="false">
      <c r="A1833" s="20" t="n">
        <v>6</v>
      </c>
      <c r="B1833" s="6" t="s">
        <v>559</v>
      </c>
      <c r="C1833" s="20" t="s">
        <v>71</v>
      </c>
      <c r="D1833" s="9" t="n">
        <f aca="false">Допущения!$E$45</f>
        <v>8</v>
      </c>
      <c r="E1833" s="23"/>
      <c r="F1833" s="23"/>
      <c r="G1833" s="23"/>
      <c r="H1833" s="23"/>
      <c r="I1833" s="23"/>
      <c r="J1833" s="23"/>
      <c r="K1833" s="23"/>
      <c r="L1833" s="49"/>
    </row>
    <row r="1834" customFormat="false" ht="15" hidden="true" customHeight="false" outlineLevel="1" collapsed="false">
      <c r="A1834" s="20" t="n">
        <v>7</v>
      </c>
      <c r="B1834" s="6" t="s">
        <v>560</v>
      </c>
      <c r="C1834" s="20" t="s">
        <v>71</v>
      </c>
      <c r="D1834" s="9" t="n">
        <f aca="false">Допущения!$E$46</f>
        <v>2</v>
      </c>
      <c r="E1834" s="23"/>
      <c r="F1834" s="23"/>
      <c r="G1834" s="23"/>
      <c r="H1834" s="23"/>
      <c r="I1834" s="23"/>
      <c r="J1834" s="23"/>
      <c r="K1834" s="23"/>
      <c r="L1834" s="49"/>
    </row>
    <row r="1835" customFormat="false" ht="15" hidden="true" customHeight="false" outlineLevel="1" collapsed="false">
      <c r="A1835" s="20" t="n">
        <v>8</v>
      </c>
      <c r="B1835" s="6" t="s">
        <v>260</v>
      </c>
      <c r="C1835" s="20" t="s">
        <v>261</v>
      </c>
      <c r="D1835" s="22" t="n">
        <f aca="false">Допущения!$E$47</f>
        <v>0.05</v>
      </c>
      <c r="E1835" s="23"/>
      <c r="F1835" s="23"/>
      <c r="G1835" s="23"/>
      <c r="H1835" s="23"/>
      <c r="I1835" s="23"/>
      <c r="J1835" s="23"/>
      <c r="K1835" s="23"/>
      <c r="L1835" s="49"/>
    </row>
    <row r="1836" customFormat="false" ht="15" hidden="true" customHeight="false" outlineLevel="1" collapsed="false">
      <c r="A1836" s="20" t="n">
        <v>9</v>
      </c>
      <c r="B1836" s="6" t="s">
        <v>561</v>
      </c>
      <c r="C1836" s="20" t="s">
        <v>261</v>
      </c>
      <c r="D1836" s="22" t="n">
        <f aca="false">Допущения!$E$48</f>
        <v>0.15</v>
      </c>
      <c r="E1836" s="23"/>
      <c r="F1836" s="23"/>
      <c r="G1836" s="23"/>
      <c r="H1836" s="23"/>
      <c r="I1836" s="23"/>
      <c r="J1836" s="23"/>
      <c r="K1836" s="23"/>
      <c r="L1836" s="49"/>
    </row>
    <row r="1837" customFormat="false" ht="15" hidden="true" customHeight="false" outlineLevel="1" collapsed="false">
      <c r="A1837" s="20" t="n">
        <v>10</v>
      </c>
      <c r="B1837" s="6" t="s">
        <v>274</v>
      </c>
      <c r="C1837" s="20" t="s">
        <v>261</v>
      </c>
      <c r="D1837" s="22" t="n">
        <f aca="false">Допущения!$E$51</f>
        <v>0.07</v>
      </c>
      <c r="E1837" s="23"/>
      <c r="F1837" s="23"/>
      <c r="G1837" s="23"/>
      <c r="H1837" s="23"/>
      <c r="I1837" s="23"/>
      <c r="J1837" s="23"/>
      <c r="K1837" s="23"/>
      <c r="L1837" s="49"/>
    </row>
    <row r="1838" customFormat="false" ht="15" hidden="true" customHeight="false" outlineLevel="1" collapsed="false">
      <c r="A1838" s="20" t="n">
        <v>11</v>
      </c>
      <c r="B1838" s="6" t="s">
        <v>562</v>
      </c>
      <c r="C1838" s="20" t="s">
        <v>68</v>
      </c>
      <c r="D1838" s="22" t="n">
        <f aca="false">Допущения!$E$52</f>
        <v>0.15</v>
      </c>
      <c r="E1838" s="23"/>
      <c r="F1838" s="23"/>
      <c r="G1838" s="23"/>
      <c r="H1838" s="23"/>
      <c r="I1838" s="23"/>
      <c r="J1838" s="23"/>
      <c r="K1838" s="23"/>
      <c r="L1838" s="49"/>
    </row>
    <row r="1839" customFormat="false" ht="15" hidden="true" customHeight="false" outlineLevel="1" collapsed="false">
      <c r="A1839" s="20" t="n">
        <v>12</v>
      </c>
      <c r="B1839" s="6" t="s">
        <v>563</v>
      </c>
      <c r="C1839" s="20" t="s">
        <v>68</v>
      </c>
      <c r="D1839" s="22" t="n">
        <f aca="false">Допущения!$E$53</f>
        <v>0.076</v>
      </c>
      <c r="E1839" s="23"/>
      <c r="F1839" s="23"/>
      <c r="G1839" s="23"/>
      <c r="H1839" s="23"/>
      <c r="I1839" s="23"/>
      <c r="J1839" s="23"/>
      <c r="K1839" s="23"/>
      <c r="L1839" s="49"/>
    </row>
    <row r="1840" customFormat="false" ht="15" hidden="true" customHeight="false" outlineLevel="1" collapsed="false">
      <c r="A1840" s="20" t="n">
        <v>13</v>
      </c>
      <c r="B1840" s="6" t="s">
        <v>284</v>
      </c>
      <c r="C1840" s="20" t="s">
        <v>68</v>
      </c>
      <c r="D1840" s="22" t="n">
        <f aca="false">Допущения!$E$54</f>
        <v>0.002</v>
      </c>
      <c r="E1840" s="23"/>
      <c r="F1840" s="23"/>
      <c r="G1840" s="23"/>
      <c r="H1840" s="23"/>
      <c r="I1840" s="23"/>
      <c r="J1840" s="23"/>
      <c r="K1840" s="23"/>
      <c r="L1840" s="49"/>
    </row>
    <row r="1841" customFormat="false" ht="15" hidden="true" customHeight="false" outlineLevel="1" collapsed="false">
      <c r="A1841" s="20" t="n">
        <v>14</v>
      </c>
      <c r="B1841" s="6" t="s">
        <v>564</v>
      </c>
      <c r="C1841" s="20" t="s">
        <v>55</v>
      </c>
      <c r="D1841" s="50" t="n">
        <f aca="false">Допущения!$E$55</f>
        <v>2.979</v>
      </c>
      <c r="E1841" s="23"/>
      <c r="F1841" s="23"/>
      <c r="G1841" s="23"/>
      <c r="H1841" s="23"/>
      <c r="I1841" s="23"/>
      <c r="J1841" s="23"/>
      <c r="K1841" s="23"/>
      <c r="L1841" s="49"/>
    </row>
    <row r="1842" customFormat="false" ht="15" hidden="true" customHeight="false" outlineLevel="1" collapsed="false">
      <c r="A1842" s="20" t="n">
        <v>15</v>
      </c>
      <c r="B1842" s="6" t="s">
        <v>565</v>
      </c>
      <c r="C1842" s="20" t="s">
        <v>261</v>
      </c>
      <c r="D1842" s="22" t="n">
        <f aca="false">Допущения!$E$56</f>
        <v>0.08</v>
      </c>
      <c r="E1842" s="23"/>
      <c r="F1842" s="23"/>
      <c r="G1842" s="23"/>
      <c r="H1842" s="23"/>
      <c r="I1842" s="23"/>
      <c r="J1842" s="23"/>
      <c r="K1842" s="23"/>
      <c r="L1842" s="49"/>
    </row>
    <row r="1843" customFormat="false" ht="15" hidden="true" customHeight="false" outlineLevel="1" collapsed="false">
      <c r="A1843" s="20" t="n">
        <v>16</v>
      </c>
      <c r="B1843" s="6" t="s">
        <v>566</v>
      </c>
      <c r="C1843" s="20" t="s">
        <v>71</v>
      </c>
      <c r="D1843" s="9" t="n">
        <f aca="false">Допущения!$E$58*0.8</f>
        <v>2</v>
      </c>
      <c r="E1843" s="23"/>
      <c r="F1843" s="23"/>
      <c r="G1843" s="23"/>
      <c r="H1843" s="23"/>
      <c r="I1843" s="23"/>
      <c r="J1843" s="23"/>
      <c r="K1843" s="23"/>
      <c r="L1843" s="49"/>
    </row>
    <row r="1844" customFormat="false" ht="15" hidden="true" customHeight="false" outlineLevel="1" collapsed="false">
      <c r="A1844" s="20" t="n">
        <v>17</v>
      </c>
      <c r="B1844" s="6" t="s">
        <v>299</v>
      </c>
      <c r="C1844" s="20" t="s">
        <v>55</v>
      </c>
      <c r="D1844" s="9" t="n">
        <f aca="false">Допущения!$E$59*0.8</f>
        <v>0.8</v>
      </c>
      <c r="E1844" s="23"/>
      <c r="F1844" s="23"/>
      <c r="G1844" s="23"/>
      <c r="H1844" s="23"/>
      <c r="I1844" s="23"/>
      <c r="J1844" s="23"/>
      <c r="K1844" s="23"/>
      <c r="L1844" s="49"/>
    </row>
    <row r="1845" customFormat="false" ht="15" hidden="true" customHeight="false" outlineLevel="1" collapsed="false">
      <c r="A1845" s="20" t="n">
        <v>18</v>
      </c>
      <c r="B1845" s="6" t="s">
        <v>302</v>
      </c>
      <c r="C1845" s="20" t="s">
        <v>55</v>
      </c>
      <c r="D1845" s="9" t="n">
        <f aca="false">Допущения!$E$60*0.8</f>
        <v>0.48</v>
      </c>
      <c r="E1845" s="23"/>
      <c r="F1845" s="23"/>
      <c r="G1845" s="23"/>
      <c r="H1845" s="23"/>
      <c r="I1845" s="23"/>
      <c r="J1845" s="23"/>
      <c r="K1845" s="23"/>
      <c r="L1845" s="49"/>
    </row>
    <row r="1846" customFormat="false" ht="15" hidden="true" customHeight="false" outlineLevel="1" collapsed="false">
      <c r="A1846" s="20" t="n">
        <v>19</v>
      </c>
      <c r="B1846" s="6" t="s">
        <v>567</v>
      </c>
      <c r="C1846" s="20" t="s">
        <v>55</v>
      </c>
      <c r="D1846" s="45" t="n">
        <f aca="false">Допущения!$E$61*0.8</f>
        <v>0.12</v>
      </c>
      <c r="E1846" s="23"/>
      <c r="F1846" s="23"/>
      <c r="G1846" s="23"/>
      <c r="H1846" s="23"/>
      <c r="I1846" s="23"/>
      <c r="J1846" s="23"/>
      <c r="K1846" s="23"/>
      <c r="L1846" s="49"/>
    </row>
    <row r="1847" customFormat="false" ht="15" hidden="true" customHeight="false" outlineLevel="1" collapsed="false">
      <c r="A1847" s="20" t="n">
        <v>20</v>
      </c>
      <c r="B1847" s="6" t="s">
        <v>568</v>
      </c>
      <c r="C1847" s="20" t="s">
        <v>55</v>
      </c>
      <c r="D1847" s="9" t="n">
        <f aca="false">Допущения!$E$62*0.8</f>
        <v>0.8</v>
      </c>
      <c r="E1847" s="23"/>
      <c r="F1847" s="23"/>
      <c r="G1847" s="23"/>
      <c r="H1847" s="23"/>
      <c r="I1847" s="23"/>
      <c r="J1847" s="23"/>
      <c r="K1847" s="23"/>
      <c r="L1847" s="49"/>
    </row>
    <row r="1848" customFormat="false" ht="15" hidden="true" customHeight="false" outlineLevel="1" collapsed="false">
      <c r="A1848" s="20" t="n">
        <v>21</v>
      </c>
      <c r="B1848" s="6" t="s">
        <v>569</v>
      </c>
      <c r="C1848" s="20" t="s">
        <v>71</v>
      </c>
      <c r="D1848" s="9" t="n">
        <f aca="false">Допущения!$E$63*0.8</f>
        <v>0.32</v>
      </c>
      <c r="E1848" s="23"/>
      <c r="F1848" s="23"/>
      <c r="G1848" s="23"/>
      <c r="H1848" s="23"/>
      <c r="I1848" s="23"/>
      <c r="J1848" s="23"/>
      <c r="K1848" s="23"/>
      <c r="L1848" s="49"/>
    </row>
    <row r="1849" customFormat="false" ht="15" hidden="true" customHeight="false" outlineLevel="1" collapsed="false">
      <c r="A1849" s="20" t="n">
        <v>22</v>
      </c>
      <c r="B1849" s="6" t="s">
        <v>314</v>
      </c>
      <c r="C1849" s="20" t="s">
        <v>55</v>
      </c>
      <c r="D1849" s="9" t="n">
        <f aca="false">Допущения!$E$64*0.8</f>
        <v>0.96</v>
      </c>
      <c r="E1849" s="23"/>
      <c r="F1849" s="23"/>
      <c r="G1849" s="23"/>
      <c r="H1849" s="23"/>
      <c r="I1849" s="23"/>
      <c r="J1849" s="23"/>
      <c r="K1849" s="23"/>
      <c r="L1849" s="49"/>
    </row>
    <row r="1850" customFormat="false" ht="15" hidden="true" customHeight="false" outlineLevel="1" collapsed="false">
      <c r="A1850" s="20" t="n">
        <v>23</v>
      </c>
      <c r="B1850" s="6" t="s">
        <v>317</v>
      </c>
      <c r="C1850" s="20" t="s">
        <v>55</v>
      </c>
      <c r="D1850" s="45" t="n">
        <f aca="false">Допущения!$E$65*0.8</f>
        <v>0.08</v>
      </c>
      <c r="E1850" s="23"/>
      <c r="F1850" s="23"/>
      <c r="G1850" s="23"/>
      <c r="H1850" s="23"/>
      <c r="I1850" s="23"/>
      <c r="J1850" s="23"/>
      <c r="K1850" s="23"/>
      <c r="L1850" s="49"/>
    </row>
    <row r="1851" customFormat="false" ht="15" hidden="true" customHeight="false" outlineLevel="1" collapsed="false">
      <c r="A1851" s="20" t="n">
        <v>24</v>
      </c>
      <c r="B1851" s="6" t="s">
        <v>320</v>
      </c>
      <c r="C1851" s="20" t="s">
        <v>71</v>
      </c>
      <c r="D1851" s="45" t="n">
        <f aca="false">Допущения!$E$66*0.8</f>
        <v>0.2</v>
      </c>
      <c r="E1851" s="23"/>
      <c r="F1851" s="23"/>
      <c r="G1851" s="23"/>
      <c r="H1851" s="23"/>
      <c r="I1851" s="23"/>
      <c r="J1851" s="23"/>
      <c r="K1851" s="23"/>
      <c r="L1851" s="49"/>
    </row>
    <row r="1852" customFormat="false" ht="15" hidden="true" customHeight="false" outlineLevel="1" collapsed="false">
      <c r="A1852" s="20" t="n">
        <v>25</v>
      </c>
      <c r="B1852" s="6" t="s">
        <v>570</v>
      </c>
      <c r="C1852" s="20" t="s">
        <v>71</v>
      </c>
      <c r="D1852" s="9" t="n">
        <f aca="false">Допущения!$E$67*0.8</f>
        <v>0.24</v>
      </c>
      <c r="E1852" s="23"/>
      <c r="F1852" s="23"/>
      <c r="G1852" s="23"/>
      <c r="H1852" s="23"/>
      <c r="I1852" s="23"/>
      <c r="J1852" s="23"/>
      <c r="K1852" s="23"/>
      <c r="L1852" s="49"/>
    </row>
    <row r="1853" customFormat="false" ht="15" hidden="true" customHeight="false" outlineLevel="1" collapsed="false">
      <c r="A1853" s="20" t="n">
        <v>26</v>
      </c>
      <c r="B1853" s="6" t="s">
        <v>326</v>
      </c>
      <c r="C1853" s="20" t="s">
        <v>261</v>
      </c>
      <c r="D1853" s="22" t="n">
        <f aca="false">Допущения!$E$68</f>
        <v>0.05</v>
      </c>
      <c r="E1853" s="23"/>
      <c r="F1853" s="23"/>
      <c r="G1853" s="23"/>
      <c r="H1853" s="23"/>
      <c r="I1853" s="23"/>
      <c r="J1853" s="23"/>
      <c r="K1853" s="23"/>
      <c r="L1853" s="49"/>
    </row>
    <row r="1854" customFormat="false" ht="15" hidden="true" customHeight="false" outlineLevel="1" collapsed="false">
      <c r="A1854" s="20" t="n">
        <v>27</v>
      </c>
      <c r="B1854" s="6" t="s">
        <v>571</v>
      </c>
      <c r="C1854" s="20" t="s">
        <v>330</v>
      </c>
      <c r="D1854" s="22" t="n">
        <f aca="false">Допущения!$E$69</f>
        <v>0.1</v>
      </c>
      <c r="E1854" s="23"/>
      <c r="F1854" s="23"/>
      <c r="G1854" s="23"/>
      <c r="H1854" s="23"/>
      <c r="I1854" s="23"/>
      <c r="J1854" s="23"/>
      <c r="K1854" s="23"/>
      <c r="L1854" s="49"/>
    </row>
    <row r="1855" customFormat="false" ht="15" hidden="true" customHeight="false" outlineLevel="1" collapsed="false">
      <c r="A1855" s="20" t="n">
        <v>28</v>
      </c>
      <c r="B1855" s="6" t="s">
        <v>572</v>
      </c>
      <c r="C1855" s="20" t="s">
        <v>68</v>
      </c>
      <c r="D1855" s="22" t="n">
        <f aca="false">Допущения!$E$71</f>
        <v>0.05</v>
      </c>
      <c r="E1855" s="23"/>
      <c r="F1855" s="23"/>
      <c r="G1855" s="23"/>
      <c r="H1855" s="23"/>
      <c r="I1855" s="23"/>
      <c r="J1855" s="23"/>
      <c r="K1855" s="23"/>
      <c r="L1855" s="49"/>
    </row>
    <row r="1856" customFormat="false" ht="15" hidden="true" customHeight="false" outlineLevel="1" collapsed="false">
      <c r="A1856" s="20" t="n">
        <v>29</v>
      </c>
      <c r="B1856" s="6" t="s">
        <v>573</v>
      </c>
      <c r="C1856" s="20" t="s">
        <v>68</v>
      </c>
      <c r="D1856" s="22" t="n">
        <f aca="false">Допущения!$E$72</f>
        <v>0.5</v>
      </c>
      <c r="E1856" s="23"/>
      <c r="F1856" s="23"/>
      <c r="G1856" s="23"/>
      <c r="H1856" s="23"/>
      <c r="I1856" s="23"/>
      <c r="J1856" s="23"/>
      <c r="K1856" s="23"/>
      <c r="L1856" s="49"/>
    </row>
    <row r="1857" customFormat="false" ht="15" hidden="true" customHeight="false" outlineLevel="1" collapsed="false">
      <c r="A1857" s="20" t="n">
        <v>30</v>
      </c>
      <c r="B1857" s="6" t="s">
        <v>574</v>
      </c>
      <c r="C1857" s="20" t="s">
        <v>575</v>
      </c>
      <c r="D1857" s="7" t="n">
        <f aca="false">Допущения!$E$73</f>
        <v>90</v>
      </c>
      <c r="E1857" s="23"/>
      <c r="F1857" s="23"/>
      <c r="G1857" s="23"/>
      <c r="H1857" s="23"/>
      <c r="I1857" s="23"/>
      <c r="J1857" s="23"/>
      <c r="K1857" s="23"/>
      <c r="L1857" s="49"/>
    </row>
    <row r="1858" customFormat="false" ht="15" hidden="true" customHeight="false" outlineLevel="1" collapsed="false">
      <c r="A1858" s="20" t="n">
        <v>31</v>
      </c>
      <c r="B1858" s="6" t="s">
        <v>345</v>
      </c>
      <c r="C1858" s="20" t="s">
        <v>68</v>
      </c>
      <c r="D1858" s="22" t="n">
        <f aca="false">Допущения!$E$74</f>
        <v>0.3</v>
      </c>
      <c r="E1858" s="23"/>
      <c r="F1858" s="23"/>
      <c r="G1858" s="23"/>
      <c r="H1858" s="23"/>
      <c r="I1858" s="23"/>
      <c r="J1858" s="23"/>
      <c r="K1858" s="23"/>
      <c r="L1858" s="49"/>
    </row>
    <row r="1859" customFormat="false" ht="15" hidden="true" customHeight="false" outlineLevel="1" collapsed="false">
      <c r="A1859" s="20" t="n">
        <v>32</v>
      </c>
      <c r="B1859" s="6" t="s">
        <v>576</v>
      </c>
      <c r="C1859" s="20" t="s">
        <v>261</v>
      </c>
      <c r="D1859" s="22" t="n">
        <f aca="false">Допущения!$E$75</f>
        <v>0.04</v>
      </c>
      <c r="E1859" s="23"/>
      <c r="F1859" s="23"/>
      <c r="G1859" s="23"/>
      <c r="H1859" s="23"/>
      <c r="I1859" s="23"/>
      <c r="J1859" s="23"/>
      <c r="K1859" s="23"/>
      <c r="L1859" s="49"/>
    </row>
    <row r="1860" customFormat="false" ht="15" hidden="true" customHeight="false" outlineLevel="1" collapsed="false">
      <c r="A1860" s="20" t="n">
        <v>33</v>
      </c>
      <c r="B1860" s="6" t="s">
        <v>577</v>
      </c>
      <c r="C1860" s="20" t="s">
        <v>68</v>
      </c>
      <c r="D1860" s="22" t="n">
        <f aca="false">Допущения!$E$76</f>
        <v>0.2</v>
      </c>
      <c r="E1860" s="23"/>
      <c r="F1860" s="23"/>
      <c r="G1860" s="23"/>
      <c r="H1860" s="23"/>
      <c r="I1860" s="23"/>
      <c r="J1860" s="23"/>
      <c r="K1860" s="23"/>
      <c r="L1860" s="49"/>
    </row>
    <row r="1861" customFormat="false" ht="15" hidden="true" customHeight="false" outlineLevel="1" collapsed="false">
      <c r="A1861" s="20" t="n">
        <v>34</v>
      </c>
      <c r="B1861" s="6" t="s">
        <v>578</v>
      </c>
      <c r="C1861" s="20" t="s">
        <v>105</v>
      </c>
      <c r="D1861" s="50" t="n">
        <f aca="false">Рынок!$E$30</f>
        <v>0.490909090909091</v>
      </c>
      <c r="E1861" s="23"/>
      <c r="F1861" s="23"/>
      <c r="G1861" s="23"/>
      <c r="H1861" s="23"/>
      <c r="I1861" s="23"/>
      <c r="J1861" s="23"/>
      <c r="K1861" s="23"/>
      <c r="L1861" s="49" t="s">
        <v>579</v>
      </c>
    </row>
    <row r="1862" customFormat="false" ht="15" hidden="true" customHeight="false" outlineLevel="1" collapsed="false">
      <c r="A1862" s="20" t="n">
        <v>35</v>
      </c>
      <c r="B1862" s="6" t="s">
        <v>580</v>
      </c>
      <c r="C1862" s="20" t="s">
        <v>105</v>
      </c>
      <c r="D1862" s="50" t="n">
        <f aca="false">Рынок!$E$31</f>
        <v>0.028125</v>
      </c>
      <c r="E1862" s="23"/>
      <c r="F1862" s="23"/>
      <c r="G1862" s="23"/>
      <c r="H1862" s="23"/>
      <c r="I1862" s="23"/>
      <c r="J1862" s="23"/>
      <c r="K1862" s="23"/>
      <c r="L1862" s="49" t="s">
        <v>579</v>
      </c>
    </row>
    <row r="1863" customFormat="false" ht="15" hidden="true" customHeight="false" outlineLevel="1" collapsed="false">
      <c r="A1863" s="20" t="n">
        <v>36</v>
      </c>
      <c r="B1863" s="6" t="s">
        <v>581</v>
      </c>
      <c r="C1863" s="20" t="s">
        <v>142</v>
      </c>
      <c r="D1863" s="7" t="n">
        <f aca="false">План!$D$18</f>
        <v>200</v>
      </c>
      <c r="E1863" s="23"/>
      <c r="F1863" s="23"/>
      <c r="G1863" s="23"/>
      <c r="H1863" s="23"/>
      <c r="I1863" s="23"/>
      <c r="J1863" s="23"/>
      <c r="K1863" s="23"/>
      <c r="L1863" s="49" t="s">
        <v>582</v>
      </c>
    </row>
    <row r="1864" customFormat="false" ht="15" hidden="true" customHeight="false" outlineLevel="1" collapsed="false">
      <c r="A1864" s="20" t="n">
        <v>37</v>
      </c>
      <c r="B1864" s="6" t="s">
        <v>583</v>
      </c>
      <c r="C1864" s="20" t="s">
        <v>142</v>
      </c>
      <c r="D1864" s="7" t="n">
        <f aca="false">План!$D$19</f>
        <v>280</v>
      </c>
      <c r="E1864" s="23"/>
      <c r="F1864" s="23"/>
      <c r="G1864" s="23"/>
      <c r="H1864" s="23"/>
      <c r="I1864" s="23"/>
      <c r="J1864" s="23"/>
      <c r="K1864" s="23"/>
      <c r="L1864" s="49" t="s">
        <v>582</v>
      </c>
    </row>
    <row r="1865" customFormat="false" ht="15" hidden="true" customHeight="false" outlineLevel="1" collapsed="false">
      <c r="A1865" s="20" t="n">
        <v>38</v>
      </c>
      <c r="B1865" s="6" t="s">
        <v>584</v>
      </c>
      <c r="C1865" s="20" t="s">
        <v>142</v>
      </c>
      <c r="D1865" s="7" t="n">
        <f aca="false">План!$D$20</f>
        <v>230</v>
      </c>
      <c r="E1865" s="23"/>
      <c r="F1865" s="23"/>
      <c r="G1865" s="23"/>
      <c r="H1865" s="23"/>
      <c r="I1865" s="23"/>
      <c r="J1865" s="23"/>
      <c r="K1865" s="23"/>
      <c r="L1865" s="49" t="s">
        <v>582</v>
      </c>
    </row>
    <row r="1866" customFormat="false" ht="15" hidden="true" customHeight="false" outlineLevel="1" collapsed="false">
      <c r="A1866" s="20" t="n">
        <v>39</v>
      </c>
      <c r="B1866" s="6" t="s">
        <v>585</v>
      </c>
      <c r="C1866" s="20" t="s">
        <v>142</v>
      </c>
      <c r="D1866" s="7" t="n">
        <f aca="false">План!$D$21</f>
        <v>220</v>
      </c>
      <c r="E1866" s="23"/>
      <c r="F1866" s="23"/>
      <c r="G1866" s="23"/>
      <c r="H1866" s="23"/>
      <c r="I1866" s="23"/>
      <c r="J1866" s="23"/>
      <c r="K1866" s="23"/>
      <c r="L1866" s="49" t="s">
        <v>582</v>
      </c>
    </row>
    <row r="1867" customFormat="false" ht="15" hidden="true" customHeight="false" outlineLevel="1" collapsed="false">
      <c r="A1867" s="20" t="n">
        <v>40</v>
      </c>
      <c r="B1867" s="6" t="s">
        <v>586</v>
      </c>
      <c r="C1867" s="20" t="s">
        <v>142</v>
      </c>
      <c r="D1867" s="7" t="n">
        <f aca="false">План!$D$22</f>
        <v>250</v>
      </c>
      <c r="E1867" s="23"/>
      <c r="F1867" s="23"/>
      <c r="G1867" s="23"/>
      <c r="H1867" s="23"/>
      <c r="I1867" s="23"/>
      <c r="J1867" s="23"/>
      <c r="K1867" s="23"/>
      <c r="L1867" s="49" t="s">
        <v>582</v>
      </c>
    </row>
    <row r="1868" customFormat="false" ht="15" hidden="true" customHeight="false" outlineLevel="1" collapsed="false">
      <c r="A1868" s="20" t="n">
        <v>41</v>
      </c>
      <c r="B1868" s="6" t="s">
        <v>587</v>
      </c>
      <c r="C1868" s="20" t="s">
        <v>142</v>
      </c>
      <c r="D1868" s="7" t="n">
        <f aca="false">План!$D$23</f>
        <v>220</v>
      </c>
      <c r="E1868" s="23"/>
      <c r="F1868" s="23"/>
      <c r="G1868" s="23"/>
      <c r="H1868" s="23"/>
      <c r="I1868" s="23"/>
      <c r="J1868" s="23"/>
      <c r="K1868" s="23"/>
      <c r="L1868" s="49" t="s">
        <v>582</v>
      </c>
    </row>
    <row r="1869" customFormat="false" ht="15" hidden="true" customHeight="false" outlineLevel="1" collapsed="false">
      <c r="A1869" s="20" t="n">
        <v>42</v>
      </c>
      <c r="B1869" s="6" t="s">
        <v>359</v>
      </c>
      <c r="C1869" s="20" t="s">
        <v>76</v>
      </c>
      <c r="D1869" s="23"/>
      <c r="E1869" s="9" t="n">
        <f aca="false">План!E16</f>
        <v>0</v>
      </c>
      <c r="F1869" s="9" t="n">
        <f aca="false">План!F16</f>
        <v>0</v>
      </c>
      <c r="G1869" s="9" t="n">
        <f aca="false">План!G16</f>
        <v>0</v>
      </c>
      <c r="H1869" s="9" t="n">
        <f aca="false">План!H16</f>
        <v>1</v>
      </c>
      <c r="I1869" s="9" t="n">
        <f aca="false">План!I16</f>
        <v>0</v>
      </c>
      <c r="J1869" s="9" t="n">
        <f aca="false">План!J16</f>
        <v>1</v>
      </c>
      <c r="K1869" s="51" t="n">
        <f aca="false">SUM(F1869:J1869)</f>
        <v>2</v>
      </c>
      <c r="L1869" s="49" t="s">
        <v>582</v>
      </c>
    </row>
    <row r="1870" customFormat="false" ht="15" hidden="true" customHeight="false" outlineLevel="1" collapsed="false">
      <c r="A1870" s="20" t="n">
        <v>43</v>
      </c>
      <c r="B1870" s="6" t="s">
        <v>361</v>
      </c>
      <c r="C1870" s="20" t="s">
        <v>76</v>
      </c>
      <c r="D1870" s="23"/>
      <c r="E1870" s="9" t="n">
        <f aca="false">План!E17</f>
        <v>0</v>
      </c>
      <c r="F1870" s="9" t="n">
        <f aca="false">План!F17</f>
        <v>0</v>
      </c>
      <c r="G1870" s="9" t="n">
        <f aca="false">План!G17</f>
        <v>1</v>
      </c>
      <c r="H1870" s="9" t="n">
        <f aca="false">План!H17</f>
        <v>2</v>
      </c>
      <c r="I1870" s="9" t="n">
        <f aca="false">План!I17</f>
        <v>2</v>
      </c>
      <c r="J1870" s="9" t="n">
        <f aca="false">План!J17</f>
        <v>3</v>
      </c>
      <c r="K1870" s="51" t="n">
        <f aca="false">SUM(F1870:J1870)</f>
        <v>8</v>
      </c>
      <c r="L1870" s="49" t="s">
        <v>582</v>
      </c>
    </row>
    <row r="1871" customFormat="false" ht="15" hidden="true" customHeight="false" outlineLevel="1" collapsed="false">
      <c r="A1871" s="20" t="n">
        <v>44</v>
      </c>
      <c r="B1871" s="6" t="s">
        <v>588</v>
      </c>
      <c r="C1871" s="20" t="s">
        <v>53</v>
      </c>
      <c r="D1871" s="23"/>
      <c r="E1871" s="9" t="n">
        <f aca="false">План!E18</f>
        <v>2</v>
      </c>
      <c r="F1871" s="9" t="n">
        <f aca="false">План!F18</f>
        <v>2</v>
      </c>
      <c r="G1871" s="9" t="n">
        <f aca="false">План!G18</f>
        <v>2</v>
      </c>
      <c r="H1871" s="9" t="n">
        <f aca="false">План!H18</f>
        <v>2</v>
      </c>
      <c r="I1871" s="9" t="n">
        <f aca="false">План!I18</f>
        <v>2</v>
      </c>
      <c r="J1871" s="9" t="n">
        <f aca="false">План!J18</f>
        <v>2</v>
      </c>
      <c r="K1871" s="23"/>
      <c r="L1871" s="49" t="s">
        <v>582</v>
      </c>
    </row>
    <row r="1872" customFormat="false" ht="15" hidden="true" customHeight="false" outlineLevel="1" collapsed="false">
      <c r="A1872" s="20" t="n">
        <v>45</v>
      </c>
      <c r="B1872" s="6" t="s">
        <v>589</v>
      </c>
      <c r="C1872" s="20" t="s">
        <v>53</v>
      </c>
      <c r="D1872" s="23"/>
      <c r="E1872" s="9" t="n">
        <f aca="false">План!E19</f>
        <v>0</v>
      </c>
      <c r="F1872" s="9" t="n">
        <f aca="false">План!F19</f>
        <v>1</v>
      </c>
      <c r="G1872" s="9" t="n">
        <f aca="false">План!G19</f>
        <v>1</v>
      </c>
      <c r="H1872" s="9" t="n">
        <f aca="false">План!H19</f>
        <v>1</v>
      </c>
      <c r="I1872" s="9" t="n">
        <f aca="false">План!I19</f>
        <v>2</v>
      </c>
      <c r="J1872" s="9" t="n">
        <f aca="false">План!J19</f>
        <v>2</v>
      </c>
      <c r="K1872" s="23"/>
      <c r="L1872" s="49" t="s">
        <v>582</v>
      </c>
    </row>
    <row r="1873" customFormat="false" ht="15" hidden="true" customHeight="false" outlineLevel="1" collapsed="false">
      <c r="A1873" s="20" t="n">
        <v>46</v>
      </c>
      <c r="B1873" s="6" t="s">
        <v>590</v>
      </c>
      <c r="C1873" s="20" t="s">
        <v>53</v>
      </c>
      <c r="D1873" s="23"/>
      <c r="E1873" s="9" t="n">
        <f aca="false">План!E20</f>
        <v>0</v>
      </c>
      <c r="F1873" s="9" t="n">
        <f aca="false">План!F20</f>
        <v>1</v>
      </c>
      <c r="G1873" s="9" t="n">
        <f aca="false">План!G20</f>
        <v>1</v>
      </c>
      <c r="H1873" s="9" t="n">
        <f aca="false">План!H20</f>
        <v>1</v>
      </c>
      <c r="I1873" s="9" t="n">
        <f aca="false">План!I20</f>
        <v>1</v>
      </c>
      <c r="J1873" s="9" t="n">
        <f aca="false">План!J20</f>
        <v>1</v>
      </c>
      <c r="K1873" s="23"/>
      <c r="L1873" s="49" t="s">
        <v>582</v>
      </c>
    </row>
    <row r="1874" customFormat="false" ht="15" hidden="true" customHeight="false" outlineLevel="1" collapsed="false">
      <c r="A1874" s="20" t="n">
        <v>47</v>
      </c>
      <c r="B1874" s="6" t="s">
        <v>591</v>
      </c>
      <c r="C1874" s="20" t="s">
        <v>53</v>
      </c>
      <c r="D1874" s="23"/>
      <c r="E1874" s="9" t="n">
        <f aca="false">План!E21</f>
        <v>0</v>
      </c>
      <c r="F1874" s="9" t="n">
        <f aca="false">План!F21</f>
        <v>0</v>
      </c>
      <c r="G1874" s="9" t="n">
        <f aca="false">План!G21</f>
        <v>1</v>
      </c>
      <c r="H1874" s="9" t="n">
        <f aca="false">План!H21</f>
        <v>1</v>
      </c>
      <c r="I1874" s="9" t="n">
        <f aca="false">План!I21</f>
        <v>1</v>
      </c>
      <c r="J1874" s="9" t="n">
        <f aca="false">План!J21</f>
        <v>1</v>
      </c>
      <c r="K1874" s="23"/>
      <c r="L1874" s="49" t="s">
        <v>582</v>
      </c>
    </row>
    <row r="1875" customFormat="false" ht="15" hidden="true" customHeight="false" outlineLevel="1" collapsed="false">
      <c r="A1875" s="20" t="n">
        <v>48</v>
      </c>
      <c r="B1875" s="6" t="s">
        <v>592</v>
      </c>
      <c r="C1875" s="20" t="s">
        <v>53</v>
      </c>
      <c r="D1875" s="23"/>
      <c r="E1875" s="9" t="n">
        <f aca="false">План!E22</f>
        <v>0</v>
      </c>
      <c r="F1875" s="9" t="n">
        <f aca="false">План!F22</f>
        <v>0</v>
      </c>
      <c r="G1875" s="9" t="n">
        <f aca="false">План!G22</f>
        <v>0</v>
      </c>
      <c r="H1875" s="9" t="n">
        <f aca="false">План!H22</f>
        <v>1</v>
      </c>
      <c r="I1875" s="9" t="n">
        <f aca="false">План!I22</f>
        <v>1</v>
      </c>
      <c r="J1875" s="9" t="n">
        <f aca="false">План!J22</f>
        <v>1</v>
      </c>
      <c r="K1875" s="23"/>
      <c r="L1875" s="49" t="s">
        <v>582</v>
      </c>
    </row>
    <row r="1876" customFormat="false" ht="15" hidden="true" customHeight="false" outlineLevel="1" collapsed="false">
      <c r="A1876" s="20" t="n">
        <v>49</v>
      </c>
      <c r="B1876" s="6" t="s">
        <v>593</v>
      </c>
      <c r="C1876" s="20" t="s">
        <v>53</v>
      </c>
      <c r="D1876" s="23"/>
      <c r="E1876" s="9" t="n">
        <f aca="false">План!E23</f>
        <v>0</v>
      </c>
      <c r="F1876" s="9" t="n">
        <f aca="false">План!F23</f>
        <v>0</v>
      </c>
      <c r="G1876" s="9" t="n">
        <f aca="false">План!G23</f>
        <v>0</v>
      </c>
      <c r="H1876" s="9" t="n">
        <f aca="false">План!H23</f>
        <v>0</v>
      </c>
      <c r="I1876" s="9" t="n">
        <f aca="false">План!I23</f>
        <v>0</v>
      </c>
      <c r="J1876" s="9" t="n">
        <f aca="false">План!J23</f>
        <v>1</v>
      </c>
      <c r="K1876" s="23"/>
      <c r="L1876" s="49" t="s">
        <v>582</v>
      </c>
    </row>
    <row r="1877" customFormat="false" ht="15" hidden="true" customHeight="false" outlineLevel="1" collapsed="false">
      <c r="A1877" s="19" t="s">
        <v>594</v>
      </c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</row>
    <row r="1878" customFormat="false" ht="15" hidden="true" customHeight="false" outlineLevel="1" collapsed="false">
      <c r="A1878" s="20" t="n">
        <v>50</v>
      </c>
      <c r="B1878" s="6" t="s">
        <v>595</v>
      </c>
      <c r="C1878" s="20"/>
      <c r="D1878" s="23"/>
      <c r="E1878" s="10" t="n">
        <f aca="false">Допущения!$D$3</f>
        <v>2026</v>
      </c>
      <c r="F1878" s="52" t="n">
        <f aca="false">E1878+1</f>
        <v>2027</v>
      </c>
      <c r="G1878" s="52" t="n">
        <f aca="false">F1878+1</f>
        <v>2028</v>
      </c>
      <c r="H1878" s="52" t="n">
        <f aca="false">G1878+1</f>
        <v>2029</v>
      </c>
      <c r="I1878" s="52" t="n">
        <f aca="false">H1878+1</f>
        <v>2030</v>
      </c>
      <c r="J1878" s="52" t="n">
        <f aca="false">I1878+1</f>
        <v>2031</v>
      </c>
      <c r="K1878" s="23"/>
      <c r="L1878" s="49" t="s">
        <v>596</v>
      </c>
    </row>
    <row r="1879" customFormat="false" ht="15" hidden="true" customHeight="false" outlineLevel="1" collapsed="false">
      <c r="A1879" s="20" t="n">
        <v>51</v>
      </c>
      <c r="B1879" s="6" t="s">
        <v>597</v>
      </c>
      <c r="C1879" s="20" t="s">
        <v>62</v>
      </c>
      <c r="D1879" s="23"/>
      <c r="E1879" s="23"/>
      <c r="F1879" s="53" t="n">
        <f aca="false">(1+$D$1835)^(F$1878-$E$1878-1)</f>
        <v>1</v>
      </c>
      <c r="G1879" s="53" t="n">
        <f aca="false">(1+$D$1835)^(G$1878-$E$1878-1)</f>
        <v>1.05</v>
      </c>
      <c r="H1879" s="53" t="n">
        <f aca="false">(1+$D$1835)^(H$1878-$E$1878-1)</f>
        <v>1.1025</v>
      </c>
      <c r="I1879" s="53" t="n">
        <f aca="false">(1+$D$1835)^(I$1878-$E$1878-1)</f>
        <v>1.157625</v>
      </c>
      <c r="J1879" s="53" t="n">
        <f aca="false">(1+$D$1835)^(J$1878-$E$1878-1)</f>
        <v>1.21550625</v>
      </c>
      <c r="K1879" s="23"/>
      <c r="L1879" s="49" t="s">
        <v>598</v>
      </c>
    </row>
    <row r="1880" customFormat="false" ht="15" hidden="true" customHeight="false" outlineLevel="1" collapsed="false">
      <c r="A1880" s="20" t="n">
        <v>52</v>
      </c>
      <c r="B1880" s="6" t="s">
        <v>599</v>
      </c>
      <c r="C1880" s="20" t="s">
        <v>62</v>
      </c>
      <c r="D1880" s="23"/>
      <c r="E1880" s="23"/>
      <c r="F1880" s="53" t="n">
        <f aca="false">(1+$D$1853)^(F$1878-$E$1878-1)</f>
        <v>1</v>
      </c>
      <c r="G1880" s="53" t="n">
        <f aca="false">(1+$D$1853)^(G$1878-$E$1878-1)</f>
        <v>1.05</v>
      </c>
      <c r="H1880" s="53" t="n">
        <f aca="false">(1+$D$1853)^(H$1878-$E$1878-1)</f>
        <v>1.1025</v>
      </c>
      <c r="I1880" s="53" t="n">
        <f aca="false">(1+$D$1853)^(I$1878-$E$1878-1)</f>
        <v>1.157625</v>
      </c>
      <c r="J1880" s="53" t="n">
        <f aca="false">(1+$D$1853)^(J$1878-$E$1878-1)</f>
        <v>1.21550625</v>
      </c>
      <c r="K1880" s="23"/>
      <c r="L1880" s="49" t="s">
        <v>600</v>
      </c>
    </row>
    <row r="1881" customFormat="false" ht="15" hidden="true" customHeight="false" outlineLevel="1" collapsed="false">
      <c r="A1881" s="20" t="n">
        <v>53</v>
      </c>
      <c r="B1881" s="6" t="s">
        <v>601</v>
      </c>
      <c r="C1881" s="20" t="s">
        <v>62</v>
      </c>
      <c r="D1881" s="23"/>
      <c r="E1881" s="23"/>
      <c r="F1881" s="53" t="n">
        <f aca="false">(1+$D$1837)^(F$1878-$E$1878-1)</f>
        <v>1</v>
      </c>
      <c r="G1881" s="53" t="n">
        <f aca="false">(1+$D$1837)^(G$1878-$E$1878-1)</f>
        <v>1.07</v>
      </c>
      <c r="H1881" s="53" t="n">
        <f aca="false">(1+$D$1837)^(H$1878-$E$1878-1)</f>
        <v>1.1449</v>
      </c>
      <c r="I1881" s="53" t="n">
        <f aca="false">(1+$D$1837)^(I$1878-$E$1878-1)</f>
        <v>1.225043</v>
      </c>
      <c r="J1881" s="53" t="n">
        <f aca="false">(1+$D$1837)^(J$1878-$E$1878-1)</f>
        <v>1.31079601</v>
      </c>
      <c r="K1881" s="23"/>
      <c r="L1881" s="49" t="s">
        <v>602</v>
      </c>
    </row>
    <row r="1882" customFormat="false" ht="15" hidden="true" customHeight="false" outlineLevel="1" collapsed="false">
      <c r="A1882" s="20" t="n">
        <v>54</v>
      </c>
      <c r="B1882" s="6" t="s">
        <v>603</v>
      </c>
      <c r="C1882" s="20" t="s">
        <v>55</v>
      </c>
      <c r="D1882" s="23"/>
      <c r="E1882" s="23"/>
      <c r="F1882" s="46" t="n">
        <f aca="false">$D$1841*(1+$D$1842)^(F$1878-$E$1878)</f>
        <v>3.21732</v>
      </c>
      <c r="G1882" s="46" t="n">
        <f aca="false">$D$1841*(1+$D$1842)^(G$1878-$E$1878)</f>
        <v>3.4747056</v>
      </c>
      <c r="H1882" s="46" t="n">
        <f aca="false">$D$1841*(1+$D$1842)^(H$1878-$E$1878)</f>
        <v>3.752682048</v>
      </c>
      <c r="I1882" s="46" t="n">
        <f aca="false">$D$1841*(1+$D$1842)^(I$1878-$E$1878)</f>
        <v>4.05289661184</v>
      </c>
      <c r="J1882" s="46" t="n">
        <f aca="false">$D$1841*(1+$D$1842)^(J$1878-$E$1878)</f>
        <v>4.3771283407872</v>
      </c>
      <c r="K1882" s="23"/>
      <c r="L1882" s="49" t="s">
        <v>604</v>
      </c>
    </row>
    <row r="1883" customFormat="false" ht="15" hidden="true" customHeight="false" outlineLevel="1" collapsed="false">
      <c r="A1883" s="19" t="s">
        <v>605</v>
      </c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</row>
    <row r="1884" customFormat="false" ht="15" hidden="true" customHeight="false" outlineLevel="1" collapsed="false">
      <c r="A1884" s="20" t="n">
        <v>55</v>
      </c>
      <c r="B1884" s="6" t="s">
        <v>606</v>
      </c>
      <c r="C1884" s="20" t="s">
        <v>76</v>
      </c>
      <c r="D1884" s="23"/>
      <c r="E1884" s="23"/>
      <c r="F1884" s="38" t="n">
        <f aca="false">IF(F$1878=$D$1828,1,0)</f>
        <v>1</v>
      </c>
      <c r="G1884" s="38" t="n">
        <f aca="false">IF(G$1878=$D$1828,1,0)</f>
        <v>0</v>
      </c>
      <c r="H1884" s="38" t="n">
        <f aca="false">IF(H$1878=$D$1828,1,0)</f>
        <v>0</v>
      </c>
      <c r="I1884" s="38" t="n">
        <f aca="false">IF(I$1878=$D$1828,1,0)</f>
        <v>0</v>
      </c>
      <c r="J1884" s="38" t="n">
        <f aca="false">IF(J$1878=$D$1828,1,0)</f>
        <v>0</v>
      </c>
      <c r="K1884" s="23"/>
      <c r="L1884" s="49" t="s">
        <v>607</v>
      </c>
    </row>
    <row r="1885" customFormat="false" ht="15" hidden="true" customHeight="false" outlineLevel="1" collapsed="false">
      <c r="A1885" s="20" t="n">
        <v>56</v>
      </c>
      <c r="B1885" s="6" t="s">
        <v>608</v>
      </c>
      <c r="C1885" s="20" t="s">
        <v>76</v>
      </c>
      <c r="D1885" s="23"/>
      <c r="E1885" s="38" t="n">
        <f aca="false">0</f>
        <v>0</v>
      </c>
      <c r="F1885" s="38" t="n">
        <f aca="false">F1884+F1869</f>
        <v>1</v>
      </c>
      <c r="G1885" s="38" t="n">
        <f aca="false">G1884+G1869</f>
        <v>0</v>
      </c>
      <c r="H1885" s="38" t="n">
        <f aca="false">H1884+H1869</f>
        <v>1</v>
      </c>
      <c r="I1885" s="38" t="n">
        <f aca="false">I1884+I1869</f>
        <v>0</v>
      </c>
      <c r="J1885" s="38" t="n">
        <f aca="false">J1884+J1869</f>
        <v>1</v>
      </c>
      <c r="K1885" s="54" t="n">
        <f aca="false">SUM(F1885:J1885)</f>
        <v>3</v>
      </c>
      <c r="L1885" s="49" t="s">
        <v>609</v>
      </c>
    </row>
    <row r="1886" customFormat="false" ht="15" hidden="true" customHeight="false" outlineLevel="1" collapsed="false">
      <c r="A1886" s="20" t="n">
        <v>57</v>
      </c>
      <c r="B1886" s="6" t="s">
        <v>610</v>
      </c>
      <c r="C1886" s="20" t="s">
        <v>76</v>
      </c>
      <c r="D1886" s="23"/>
      <c r="E1886" s="38" t="n">
        <f aca="false">0</f>
        <v>0</v>
      </c>
      <c r="F1886" s="38" t="n">
        <f aca="false">E1886+F1885</f>
        <v>1</v>
      </c>
      <c r="G1886" s="38" t="n">
        <f aca="false">F1886+G1885</f>
        <v>1</v>
      </c>
      <c r="H1886" s="38" t="n">
        <f aca="false">G1886+H1885</f>
        <v>2</v>
      </c>
      <c r="I1886" s="38" t="n">
        <f aca="false">H1886+I1885</f>
        <v>2</v>
      </c>
      <c r="J1886" s="38" t="n">
        <f aca="false">I1886+J1885</f>
        <v>3</v>
      </c>
      <c r="K1886" s="23"/>
      <c r="L1886" s="49" t="s">
        <v>611</v>
      </c>
    </row>
    <row r="1887" customFormat="false" ht="15" hidden="true" customHeight="false" outlineLevel="1" collapsed="false">
      <c r="A1887" s="20" t="n">
        <v>58</v>
      </c>
      <c r="B1887" s="6" t="s">
        <v>612</v>
      </c>
      <c r="C1887" s="20" t="s">
        <v>76</v>
      </c>
      <c r="D1887" s="23"/>
      <c r="E1887" s="38" t="n">
        <f aca="false">0</f>
        <v>0</v>
      </c>
      <c r="F1887" s="38" t="n">
        <f aca="false">E1887+F1870</f>
        <v>0</v>
      </c>
      <c r="G1887" s="38" t="n">
        <f aca="false">F1887+G1870</f>
        <v>1</v>
      </c>
      <c r="H1887" s="38" t="n">
        <f aca="false">G1887+H1870</f>
        <v>3</v>
      </c>
      <c r="I1887" s="38" t="n">
        <f aca="false">H1887+I1870</f>
        <v>5</v>
      </c>
      <c r="J1887" s="38" t="n">
        <f aca="false">I1887+J1870</f>
        <v>8</v>
      </c>
      <c r="K1887" s="23"/>
      <c r="L1887" s="49" t="s">
        <v>611</v>
      </c>
    </row>
    <row r="1888" customFormat="false" ht="15" hidden="true" customHeight="false" outlineLevel="1" collapsed="false">
      <c r="A1888" s="20" t="n">
        <v>59</v>
      </c>
      <c r="B1888" s="6" t="s">
        <v>613</v>
      </c>
      <c r="C1888" s="20" t="s">
        <v>76</v>
      </c>
      <c r="D1888" s="23"/>
      <c r="E1888" s="38" t="n">
        <f aca="false">0</f>
        <v>0</v>
      </c>
      <c r="F1888" s="38" t="n">
        <f aca="false">F1886+F1887</f>
        <v>1</v>
      </c>
      <c r="G1888" s="38" t="n">
        <f aca="false">G1886+G1887</f>
        <v>2</v>
      </c>
      <c r="H1888" s="38" t="n">
        <f aca="false">H1886+H1887</f>
        <v>5</v>
      </c>
      <c r="I1888" s="38" t="n">
        <f aca="false">I1886+I1887</f>
        <v>7</v>
      </c>
      <c r="J1888" s="38" t="n">
        <f aca="false">J1886+J1887</f>
        <v>11</v>
      </c>
      <c r="K1888" s="23"/>
      <c r="L1888" s="49" t="s">
        <v>614</v>
      </c>
    </row>
    <row r="1889" customFormat="false" ht="15" hidden="true" customHeight="false" outlineLevel="1" collapsed="false">
      <c r="A1889" s="20" t="n">
        <v>60</v>
      </c>
      <c r="B1889" s="6" t="s">
        <v>615</v>
      </c>
      <c r="C1889" s="20" t="s">
        <v>76</v>
      </c>
      <c r="D1889" s="23"/>
      <c r="E1889" s="23"/>
      <c r="F1889" s="38" t="n">
        <f aca="false">F1885+F1870</f>
        <v>1</v>
      </c>
      <c r="G1889" s="38" t="n">
        <f aca="false">G1885+G1870</f>
        <v>1</v>
      </c>
      <c r="H1889" s="38" t="n">
        <f aca="false">H1885+H1870</f>
        <v>3</v>
      </c>
      <c r="I1889" s="38" t="n">
        <f aca="false">I1885+I1870</f>
        <v>2</v>
      </c>
      <c r="J1889" s="38" t="n">
        <f aca="false">J1885+J1870</f>
        <v>4</v>
      </c>
      <c r="K1889" s="54" t="n">
        <f aca="false">SUM(F1889:J1889)</f>
        <v>11</v>
      </c>
      <c r="L1889" s="49"/>
    </row>
    <row r="1890" customFormat="false" ht="15" hidden="true" customHeight="false" outlineLevel="1" collapsed="false">
      <c r="A1890" s="19" t="s">
        <v>616</v>
      </c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</row>
    <row r="1891" customFormat="false" ht="15" hidden="true" customHeight="false" outlineLevel="1" collapsed="false">
      <c r="A1891" s="20" t="n">
        <v>61</v>
      </c>
      <c r="B1891" s="6" t="s">
        <v>617</v>
      </c>
      <c r="C1891" s="20" t="s">
        <v>71</v>
      </c>
      <c r="D1891" s="23"/>
      <c r="E1891" s="23"/>
      <c r="F1891" s="40" t="n">
        <f aca="false">IF(F$1878&gt;$D$1828,($D$1830+$D$1829*$D$1831)*(1+$D$1836)^(F$1878-$D$1828-1)*F1879,0)</f>
        <v>0</v>
      </c>
      <c r="G1891" s="40" t="n">
        <f aca="false">IF(G$1878&gt;$D$1828,($D$1830+$D$1829*$D$1831)*(1+$D$1836)^(G$1878-$D$1828-1)*G1879,0)</f>
        <v>15.75</v>
      </c>
      <c r="H1891" s="40" t="n">
        <f aca="false">IF(H$1878&gt;$D$1828,($D$1830+$D$1829*$D$1831)*(1+$D$1836)^(H$1878-$D$1828-1)*H1879,0)</f>
        <v>19.018125</v>
      </c>
      <c r="I1891" s="40" t="n">
        <f aca="false">IF(I$1878&gt;$D$1828,($D$1830+$D$1829*$D$1831)*(1+$D$1836)^(I$1878-$D$1828-1)*I1879,0)</f>
        <v>22.9643859375</v>
      </c>
      <c r="J1891" s="40" t="n">
        <f aca="false">IF(J$1878&gt;$D$1828,($D$1830+$D$1829*$D$1831)*(1+$D$1836)^(J$1878-$D$1828-1)*J1879,0)</f>
        <v>27.7294960195313</v>
      </c>
      <c r="K1891" s="51" t="n">
        <f aca="false">SUM(F1891:J1891)</f>
        <v>85.4620069570313</v>
      </c>
      <c r="L1891" s="49" t="s">
        <v>618</v>
      </c>
    </row>
    <row r="1892" customFormat="false" ht="15" hidden="true" customHeight="false" outlineLevel="1" collapsed="false">
      <c r="A1892" s="20" t="n">
        <v>62</v>
      </c>
      <c r="B1892" s="6" t="s">
        <v>619</v>
      </c>
      <c r="C1892" s="20" t="s">
        <v>71</v>
      </c>
      <c r="D1892" s="23"/>
      <c r="E1892" s="23"/>
      <c r="F1892" s="40" t="n">
        <f aca="false">($D$1830+$D$1861*$D$1831)*F1879*SUMPRODUCT($E$1869:E$1869,(1+$D$1836)^(F$1878-$E$1878:E$1878-1))</f>
        <v>0</v>
      </c>
      <c r="G1892" s="40" t="n">
        <f aca="false">($D$1830+$D$1861*$D$1831)*G1879*SUMPRODUCT($E$1869:F$1869,(1+$D$1836)^(G$1878-$E$1878:F$1878-1))</f>
        <v>0</v>
      </c>
      <c r="H1892" s="40" t="n">
        <f aca="false">($D$1830+$D$1861*$D$1831)*H1879*SUMPRODUCT($E$1869:G$1869,(1+$D$1836)^(H$1878-$E$1878:G$1878-1))</f>
        <v>0</v>
      </c>
      <c r="I1892" s="40" t="n">
        <f aca="false">($D$1830+$D$1861*$D$1831)*I1879*SUMPRODUCT($E$1869:H$1869,(1+$D$1836)^(I$1878-$E$1878:H$1878-1))</f>
        <v>9.78719318181818</v>
      </c>
      <c r="J1892" s="40" t="n">
        <f aca="false">($D$1830+$D$1861*$D$1831)*J1879*SUMPRODUCT($E$1869:I$1869,(1+$D$1836)^(J$1878-$E$1878:I$1878-1))</f>
        <v>11.8180357670455</v>
      </c>
      <c r="K1892" s="51" t="n">
        <f aca="false">SUM(F1892:J1892)</f>
        <v>21.6052289488636</v>
      </c>
      <c r="L1892" s="49" t="s">
        <v>620</v>
      </c>
    </row>
    <row r="1893" customFormat="false" ht="15" hidden="true" customHeight="false" outlineLevel="1" collapsed="false">
      <c r="A1893" s="20" t="n">
        <v>63</v>
      </c>
      <c r="B1893" s="6" t="s">
        <v>621</v>
      </c>
      <c r="C1893" s="20" t="s">
        <v>71</v>
      </c>
      <c r="D1893" s="23"/>
      <c r="E1893" s="23"/>
      <c r="F1893" s="40" t="n">
        <f aca="false">($D$1832+$D$1862*$D$1831)*F1879*SUMPRODUCT($E$1870:E$1870,(1+$D$1836)^(F$1878-$E$1878:E$1878-1))</f>
        <v>0</v>
      </c>
      <c r="G1893" s="40" t="n">
        <f aca="false">($D$1832+$D$1862*$D$1831)*G1879*SUMPRODUCT($E$1870:F$1870,(1+$D$1836)^(G$1878-$E$1878:F$1878-1))</f>
        <v>0</v>
      </c>
      <c r="H1893" s="40" t="n">
        <f aca="false">($D$1832+$D$1862*$D$1831)*H1879*SUMPRODUCT($E$1870:G$1870,(1+$D$1836)^(H$1878-$E$1878:G$1878-1))</f>
        <v>1.8087890625</v>
      </c>
      <c r="I1893" s="40" t="n">
        <f aca="false">($D$1832+$D$1862*$D$1831)*I1879*SUMPRODUCT($E$1870:H$1870,(1+$D$1836)^(I$1878-$E$1878:H$1878-1))</f>
        <v>5.98256982421875</v>
      </c>
      <c r="J1893" s="40" t="n">
        <f aca="false">($D$1832+$D$1862*$D$1831)*J1879*SUMPRODUCT($E$1870:I$1870,(1+$D$1836)^(J$1878-$E$1878:I$1878-1))</f>
        <v>11.2123329455566</v>
      </c>
      <c r="K1893" s="51" t="n">
        <f aca="false">SUM(F1893:J1893)</f>
        <v>19.0036918322754</v>
      </c>
      <c r="L1893" s="49" t="s">
        <v>622</v>
      </c>
    </row>
    <row r="1894" customFormat="false" ht="15" hidden="true" customHeight="false" outlineLevel="1" collapsed="false">
      <c r="A1894" s="20" t="n">
        <v>64</v>
      </c>
      <c r="B1894" s="6" t="s">
        <v>623</v>
      </c>
      <c r="C1894" s="20" t="s">
        <v>71</v>
      </c>
      <c r="D1894" s="23"/>
      <c r="E1894" s="23"/>
      <c r="F1894" s="40" t="n">
        <f aca="false">(F1885*$D$1833+F1870*$D$1834)*F1879</f>
        <v>8</v>
      </c>
      <c r="G1894" s="40" t="n">
        <f aca="false">(G1885*$D$1833+G1870*$D$1834)*G1879</f>
        <v>2.1</v>
      </c>
      <c r="H1894" s="40" t="n">
        <f aca="false">(H1885*$D$1833+H1870*$D$1834)*H1879</f>
        <v>13.23</v>
      </c>
      <c r="I1894" s="40" t="n">
        <f aca="false">(I1885*$D$1833+I1870*$D$1834)*I1879</f>
        <v>4.6305</v>
      </c>
      <c r="J1894" s="40" t="n">
        <f aca="false">(J1885*$D$1833+J1870*$D$1834)*J1879</f>
        <v>17.0170875</v>
      </c>
      <c r="K1894" s="51" t="n">
        <f aca="false">SUM(F1894:J1894)</f>
        <v>44.9775875</v>
      </c>
      <c r="L1894" s="49" t="s">
        <v>624</v>
      </c>
    </row>
    <row r="1895" customFormat="false" ht="15" hidden="true" customHeight="false" outlineLevel="1" collapsed="false">
      <c r="A1895" s="20" t="n">
        <v>65</v>
      </c>
      <c r="B1895" s="6" t="s">
        <v>625</v>
      </c>
      <c r="C1895" s="20" t="s">
        <v>71</v>
      </c>
      <c r="D1895" s="23"/>
      <c r="E1895" s="23"/>
      <c r="F1895" s="40" t="n">
        <f aca="false">F1891+F1892+F1893</f>
        <v>0</v>
      </c>
      <c r="G1895" s="40" t="n">
        <f aca="false">G1891+G1892+G1893</f>
        <v>15.75</v>
      </c>
      <c r="H1895" s="40" t="n">
        <f aca="false">H1891+H1892+H1893</f>
        <v>20.8269140625</v>
      </c>
      <c r="I1895" s="40" t="n">
        <f aca="false">I1891+I1892+I1893</f>
        <v>38.7341489435369</v>
      </c>
      <c r="J1895" s="40" t="n">
        <f aca="false">J1891+J1892+J1893</f>
        <v>50.7598647321333</v>
      </c>
      <c r="K1895" s="51" t="n">
        <f aca="false">SUM(F1895:J1895)</f>
        <v>126.07092773817</v>
      </c>
      <c r="L1895" s="49"/>
    </row>
    <row r="1896" customFormat="false" ht="15" hidden="true" customHeight="false" outlineLevel="1" collapsed="false">
      <c r="A1896" s="20" t="n">
        <v>66</v>
      </c>
      <c r="B1896" s="6" t="s">
        <v>91</v>
      </c>
      <c r="C1896" s="20" t="s">
        <v>71</v>
      </c>
      <c r="D1896" s="23"/>
      <c r="E1896" s="23"/>
      <c r="F1896" s="40" t="n">
        <f aca="false">F1895+F1894</f>
        <v>8</v>
      </c>
      <c r="G1896" s="40" t="n">
        <f aca="false">G1895+G1894</f>
        <v>17.85</v>
      </c>
      <c r="H1896" s="40" t="n">
        <f aca="false">H1895+H1894</f>
        <v>34.0569140625</v>
      </c>
      <c r="I1896" s="40" t="n">
        <f aca="false">I1895+I1894</f>
        <v>43.3646489435369</v>
      </c>
      <c r="J1896" s="40" t="n">
        <f aca="false">J1895+J1894</f>
        <v>67.7769522321333</v>
      </c>
      <c r="K1896" s="51" t="n">
        <f aca="false">SUM(F1896:J1896)</f>
        <v>171.04851523817</v>
      </c>
      <c r="L1896" s="49" t="s">
        <v>626</v>
      </c>
    </row>
    <row r="1897" customFormat="false" ht="15" hidden="true" customHeight="false" outlineLevel="1" collapsed="false">
      <c r="A1897" s="20" t="n">
        <v>67</v>
      </c>
      <c r="B1897" s="6" t="s">
        <v>627</v>
      </c>
      <c r="C1897" s="20" t="s">
        <v>55</v>
      </c>
      <c r="D1897" s="23"/>
      <c r="E1897" s="23"/>
      <c r="F1897" s="40" t="n">
        <f aca="false">IF(F$1878&gt;=$D$1828,($D$1830+$D$1829*$D$1831)*(1+$D$1836)^(F$1878-$D$1828)*F1879,0)+($D$1830+$D$1861*$D$1831)*F1879*SUMPRODUCT($E$1869:F$1869,(1+$D$1836)^(F$1878-$E$1878:F$1878))+($D$1832+$D$1862*$D$1831)*F1879*SUMPRODUCT($E$1870:F$1870,(1+$D$1836)^(F$1878-$E$1878:F$1878))</f>
        <v>15</v>
      </c>
      <c r="G1897" s="40" t="n">
        <f aca="false">IF(G$1878&gt;=$D$1828,($D$1830+$D$1829*$D$1831)*(1+$D$1836)^(G$1878-$D$1828)*G1879,0)+($D$1830+$D$1861*$D$1831)*G1879*SUMPRODUCT($E$1869:G$1869,(1+$D$1836)^(G$1878-$E$1878:G$1878))+($D$1832+$D$1862*$D$1831)*G1879*SUMPRODUCT($E$1870:G$1870,(1+$D$1836)^(G$1878-$E$1878:G$1878))</f>
        <v>19.83515625</v>
      </c>
      <c r="H1897" s="40" t="n">
        <f aca="false">IF(H$1878&gt;=$D$1828,($D$1830+$D$1829*$D$1831)*(1+$D$1836)^(H$1878-$D$1828)*H1879,0)+($D$1830+$D$1861*$D$1831)*H1879*SUMPRODUCT($E$1869:H$1869,(1+$D$1836)^(H$1878-$E$1878:H$1878))+($D$1832+$D$1862*$D$1831)*H1879*SUMPRODUCT($E$1870:H$1870,(1+$D$1836)^(H$1878-$E$1878:H$1878))</f>
        <v>36.8896656605114</v>
      </c>
      <c r="I1897" s="40" t="n">
        <f aca="false">IF(I$1878&gt;=$D$1828,($D$1830+$D$1829*$D$1831)*(1+$D$1836)^(I$1878-$D$1828)*I1879,0)+($D$1830+$D$1861*$D$1831)*I1879*SUMPRODUCT($E$1869:I$1869,(1+$D$1836)^(I$1878-$E$1878:I$1878))+($D$1832+$D$1862*$D$1831)*I1879*SUMPRODUCT($E$1870:I$1870,(1+$D$1836)^(I$1878-$E$1878:I$1878))</f>
        <v>48.3427283163175</v>
      </c>
      <c r="J1897" s="40" t="n">
        <f aca="false">IF(J$1878&gt;=$D$1828,($D$1830+$D$1829*$D$1831)*(1+$D$1836)^(J$1878-$D$1828)*J1879,0)+($D$1830+$D$1861*$D$1831)*J1879*SUMPRODUCT($E$1869:J$1869,(1+$D$1836)^(J$1878-$E$1878:J$1878))+($D$1832+$D$1862*$D$1831)*J1879*SUMPRODUCT($E$1870:J$1870,(1+$D$1836)^(J$1878-$E$1878:J$1878))</f>
        <v>74.6329671070812</v>
      </c>
      <c r="K1897" s="23"/>
      <c r="L1897" s="49" t="s">
        <v>628</v>
      </c>
    </row>
    <row r="1898" customFormat="false" ht="15" hidden="true" customHeight="false" outlineLevel="1" collapsed="false">
      <c r="A1898" s="19" t="s">
        <v>629</v>
      </c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</row>
    <row r="1899" customFormat="false" ht="15" hidden="true" customHeight="false" outlineLevel="1" collapsed="false">
      <c r="A1899" s="20" t="n">
        <v>68</v>
      </c>
      <c r="B1899" s="6" t="s">
        <v>630</v>
      </c>
      <c r="C1899" s="20" t="s">
        <v>53</v>
      </c>
      <c r="D1899" s="23"/>
      <c r="E1899" s="40" t="n">
        <f aca="false">E1871+E1872+E1873+E1874+E1875+E1876</f>
        <v>2</v>
      </c>
      <c r="F1899" s="40" t="n">
        <f aca="false">F1871+F1872+F1873+F1874+F1875+F1876</f>
        <v>4</v>
      </c>
      <c r="G1899" s="40" t="n">
        <f aca="false">G1871+G1872+G1873+G1874+G1875+G1876</f>
        <v>5</v>
      </c>
      <c r="H1899" s="40" t="n">
        <f aca="false">H1871+H1872+H1873+H1874+H1875+H1876</f>
        <v>6</v>
      </c>
      <c r="I1899" s="40" t="n">
        <f aca="false">I1871+I1872+I1873+I1874+I1875+I1876</f>
        <v>7</v>
      </c>
      <c r="J1899" s="40" t="n">
        <f aca="false">J1871+J1872+J1873+J1874+J1875+J1876</f>
        <v>8</v>
      </c>
      <c r="K1899" s="23"/>
      <c r="L1899" s="49" t="s">
        <v>631</v>
      </c>
    </row>
    <row r="1900" customFormat="false" ht="15" hidden="true" customHeight="false" outlineLevel="1" collapsed="false">
      <c r="A1900" s="20" t="n">
        <v>69</v>
      </c>
      <c r="B1900" s="6" t="s">
        <v>632</v>
      </c>
      <c r="C1900" s="20" t="s">
        <v>53</v>
      </c>
      <c r="D1900" s="23"/>
      <c r="E1900" s="23"/>
      <c r="F1900" s="40" t="n">
        <f aca="false">MAX(0,F1899-E1899)</f>
        <v>2</v>
      </c>
      <c r="G1900" s="40" t="n">
        <f aca="false">MAX(0,G1899-F1899)</f>
        <v>1</v>
      </c>
      <c r="H1900" s="40" t="n">
        <f aca="false">MAX(0,H1899-G1899)</f>
        <v>1</v>
      </c>
      <c r="I1900" s="40" t="n">
        <f aca="false">MAX(0,I1899-H1899)</f>
        <v>1</v>
      </c>
      <c r="J1900" s="40" t="n">
        <f aca="false">MAX(0,J1899-I1899)</f>
        <v>1</v>
      </c>
      <c r="K1900" s="23"/>
      <c r="L1900" s="49" t="s">
        <v>633</v>
      </c>
    </row>
    <row r="1901" customFormat="false" ht="15" hidden="true" customHeight="false" outlineLevel="1" collapsed="false">
      <c r="A1901" s="20" t="n">
        <v>70</v>
      </c>
      <c r="B1901" s="6" t="s">
        <v>634</v>
      </c>
      <c r="C1901" s="20" t="s">
        <v>71</v>
      </c>
      <c r="D1901" s="23"/>
      <c r="E1901" s="23"/>
      <c r="F1901" s="41" t="n">
        <f aca="false">$D$1863*12/1000*F1881</f>
        <v>2.4</v>
      </c>
      <c r="G1901" s="41" t="n">
        <f aca="false">$D$1863*12/1000*G1881</f>
        <v>2.568</v>
      </c>
      <c r="H1901" s="41" t="n">
        <f aca="false">$D$1863*12/1000*H1881</f>
        <v>2.74776</v>
      </c>
      <c r="I1901" s="41" t="n">
        <f aca="false">$D$1863*12/1000*I1881</f>
        <v>2.9401032</v>
      </c>
      <c r="J1901" s="41" t="n">
        <f aca="false">$D$1863*12/1000*J1881</f>
        <v>3.145910424</v>
      </c>
      <c r="K1901" s="23"/>
      <c r="L1901" s="49" t="s">
        <v>635</v>
      </c>
    </row>
    <row r="1902" customFormat="false" ht="15" hidden="true" customHeight="false" outlineLevel="1" collapsed="false">
      <c r="A1902" s="20" t="n">
        <v>71</v>
      </c>
      <c r="B1902" s="6" t="s">
        <v>636</v>
      </c>
      <c r="C1902" s="20" t="s">
        <v>71</v>
      </c>
      <c r="D1902" s="23"/>
      <c r="E1902" s="23"/>
      <c r="F1902" s="41" t="n">
        <f aca="false">$D$1864*12/1000*F1881</f>
        <v>3.36</v>
      </c>
      <c r="G1902" s="41" t="n">
        <f aca="false">$D$1864*12/1000*G1881</f>
        <v>3.5952</v>
      </c>
      <c r="H1902" s="41" t="n">
        <f aca="false">$D$1864*12/1000*H1881</f>
        <v>3.846864</v>
      </c>
      <c r="I1902" s="41" t="n">
        <f aca="false">$D$1864*12/1000*I1881</f>
        <v>4.11614448</v>
      </c>
      <c r="J1902" s="41" t="n">
        <f aca="false">$D$1864*12/1000*J1881</f>
        <v>4.4042745936</v>
      </c>
      <c r="K1902" s="23"/>
      <c r="L1902" s="49" t="s">
        <v>635</v>
      </c>
    </row>
    <row r="1903" customFormat="false" ht="15" hidden="true" customHeight="false" outlineLevel="1" collapsed="false">
      <c r="A1903" s="20" t="n">
        <v>72</v>
      </c>
      <c r="B1903" s="6" t="s">
        <v>637</v>
      </c>
      <c r="C1903" s="20" t="s">
        <v>71</v>
      </c>
      <c r="D1903" s="23"/>
      <c r="E1903" s="23"/>
      <c r="F1903" s="41" t="n">
        <f aca="false">$D$1865*12/1000*F1881</f>
        <v>2.76</v>
      </c>
      <c r="G1903" s="41" t="n">
        <f aca="false">$D$1865*12/1000*G1881</f>
        <v>2.9532</v>
      </c>
      <c r="H1903" s="41" t="n">
        <f aca="false">$D$1865*12/1000*H1881</f>
        <v>3.159924</v>
      </c>
      <c r="I1903" s="41" t="n">
        <f aca="false">$D$1865*12/1000*I1881</f>
        <v>3.38111868</v>
      </c>
      <c r="J1903" s="41" t="n">
        <f aca="false">$D$1865*12/1000*J1881</f>
        <v>3.6177969876</v>
      </c>
      <c r="K1903" s="23"/>
      <c r="L1903" s="49" t="s">
        <v>635</v>
      </c>
    </row>
    <row r="1904" customFormat="false" ht="15" hidden="true" customHeight="false" outlineLevel="1" collapsed="false">
      <c r="A1904" s="20" t="n">
        <v>73</v>
      </c>
      <c r="B1904" s="6" t="s">
        <v>638</v>
      </c>
      <c r="C1904" s="20" t="s">
        <v>71</v>
      </c>
      <c r="D1904" s="23"/>
      <c r="E1904" s="23"/>
      <c r="F1904" s="41" t="n">
        <f aca="false">$D$1866*12/1000*F1881</f>
        <v>2.64</v>
      </c>
      <c r="G1904" s="41" t="n">
        <f aca="false">$D$1866*12/1000*G1881</f>
        <v>2.8248</v>
      </c>
      <c r="H1904" s="41" t="n">
        <f aca="false">$D$1866*12/1000*H1881</f>
        <v>3.022536</v>
      </c>
      <c r="I1904" s="41" t="n">
        <f aca="false">$D$1866*12/1000*I1881</f>
        <v>3.23411352</v>
      </c>
      <c r="J1904" s="41" t="n">
        <f aca="false">$D$1866*12/1000*J1881</f>
        <v>3.4605014664</v>
      </c>
      <c r="K1904" s="23"/>
      <c r="L1904" s="49" t="s">
        <v>635</v>
      </c>
    </row>
    <row r="1905" customFormat="false" ht="15" hidden="true" customHeight="false" outlineLevel="1" collapsed="false">
      <c r="A1905" s="20" t="n">
        <v>74</v>
      </c>
      <c r="B1905" s="6" t="s">
        <v>639</v>
      </c>
      <c r="C1905" s="20" t="s">
        <v>71</v>
      </c>
      <c r="D1905" s="23"/>
      <c r="E1905" s="23"/>
      <c r="F1905" s="41" t="n">
        <f aca="false">$D$1867*12/1000*F1881</f>
        <v>3</v>
      </c>
      <c r="G1905" s="41" t="n">
        <f aca="false">$D$1867*12/1000*G1881</f>
        <v>3.21</v>
      </c>
      <c r="H1905" s="41" t="n">
        <f aca="false">$D$1867*12/1000*H1881</f>
        <v>3.4347</v>
      </c>
      <c r="I1905" s="41" t="n">
        <f aca="false">$D$1867*12/1000*I1881</f>
        <v>3.675129</v>
      </c>
      <c r="J1905" s="41" t="n">
        <f aca="false">$D$1867*12/1000*J1881</f>
        <v>3.93238803</v>
      </c>
      <c r="K1905" s="23"/>
      <c r="L1905" s="49" t="s">
        <v>635</v>
      </c>
    </row>
    <row r="1906" customFormat="false" ht="15" hidden="true" customHeight="false" outlineLevel="1" collapsed="false">
      <c r="A1906" s="20" t="n">
        <v>75</v>
      </c>
      <c r="B1906" s="6" t="s">
        <v>640</v>
      </c>
      <c r="C1906" s="20" t="s">
        <v>71</v>
      </c>
      <c r="D1906" s="23"/>
      <c r="E1906" s="23"/>
      <c r="F1906" s="41" t="n">
        <f aca="false">$D$1868*12/1000*F1881</f>
        <v>2.64</v>
      </c>
      <c r="G1906" s="41" t="n">
        <f aca="false">$D$1868*12/1000*G1881</f>
        <v>2.8248</v>
      </c>
      <c r="H1906" s="41" t="n">
        <f aca="false">$D$1868*12/1000*H1881</f>
        <v>3.022536</v>
      </c>
      <c r="I1906" s="41" t="n">
        <f aca="false">$D$1868*12/1000*I1881</f>
        <v>3.23411352</v>
      </c>
      <c r="J1906" s="41" t="n">
        <f aca="false">$D$1868*12/1000*J1881</f>
        <v>3.4605014664</v>
      </c>
      <c r="K1906" s="23"/>
      <c r="L1906" s="49" t="s">
        <v>635</v>
      </c>
    </row>
    <row r="1907" customFormat="false" ht="15" hidden="true" customHeight="false" outlineLevel="1" collapsed="false">
      <c r="A1907" s="20" t="n">
        <v>76</v>
      </c>
      <c r="B1907" s="6" t="s">
        <v>641</v>
      </c>
      <c r="C1907" s="20" t="s">
        <v>71</v>
      </c>
      <c r="D1907" s="23"/>
      <c r="E1907" s="23"/>
      <c r="F1907" s="40" t="n">
        <f aca="false">F1871*F1901</f>
        <v>4.8</v>
      </c>
      <c r="G1907" s="40" t="n">
        <f aca="false">G1871*G1901</f>
        <v>5.136</v>
      </c>
      <c r="H1907" s="40" t="n">
        <f aca="false">H1871*H1901</f>
        <v>5.49552</v>
      </c>
      <c r="I1907" s="40" t="n">
        <f aca="false">I1871*I1901</f>
        <v>5.8802064</v>
      </c>
      <c r="J1907" s="40" t="n">
        <f aca="false">J1871*J1901</f>
        <v>6.291820848</v>
      </c>
      <c r="K1907" s="51" t="n">
        <f aca="false">SUM(F1907:J1907)</f>
        <v>27.603547248</v>
      </c>
      <c r="L1907" s="49" t="s">
        <v>642</v>
      </c>
    </row>
    <row r="1908" customFormat="false" ht="15" hidden="true" customHeight="false" outlineLevel="1" collapsed="false">
      <c r="A1908" s="20" t="n">
        <v>77</v>
      </c>
      <c r="B1908" s="6" t="s">
        <v>643</v>
      </c>
      <c r="C1908" s="20" t="s">
        <v>71</v>
      </c>
      <c r="D1908" s="23"/>
      <c r="E1908" s="23"/>
      <c r="F1908" s="40" t="n">
        <f aca="false">F1872*F1902</f>
        <v>3.36</v>
      </c>
      <c r="G1908" s="40" t="n">
        <f aca="false">G1872*G1902</f>
        <v>3.5952</v>
      </c>
      <c r="H1908" s="40" t="n">
        <f aca="false">H1872*H1902</f>
        <v>3.846864</v>
      </c>
      <c r="I1908" s="40" t="n">
        <f aca="false">I1872*I1902</f>
        <v>8.23228896</v>
      </c>
      <c r="J1908" s="40" t="n">
        <f aca="false">J1872*J1902</f>
        <v>8.8085491872</v>
      </c>
      <c r="K1908" s="51" t="n">
        <f aca="false">SUM(F1908:J1908)</f>
        <v>27.8429021472</v>
      </c>
      <c r="L1908" s="49" t="s">
        <v>642</v>
      </c>
    </row>
    <row r="1909" customFormat="false" ht="15" hidden="true" customHeight="false" outlineLevel="1" collapsed="false">
      <c r="A1909" s="20" t="n">
        <v>78</v>
      </c>
      <c r="B1909" s="6" t="s">
        <v>644</v>
      </c>
      <c r="C1909" s="20" t="s">
        <v>71</v>
      </c>
      <c r="D1909" s="23"/>
      <c r="E1909" s="23"/>
      <c r="F1909" s="40" t="n">
        <f aca="false">F1873*F1903</f>
        <v>2.76</v>
      </c>
      <c r="G1909" s="40" t="n">
        <f aca="false">G1873*G1903</f>
        <v>2.9532</v>
      </c>
      <c r="H1909" s="40" t="n">
        <f aca="false">H1873*H1903</f>
        <v>3.159924</v>
      </c>
      <c r="I1909" s="40" t="n">
        <f aca="false">I1873*I1903</f>
        <v>3.38111868</v>
      </c>
      <c r="J1909" s="40" t="n">
        <f aca="false">J1873*J1903</f>
        <v>3.6177969876</v>
      </c>
      <c r="K1909" s="51" t="n">
        <f aca="false">SUM(F1909:J1909)</f>
        <v>15.8720396676</v>
      </c>
      <c r="L1909" s="49" t="s">
        <v>642</v>
      </c>
    </row>
    <row r="1910" customFormat="false" ht="15" hidden="true" customHeight="false" outlineLevel="1" collapsed="false">
      <c r="A1910" s="20" t="n">
        <v>79</v>
      </c>
      <c r="B1910" s="6" t="s">
        <v>645</v>
      </c>
      <c r="C1910" s="20" t="s">
        <v>71</v>
      </c>
      <c r="D1910" s="23"/>
      <c r="E1910" s="23"/>
      <c r="F1910" s="40" t="n">
        <f aca="false">F1874*F1904</f>
        <v>0</v>
      </c>
      <c r="G1910" s="40" t="n">
        <f aca="false">G1874*G1904</f>
        <v>2.8248</v>
      </c>
      <c r="H1910" s="40" t="n">
        <f aca="false">H1874*H1904</f>
        <v>3.022536</v>
      </c>
      <c r="I1910" s="40" t="n">
        <f aca="false">I1874*I1904</f>
        <v>3.23411352</v>
      </c>
      <c r="J1910" s="40" t="n">
        <f aca="false">J1874*J1904</f>
        <v>3.4605014664</v>
      </c>
      <c r="K1910" s="51" t="n">
        <f aca="false">SUM(F1910:J1910)</f>
        <v>12.5419509864</v>
      </c>
      <c r="L1910" s="49" t="s">
        <v>642</v>
      </c>
    </row>
    <row r="1911" customFormat="false" ht="15" hidden="true" customHeight="false" outlineLevel="1" collapsed="false">
      <c r="A1911" s="20" t="n">
        <v>80</v>
      </c>
      <c r="B1911" s="6" t="s">
        <v>646</v>
      </c>
      <c r="C1911" s="20" t="s">
        <v>71</v>
      </c>
      <c r="D1911" s="23"/>
      <c r="E1911" s="23"/>
      <c r="F1911" s="40" t="n">
        <f aca="false">F1875*F1905</f>
        <v>0</v>
      </c>
      <c r="G1911" s="40" t="n">
        <f aca="false">G1875*G1905</f>
        <v>0</v>
      </c>
      <c r="H1911" s="40" t="n">
        <f aca="false">H1875*H1905</f>
        <v>3.4347</v>
      </c>
      <c r="I1911" s="40" t="n">
        <f aca="false">I1875*I1905</f>
        <v>3.675129</v>
      </c>
      <c r="J1911" s="40" t="n">
        <f aca="false">J1875*J1905</f>
        <v>3.93238803</v>
      </c>
      <c r="K1911" s="51" t="n">
        <f aca="false">SUM(F1911:J1911)</f>
        <v>11.04221703</v>
      </c>
      <c r="L1911" s="49" t="s">
        <v>642</v>
      </c>
    </row>
    <row r="1912" customFormat="false" ht="15" hidden="true" customHeight="false" outlineLevel="1" collapsed="false">
      <c r="A1912" s="20" t="n">
        <v>81</v>
      </c>
      <c r="B1912" s="6" t="s">
        <v>647</v>
      </c>
      <c r="C1912" s="20" t="s">
        <v>71</v>
      </c>
      <c r="D1912" s="23"/>
      <c r="E1912" s="23"/>
      <c r="F1912" s="40" t="n">
        <f aca="false">F1876*F1906</f>
        <v>0</v>
      </c>
      <c r="G1912" s="40" t="n">
        <f aca="false">G1876*G1906</f>
        <v>0</v>
      </c>
      <c r="H1912" s="40" t="n">
        <f aca="false">H1876*H1906</f>
        <v>0</v>
      </c>
      <c r="I1912" s="40" t="n">
        <f aca="false">I1876*I1906</f>
        <v>0</v>
      </c>
      <c r="J1912" s="40" t="n">
        <f aca="false">J1876*J1906</f>
        <v>3.4605014664</v>
      </c>
      <c r="K1912" s="51" t="n">
        <f aca="false">SUM(F1912:J1912)</f>
        <v>3.4605014664</v>
      </c>
      <c r="L1912" s="49" t="s">
        <v>642</v>
      </c>
    </row>
    <row r="1913" customFormat="false" ht="15" hidden="true" customHeight="false" outlineLevel="1" collapsed="false">
      <c r="A1913" s="20" t="n">
        <v>82</v>
      </c>
      <c r="B1913" s="6" t="s">
        <v>648</v>
      </c>
      <c r="C1913" s="20" t="s">
        <v>71</v>
      </c>
      <c r="D1913" s="23"/>
      <c r="E1913" s="23"/>
      <c r="F1913" s="40" t="n">
        <f aca="false">F1907+F1908+F1909+F1910+F1911+F1912</f>
        <v>10.92</v>
      </c>
      <c r="G1913" s="40" t="n">
        <f aca="false">G1907+G1908+G1909+G1910+G1911+G1912</f>
        <v>14.5092</v>
      </c>
      <c r="H1913" s="40" t="n">
        <f aca="false">H1907+H1908+H1909+H1910+H1911+H1912</f>
        <v>18.959544</v>
      </c>
      <c r="I1913" s="40" t="n">
        <f aca="false">I1907+I1908+I1909+I1910+I1911+I1912</f>
        <v>24.40285656</v>
      </c>
      <c r="J1913" s="40" t="n">
        <f aca="false">J1907+J1908+J1909+J1910+J1911+J1912</f>
        <v>29.5715579856</v>
      </c>
      <c r="K1913" s="51" t="n">
        <f aca="false">SUM(F1913:J1913)</f>
        <v>98.3631585456</v>
      </c>
      <c r="L1913" s="49"/>
    </row>
    <row r="1914" customFormat="false" ht="15" hidden="true" customHeight="false" outlineLevel="1" collapsed="false">
      <c r="A1914" s="20" t="n">
        <v>83</v>
      </c>
      <c r="B1914" s="6" t="s">
        <v>649</v>
      </c>
      <c r="C1914" s="20" t="s">
        <v>71</v>
      </c>
      <c r="D1914" s="23"/>
      <c r="E1914" s="23"/>
      <c r="F1914" s="40" t="n">
        <f aca="false">F1871*(MIN(F1901,F1882)*$D$1838+MAX(0,F1901-F1882)*$D$1839+F1901*$D$1840)+F1872*(MIN(F1902,F1882)*$D$1838+MAX(0,F1902-F1882)*$D$1839+F1902*$D$1840)+F1873*(MIN(F1903,F1882)*$D$1838+MAX(0,F1903-F1882)*$D$1839+F1903*$D$1840)+F1874*(MIN(F1904,F1882)*$D$1838+MAX(0,F1904-F1882)*$D$1839+F1904*$D$1840)+F1875*(MIN(F1905,F1882)*$D$1838+MAX(0,F1905-F1882)*$D$1839+F1905*$D$1840)+F1876*(MIN(F1906,F1882)*$D$1838+MAX(0,F1906-F1882)*$D$1839+F1906*$D$1840)</f>
        <v>1.64928168</v>
      </c>
      <c r="G1914" s="40" t="n">
        <f aca="false">G1871*(MIN(G1901,G1882)*$D$1838+MAX(0,G1901-G1882)*$D$1839+G1901*$D$1840)+G1872*(MIN(G1902,G1882)*$D$1838+MAX(0,G1902-G1882)*$D$1839+G1902*$D$1840)+G1873*(MIN(G1903,G1882)*$D$1838+MAX(0,G1903-G1882)*$D$1839+G1903*$D$1840)+G1874*(MIN(G1904,G1882)*$D$1838+MAX(0,G1904-G1882)*$D$1839+G1904*$D$1840)+G1875*(MIN(G1905,G1882)*$D$1838+MAX(0,G1905-G1882)*$D$1839+G1905*$D$1840)+G1876*(MIN(G1906,G1882)*$D$1838+MAX(0,G1906-G1882)*$D$1839+G1906*$D$1840)</f>
        <v>2.1964818144</v>
      </c>
      <c r="H1914" s="40" t="n">
        <f aca="false">H1871*(MIN(H1901,H1882)*$D$1838+MAX(0,H1901-H1882)*$D$1839+H1901*$D$1840)+H1872*(MIN(H1902,H1882)*$D$1838+MAX(0,H1902-H1882)*$D$1839+H1902*$D$1840)+H1873*(MIN(H1903,H1882)*$D$1838+MAX(0,H1903-H1882)*$D$1839+H1903*$D$1840)+H1874*(MIN(H1904,H1882)*$D$1838+MAX(0,H1904-H1882)*$D$1839+H1904*$D$1840)+H1875*(MIN(H1905,H1882)*$D$1838+MAX(0,H1905-H1882)*$D$1839+H1905*$D$1840)+H1876*(MIN(H1906,H1882)*$D$1838+MAX(0,H1906-H1882)*$D$1839+H1906*$D$1840)</f>
        <v>2.874881223552</v>
      </c>
      <c r="I1914" s="40" t="n">
        <f aca="false">I1871*(MIN(I1901,I1882)*$D$1838+MAX(0,I1901-I1882)*$D$1839+I1901*$D$1840)+I1872*(MIN(I1902,I1882)*$D$1838+MAX(0,I1902-I1882)*$D$1839+I1902*$D$1840)+I1873*(MIN(I1903,I1882)*$D$1838+MAX(0,I1903-I1882)*$D$1839+I1903*$D$1840)+I1874*(MIN(I1904,I1882)*$D$1838+MAX(0,I1904-I1882)*$D$1839+I1904*$D$1840)+I1875*(MIN(I1905,I1882)*$D$1838+MAX(0,I1905-I1882)*$D$1839+I1905*$D$1840)+I1876*(MIN(I1906,I1882)*$D$1838+MAX(0,I1906-I1882)*$D$1839+I1906*$D$1840)</f>
        <v>3.69987351263232</v>
      </c>
      <c r="J1914" s="40" t="n">
        <f aca="false">J1871*(MIN(J1901,J1882)*$D$1838+MAX(0,J1901-J1882)*$D$1839+J1901*$D$1840)+J1872*(MIN(J1902,J1882)*$D$1838+MAX(0,J1902-J1882)*$D$1839+J1902*$D$1840)+J1873*(MIN(J1903,J1882)*$D$1838+MAX(0,J1903-J1882)*$D$1839+J1903*$D$1840)+J1874*(MIN(J1904,J1882)*$D$1838+MAX(0,J1904-J1882)*$D$1839+J1904*$D$1840)+J1875*(MIN(J1905,J1882)*$D$1838+MAX(0,J1905-J1882)*$D$1839+J1905*$D$1840)+J1876*(MIN(J1906,J1882)*$D$1838+MAX(0,J1906-J1882)*$D$1839+J1906*$D$1840)</f>
        <v>4.49085916839491</v>
      </c>
      <c r="K1914" s="51" t="n">
        <f aca="false">SUM(F1914:J1914)</f>
        <v>14.9113773989792</v>
      </c>
      <c r="L1914" s="49" t="s">
        <v>650</v>
      </c>
    </row>
    <row r="1915" customFormat="false" ht="15" hidden="true" customHeight="false" outlineLevel="1" collapsed="false">
      <c r="A1915" s="20" t="n">
        <v>84</v>
      </c>
      <c r="B1915" s="6" t="s">
        <v>651</v>
      </c>
      <c r="C1915" s="20"/>
      <c r="D1915" s="23"/>
      <c r="E1915" s="23"/>
      <c r="F1915" s="38" t="n">
        <f aca="false">IF(AND(F1888&gt;0,E1888=0),1,0)</f>
        <v>1</v>
      </c>
      <c r="G1915" s="38" t="n">
        <f aca="false">IF(AND(G1888&gt;0,F1888=0),1,0)</f>
        <v>0</v>
      </c>
      <c r="H1915" s="38" t="n">
        <f aca="false">IF(AND(H1888&gt;0,G1888=0),1,0)</f>
        <v>0</v>
      </c>
      <c r="I1915" s="38" t="n">
        <f aca="false">IF(AND(I1888&gt;0,H1888=0),1,0)</f>
        <v>0</v>
      </c>
      <c r="J1915" s="38" t="n">
        <f aca="false">IF(AND(J1888&gt;0,I1888=0),1,0)</f>
        <v>0</v>
      </c>
      <c r="K1915" s="23"/>
      <c r="L1915" s="49"/>
    </row>
    <row r="1916" customFormat="false" ht="15" hidden="true" customHeight="false" outlineLevel="1" collapsed="false">
      <c r="A1916" s="20" t="n">
        <v>85</v>
      </c>
      <c r="B1916" s="6" t="s">
        <v>652</v>
      </c>
      <c r="C1916" s="20" t="s">
        <v>71</v>
      </c>
      <c r="D1916" s="23"/>
      <c r="E1916" s="23"/>
      <c r="F1916" s="40" t="n">
        <f aca="false">(F1915*$D$1843+IF(E1888&gt;0,1,0)*$D$1844)*F1880</f>
        <v>2</v>
      </c>
      <c r="G1916" s="40" t="n">
        <f aca="false">(G1915*$D$1843+IF(F1888&gt;0,1,0)*$D$1844)*G1880</f>
        <v>0.84</v>
      </c>
      <c r="H1916" s="40" t="n">
        <f aca="false">(H1915*$D$1843+IF(G1888&gt;0,1,0)*$D$1844)*H1880</f>
        <v>0.882</v>
      </c>
      <c r="I1916" s="40" t="n">
        <f aca="false">(I1915*$D$1843+IF(H1888&gt;0,1,0)*$D$1844)*I1880</f>
        <v>0.9261</v>
      </c>
      <c r="J1916" s="40" t="n">
        <f aca="false">(J1915*$D$1843+IF(I1888&gt;0,1,0)*$D$1844)*J1880</f>
        <v>0.972405</v>
      </c>
      <c r="K1916" s="51" t="n">
        <f aca="false">SUM(F1916:J1916)</f>
        <v>5.620505</v>
      </c>
      <c r="L1916" s="49" t="s">
        <v>653</v>
      </c>
    </row>
    <row r="1917" customFormat="false" ht="15" hidden="true" customHeight="false" outlineLevel="1" collapsed="false">
      <c r="A1917" s="20" t="n">
        <v>86</v>
      </c>
      <c r="B1917" s="6" t="s">
        <v>302</v>
      </c>
      <c r="C1917" s="20" t="s">
        <v>71</v>
      </c>
      <c r="D1917" s="23"/>
      <c r="E1917" s="23"/>
      <c r="F1917" s="40" t="n">
        <f aca="false">$D$1845*F1880</f>
        <v>0.48</v>
      </c>
      <c r="G1917" s="40" t="n">
        <f aca="false">$D$1845*G1880</f>
        <v>0.504</v>
      </c>
      <c r="H1917" s="40" t="n">
        <f aca="false">$D$1845*H1880</f>
        <v>0.5292</v>
      </c>
      <c r="I1917" s="40" t="n">
        <f aca="false">$D$1845*I1880</f>
        <v>0.55566</v>
      </c>
      <c r="J1917" s="40" t="n">
        <f aca="false">$D$1845*J1880</f>
        <v>0.583443</v>
      </c>
      <c r="K1917" s="51" t="n">
        <f aca="false">SUM(F1917:J1917)</f>
        <v>2.652303</v>
      </c>
      <c r="L1917" s="49"/>
    </row>
    <row r="1918" customFormat="false" ht="15" hidden="true" customHeight="false" outlineLevel="1" collapsed="false">
      <c r="A1918" s="20" t="n">
        <v>87</v>
      </c>
      <c r="B1918" s="6" t="s">
        <v>654</v>
      </c>
      <c r="C1918" s="20" t="s">
        <v>71</v>
      </c>
      <c r="D1918" s="23"/>
      <c r="E1918" s="23"/>
      <c r="F1918" s="40" t="n">
        <f aca="false">$D$1846*F1899*F1880</f>
        <v>0.48</v>
      </c>
      <c r="G1918" s="40" t="n">
        <f aca="false">$D$1846*G1899*G1880</f>
        <v>0.63</v>
      </c>
      <c r="H1918" s="40" t="n">
        <f aca="false">$D$1846*H1899*H1880</f>
        <v>0.7938</v>
      </c>
      <c r="I1918" s="40" t="n">
        <f aca="false">$D$1846*I1899*I1880</f>
        <v>0.972405</v>
      </c>
      <c r="J1918" s="40" t="n">
        <f aca="false">$D$1846*J1899*J1880</f>
        <v>1.166886</v>
      </c>
      <c r="K1918" s="51" t="n">
        <f aca="false">SUM(F1918:J1918)</f>
        <v>4.043091</v>
      </c>
      <c r="L1918" s="49" t="s">
        <v>655</v>
      </c>
    </row>
    <row r="1919" customFormat="false" ht="15" hidden="true" customHeight="false" outlineLevel="1" collapsed="false">
      <c r="A1919" s="20" t="n">
        <v>88</v>
      </c>
      <c r="B1919" s="6" t="s">
        <v>656</v>
      </c>
      <c r="C1919" s="20" t="s">
        <v>71</v>
      </c>
      <c r="D1919" s="23"/>
      <c r="E1919" s="23"/>
      <c r="F1919" s="40" t="n">
        <f aca="false">($D$1847+$D$1848*F1889)*F1880</f>
        <v>1.12</v>
      </c>
      <c r="G1919" s="40" t="n">
        <f aca="false">($D$1847+$D$1848*G1889)*G1880</f>
        <v>1.176</v>
      </c>
      <c r="H1919" s="40" t="n">
        <f aca="false">($D$1847+$D$1848*H1889)*H1880</f>
        <v>1.9404</v>
      </c>
      <c r="I1919" s="40" t="n">
        <f aca="false">($D$1847+$D$1848*I1889)*I1880</f>
        <v>1.66698</v>
      </c>
      <c r="J1919" s="40" t="n">
        <f aca="false">($D$1847+$D$1848*J1889)*J1880</f>
        <v>2.528253</v>
      </c>
      <c r="K1919" s="51" t="n">
        <f aca="false">SUM(F1919:J1919)</f>
        <v>8.431633</v>
      </c>
      <c r="L1919" s="49" t="s">
        <v>657</v>
      </c>
    </row>
    <row r="1920" customFormat="false" ht="15" hidden="true" customHeight="false" outlineLevel="1" collapsed="false">
      <c r="A1920" s="20" t="n">
        <v>89</v>
      </c>
      <c r="B1920" s="6" t="s">
        <v>658</v>
      </c>
      <c r="C1920" s="20" t="s">
        <v>71</v>
      </c>
      <c r="D1920" s="23"/>
      <c r="E1920" s="23"/>
      <c r="F1920" s="40" t="n">
        <f aca="false">($D$1849+$D$1850*F1899)*F1880</f>
        <v>1.28</v>
      </c>
      <c r="G1920" s="40" t="n">
        <f aca="false">($D$1849+$D$1850*G1899)*G1880</f>
        <v>1.428</v>
      </c>
      <c r="H1920" s="40" t="n">
        <f aca="false">($D$1849+$D$1850*H1899)*H1880</f>
        <v>1.5876</v>
      </c>
      <c r="I1920" s="40" t="n">
        <f aca="false">($D$1849+$D$1850*I1899)*I1880</f>
        <v>1.75959</v>
      </c>
      <c r="J1920" s="40" t="n">
        <f aca="false">($D$1849+$D$1850*J1899)*J1880</f>
        <v>1.94481</v>
      </c>
      <c r="K1920" s="51" t="n">
        <f aca="false">SUM(F1920:J1920)</f>
        <v>8</v>
      </c>
      <c r="L1920" s="49" t="s">
        <v>659</v>
      </c>
    </row>
    <row r="1921" customFormat="false" ht="15" hidden="true" customHeight="false" outlineLevel="1" collapsed="false">
      <c r="A1921" s="20" t="n">
        <v>90</v>
      </c>
      <c r="B1921" s="6" t="s">
        <v>660</v>
      </c>
      <c r="C1921" s="20" t="s">
        <v>71</v>
      </c>
      <c r="D1921" s="23"/>
      <c r="E1921" s="23"/>
      <c r="F1921" s="40" t="n">
        <f aca="false">$D$1851*F1900*F1880</f>
        <v>0.4</v>
      </c>
      <c r="G1921" s="40" t="n">
        <f aca="false">$D$1851*G1900*G1880</f>
        <v>0.21</v>
      </c>
      <c r="H1921" s="40" t="n">
        <f aca="false">$D$1851*H1900*H1880</f>
        <v>0.2205</v>
      </c>
      <c r="I1921" s="40" t="n">
        <f aca="false">$D$1851*I1900*I1880</f>
        <v>0.231525</v>
      </c>
      <c r="J1921" s="40" t="n">
        <f aca="false">$D$1851*J1900*J1880</f>
        <v>0.24310125</v>
      </c>
      <c r="K1921" s="51" t="n">
        <f aca="false">SUM(F1921:J1921)</f>
        <v>1.30512625</v>
      </c>
      <c r="L1921" s="49" t="s">
        <v>661</v>
      </c>
    </row>
    <row r="1922" customFormat="false" ht="15" hidden="true" customHeight="false" outlineLevel="1" collapsed="false">
      <c r="A1922" s="20" t="n">
        <v>91</v>
      </c>
      <c r="B1922" s="6" t="s">
        <v>570</v>
      </c>
      <c r="C1922" s="20" t="s">
        <v>71</v>
      </c>
      <c r="D1922" s="23"/>
      <c r="E1922" s="23"/>
      <c r="F1922" s="40" t="n">
        <f aca="false">IF(F$1878=$F$1878,$D$1852,0)</f>
        <v>0.24</v>
      </c>
      <c r="G1922" s="40" t="n">
        <f aca="false">IF(G$1878=$F$1878,$D$1852,0)</f>
        <v>0</v>
      </c>
      <c r="H1922" s="40" t="n">
        <f aca="false">IF(H$1878=$F$1878,$D$1852,0)</f>
        <v>0</v>
      </c>
      <c r="I1922" s="40" t="n">
        <f aca="false">IF(I$1878=$F$1878,$D$1852,0)</f>
        <v>0</v>
      </c>
      <c r="J1922" s="40" t="n">
        <f aca="false">IF(J$1878=$F$1878,$D$1852,0)</f>
        <v>0</v>
      </c>
      <c r="K1922" s="51" t="n">
        <f aca="false">SUM(F1922:J1922)</f>
        <v>0.24</v>
      </c>
      <c r="L1922" s="49" t="s">
        <v>662</v>
      </c>
    </row>
    <row r="1923" customFormat="false" ht="15" hidden="true" customHeight="false" outlineLevel="1" collapsed="false">
      <c r="A1923" s="20" t="n">
        <v>92</v>
      </c>
      <c r="B1923" s="6" t="s">
        <v>663</v>
      </c>
      <c r="C1923" s="20" t="s">
        <v>71</v>
      </c>
      <c r="D1923" s="23"/>
      <c r="E1923" s="23"/>
      <c r="F1923" s="40" t="n">
        <f aca="false">F1913+F1914+F1916+F1917+F1918+F1919+F1920+F1921+F1922</f>
        <v>18.56928168</v>
      </c>
      <c r="G1923" s="40" t="n">
        <f aca="false">G1913+G1914+G1916+G1917+G1918+G1919+G1920+G1921+G1922</f>
        <v>21.4936818144</v>
      </c>
      <c r="H1923" s="40" t="n">
        <f aca="false">H1913+H1914+H1916+H1917+H1918+H1919+H1920+H1921+H1922</f>
        <v>27.787925223552</v>
      </c>
      <c r="I1923" s="40" t="n">
        <f aca="false">I1913+I1914+I1916+I1917+I1918+I1919+I1920+I1921+I1922</f>
        <v>34.2149900726323</v>
      </c>
      <c r="J1923" s="40" t="n">
        <f aca="false">J1913+J1914+J1916+J1917+J1918+J1919+J1920+J1921+J1922</f>
        <v>41.5013154039949</v>
      </c>
      <c r="K1923" s="51" t="n">
        <f aca="false">SUM(F1923:J1923)</f>
        <v>143.567194194579</v>
      </c>
      <c r="L1923" s="49"/>
    </row>
    <row r="1924" customFormat="false" ht="15" hidden="true" customHeight="false" outlineLevel="1" collapsed="false">
      <c r="A1924" s="20" t="n">
        <v>93</v>
      </c>
      <c r="B1924" s="6" t="s">
        <v>329</v>
      </c>
      <c r="C1924" s="20" t="s">
        <v>71</v>
      </c>
      <c r="D1924" s="23"/>
      <c r="E1924" s="23"/>
      <c r="F1924" s="40" t="n">
        <f aca="false">F1923*$D$1854</f>
        <v>1.856928168</v>
      </c>
      <c r="G1924" s="40" t="n">
        <f aca="false">G1923*$D$1854</f>
        <v>2.14936818144</v>
      </c>
      <c r="H1924" s="40" t="n">
        <f aca="false">H1923*$D$1854</f>
        <v>2.7787925223552</v>
      </c>
      <c r="I1924" s="40" t="n">
        <f aca="false">I1923*$D$1854</f>
        <v>3.42149900726323</v>
      </c>
      <c r="J1924" s="40" t="n">
        <f aca="false">J1923*$D$1854</f>
        <v>4.15013154039949</v>
      </c>
      <c r="K1924" s="51" t="n">
        <f aca="false">SUM(F1924:J1924)</f>
        <v>14.3567194194579</v>
      </c>
      <c r="L1924" s="49"/>
    </row>
    <row r="1925" customFormat="false" ht="15" hidden="true" customHeight="false" outlineLevel="1" collapsed="false">
      <c r="A1925" s="20" t="n">
        <v>94</v>
      </c>
      <c r="B1925" s="6" t="s">
        <v>664</v>
      </c>
      <c r="C1925" s="20" t="s">
        <v>71</v>
      </c>
      <c r="D1925" s="23"/>
      <c r="E1925" s="23"/>
      <c r="F1925" s="40" t="n">
        <f aca="false">F1923+F1924</f>
        <v>20.426209848</v>
      </c>
      <c r="G1925" s="40" t="n">
        <f aca="false">G1923+G1924</f>
        <v>23.64304999584</v>
      </c>
      <c r="H1925" s="40" t="n">
        <f aca="false">H1923+H1924</f>
        <v>30.5667177459072</v>
      </c>
      <c r="I1925" s="40" t="n">
        <f aca="false">I1923+I1924</f>
        <v>37.6364890798956</v>
      </c>
      <c r="J1925" s="40" t="n">
        <f aca="false">J1923+J1924</f>
        <v>45.6514469443944</v>
      </c>
      <c r="K1925" s="51" t="n">
        <f aca="false">SUM(F1925:J1925)</f>
        <v>157.923913614037</v>
      </c>
      <c r="L1925" s="49"/>
    </row>
    <row r="1926" customFormat="false" ht="15" hidden="true" customHeight="false" outlineLevel="1" collapsed="false">
      <c r="A1926" s="19" t="s">
        <v>665</v>
      </c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</row>
    <row r="1927" customFormat="false" ht="15" hidden="true" customHeight="false" outlineLevel="1" collapsed="false">
      <c r="A1927" s="20" t="n">
        <v>95</v>
      </c>
      <c r="B1927" s="6" t="s">
        <v>666</v>
      </c>
      <c r="C1927" s="20" t="s">
        <v>71</v>
      </c>
      <c r="D1927" s="23"/>
      <c r="E1927" s="23"/>
      <c r="F1927" s="40" t="n">
        <f aca="false">F1896-F1925</f>
        <v>-12.426209848</v>
      </c>
      <c r="G1927" s="40" t="n">
        <f aca="false">G1896-G1925</f>
        <v>-5.79304999584</v>
      </c>
      <c r="H1927" s="40" t="n">
        <f aca="false">H1896-H1925</f>
        <v>3.49019631659279</v>
      </c>
      <c r="I1927" s="40" t="n">
        <f aca="false">I1896-I1925</f>
        <v>5.72815986364138</v>
      </c>
      <c r="J1927" s="40" t="n">
        <f aca="false">J1896-J1925</f>
        <v>22.1255052877389</v>
      </c>
      <c r="K1927" s="51" t="n">
        <f aca="false">SUM(F1927:J1927)</f>
        <v>13.1246016241331</v>
      </c>
      <c r="L1927" s="49" t="s">
        <v>667</v>
      </c>
    </row>
    <row r="1928" customFormat="false" ht="15" hidden="true" customHeight="false" outlineLevel="1" collapsed="false">
      <c r="A1928" s="20" t="n">
        <v>96</v>
      </c>
      <c r="B1928" s="6" t="s">
        <v>668</v>
      </c>
      <c r="C1928" s="20" t="s">
        <v>68</v>
      </c>
      <c r="D1928" s="23"/>
      <c r="E1928" s="23"/>
      <c r="F1928" s="44" t="n">
        <f aca="false">IF(F1896&gt;0,F1927/F1896,0)</f>
        <v>-1.553276231</v>
      </c>
      <c r="G1928" s="44" t="n">
        <f aca="false">IF(G1896&gt;0,G1927/G1896,0)</f>
        <v>-0.324540616013445</v>
      </c>
      <c r="H1928" s="44" t="n">
        <f aca="false">IF(H1896&gt;0,H1927/H1896,0)</f>
        <v>0.102481285009784</v>
      </c>
      <c r="I1928" s="44" t="n">
        <f aca="false">IF(I1896&gt;0,I1927/I1896,0)</f>
        <v>0.132092845282796</v>
      </c>
      <c r="J1928" s="44" t="n">
        <f aca="false">IF(J1896&gt;0,J1927/J1896,0)</f>
        <v>0.326445857464348</v>
      </c>
      <c r="K1928" s="23"/>
      <c r="L1928" s="49"/>
    </row>
    <row r="1929" customFormat="false" ht="15" hidden="true" customHeight="false" outlineLevel="1" collapsed="false">
      <c r="A1929" s="20" t="n">
        <v>97</v>
      </c>
      <c r="B1929" s="6" t="s">
        <v>669</v>
      </c>
      <c r="C1929" s="20" t="s">
        <v>71</v>
      </c>
      <c r="D1929" s="23"/>
      <c r="E1929" s="23"/>
      <c r="F1929" s="40" t="n">
        <f aca="false">E1933</f>
        <v>0</v>
      </c>
      <c r="G1929" s="40" t="n">
        <f aca="false">F1933</f>
        <v>12.426209848</v>
      </c>
      <c r="H1929" s="40" t="n">
        <f aca="false">G1933</f>
        <v>18.21925984384</v>
      </c>
      <c r="I1929" s="40" t="n">
        <f aca="false">H1933</f>
        <v>16.4741616855436</v>
      </c>
      <c r="J1929" s="40" t="n">
        <f aca="false">I1933</f>
        <v>13.6100817537229</v>
      </c>
      <c r="K1929" s="23"/>
      <c r="L1929" s="49"/>
    </row>
    <row r="1930" customFormat="false" ht="15" hidden="true" customHeight="false" outlineLevel="1" collapsed="false">
      <c r="A1930" s="20" t="n">
        <v>98</v>
      </c>
      <c r="B1930" s="6" t="s">
        <v>670</v>
      </c>
      <c r="C1930" s="20" t="s">
        <v>71</v>
      </c>
      <c r="D1930" s="23"/>
      <c r="E1930" s="23"/>
      <c r="F1930" s="40" t="n">
        <f aca="false">MIN(F1929,MAX(0,F1927)*$D$1856)</f>
        <v>0</v>
      </c>
      <c r="G1930" s="40" t="n">
        <f aca="false">MIN(G1929,MAX(0,G1927)*$D$1856)</f>
        <v>0</v>
      </c>
      <c r="H1930" s="40" t="n">
        <f aca="false">MIN(H1929,MAX(0,H1927)*$D$1856)</f>
        <v>1.7450981582964</v>
      </c>
      <c r="I1930" s="40" t="n">
        <f aca="false">MIN(I1929,MAX(0,I1927)*$D$1856)</f>
        <v>2.86407993182069</v>
      </c>
      <c r="J1930" s="40" t="n">
        <f aca="false">MIN(J1929,MAX(0,J1927)*$D$1856)</f>
        <v>11.0627526438695</v>
      </c>
      <c r="K1930" s="23"/>
      <c r="L1930" s="49" t="s">
        <v>671</v>
      </c>
    </row>
    <row r="1931" customFormat="false" ht="15" hidden="true" customHeight="false" outlineLevel="1" collapsed="false">
      <c r="A1931" s="20" t="n">
        <v>99</v>
      </c>
      <c r="B1931" s="6" t="s">
        <v>672</v>
      </c>
      <c r="C1931" s="20" t="s">
        <v>71</v>
      </c>
      <c r="D1931" s="23"/>
      <c r="E1931" s="23"/>
      <c r="F1931" s="40" t="n">
        <f aca="false">MAX(0,F1927)-F1930</f>
        <v>0</v>
      </c>
      <c r="G1931" s="40" t="n">
        <f aca="false">MAX(0,G1927)-G1930</f>
        <v>0</v>
      </c>
      <c r="H1931" s="40" t="n">
        <f aca="false">MAX(0,H1927)-H1930</f>
        <v>1.7450981582964</v>
      </c>
      <c r="I1931" s="40" t="n">
        <f aca="false">MAX(0,I1927)-I1930</f>
        <v>2.86407993182069</v>
      </c>
      <c r="J1931" s="40" t="n">
        <f aca="false">MAX(0,J1927)-J1930</f>
        <v>11.0627526438695</v>
      </c>
      <c r="K1931" s="23"/>
      <c r="L1931" s="49"/>
    </row>
    <row r="1932" customFormat="false" ht="15" hidden="true" customHeight="false" outlineLevel="1" collapsed="false">
      <c r="A1932" s="20" t="n">
        <v>100</v>
      </c>
      <c r="B1932" s="6" t="s">
        <v>572</v>
      </c>
      <c r="C1932" s="20" t="s">
        <v>71</v>
      </c>
      <c r="D1932" s="23"/>
      <c r="E1932" s="23"/>
      <c r="F1932" s="40" t="n">
        <f aca="false">F1931*$D$1855</f>
        <v>0</v>
      </c>
      <c r="G1932" s="40" t="n">
        <f aca="false">G1931*$D$1855</f>
        <v>0</v>
      </c>
      <c r="H1932" s="40" t="n">
        <f aca="false">H1931*$D$1855</f>
        <v>0.0872549079148199</v>
      </c>
      <c r="I1932" s="40" t="n">
        <f aca="false">I1931*$D$1855</f>
        <v>0.143203996591035</v>
      </c>
      <c r="J1932" s="40" t="n">
        <f aca="false">J1931*$D$1855</f>
        <v>0.553137632193473</v>
      </c>
      <c r="K1932" s="51" t="n">
        <f aca="false">SUM(F1932:J1932)</f>
        <v>0.783596536699328</v>
      </c>
      <c r="L1932" s="49"/>
    </row>
    <row r="1933" customFormat="false" ht="15" hidden="true" customHeight="false" outlineLevel="1" collapsed="false">
      <c r="A1933" s="20" t="n">
        <v>101</v>
      </c>
      <c r="B1933" s="6" t="s">
        <v>673</v>
      </c>
      <c r="C1933" s="20" t="s">
        <v>71</v>
      </c>
      <c r="D1933" s="23"/>
      <c r="E1933" s="40" t="n">
        <f aca="false">0</f>
        <v>0</v>
      </c>
      <c r="F1933" s="40" t="n">
        <f aca="false">F1929-F1930+MAX(0,-F1927)</f>
        <v>12.426209848</v>
      </c>
      <c r="G1933" s="40" t="n">
        <f aca="false">G1929-G1930+MAX(0,-G1927)</f>
        <v>18.21925984384</v>
      </c>
      <c r="H1933" s="40" t="n">
        <f aca="false">H1929-H1930+MAX(0,-H1927)</f>
        <v>16.4741616855436</v>
      </c>
      <c r="I1933" s="40" t="n">
        <f aca="false">I1929-I1930+MAX(0,-I1927)</f>
        <v>13.6100817537229</v>
      </c>
      <c r="J1933" s="40" t="n">
        <f aca="false">J1929-J1930+MAX(0,-J1927)</f>
        <v>2.54732910985345</v>
      </c>
      <c r="K1933" s="23"/>
      <c r="L1933" s="49"/>
    </row>
    <row r="1934" customFormat="false" ht="15" hidden="true" customHeight="false" outlineLevel="1" collapsed="false">
      <c r="A1934" s="20" t="n">
        <v>102</v>
      </c>
      <c r="B1934" s="6" t="s">
        <v>674</v>
      </c>
      <c r="C1934" s="20" t="s">
        <v>71</v>
      </c>
      <c r="D1934" s="23"/>
      <c r="E1934" s="23"/>
      <c r="F1934" s="40" t="n">
        <f aca="false">F1927-F1932</f>
        <v>-12.426209848</v>
      </c>
      <c r="G1934" s="40" t="n">
        <f aca="false">G1927-G1932</f>
        <v>-5.79304999584</v>
      </c>
      <c r="H1934" s="40" t="n">
        <f aca="false">H1927-H1932</f>
        <v>3.40294140867797</v>
      </c>
      <c r="I1934" s="40" t="n">
        <f aca="false">I1927-I1932</f>
        <v>5.58495586705035</v>
      </c>
      <c r="J1934" s="40" t="n">
        <f aca="false">J1927-J1932</f>
        <v>21.5723676555455</v>
      </c>
      <c r="K1934" s="51" t="n">
        <f aca="false">SUM(F1934:J1934)</f>
        <v>12.3410050874338</v>
      </c>
      <c r="L1934" s="49"/>
    </row>
    <row r="1935" customFormat="false" ht="15" hidden="true" customHeight="false" outlineLevel="1" collapsed="false">
      <c r="A1935" s="19" t="s">
        <v>675</v>
      </c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</row>
    <row r="1936" customFormat="false" ht="15" hidden="true" customHeight="false" outlineLevel="1" collapsed="false">
      <c r="A1936" s="20" t="n">
        <v>103</v>
      </c>
      <c r="B1936" s="6" t="s">
        <v>676</v>
      </c>
      <c r="C1936" s="20" t="s">
        <v>71</v>
      </c>
      <c r="D1936" s="23"/>
      <c r="E1936" s="40" t="n">
        <f aca="false">0</f>
        <v>0</v>
      </c>
      <c r="F1936" s="40" t="n">
        <f aca="false">F1896*$D$1857/365</f>
        <v>1.97260273972603</v>
      </c>
      <c r="G1936" s="40" t="n">
        <f aca="false">G1896*$D$1857/365</f>
        <v>4.4013698630137</v>
      </c>
      <c r="H1936" s="40" t="n">
        <f aca="false">H1896*$D$1857/365</f>
        <v>8.39759524828767</v>
      </c>
      <c r="I1936" s="40" t="n">
        <f aca="false">I1896*$D$1857/365</f>
        <v>10.6926531641598</v>
      </c>
      <c r="J1936" s="40" t="n">
        <f aca="false">J1896*$D$1857/365</f>
        <v>16.7121252079233</v>
      </c>
      <c r="K1936" s="23"/>
      <c r="L1936" s="49" t="s">
        <v>677</v>
      </c>
    </row>
    <row r="1937" customFormat="false" ht="15" hidden="true" customHeight="false" outlineLevel="1" collapsed="false">
      <c r="A1937" s="20" t="n">
        <v>104</v>
      </c>
      <c r="B1937" s="6" t="s">
        <v>678</v>
      </c>
      <c r="C1937" s="20" t="s">
        <v>71</v>
      </c>
      <c r="D1937" s="23"/>
      <c r="E1937" s="23"/>
      <c r="F1937" s="40" t="n">
        <f aca="false">F1936-E1936</f>
        <v>1.97260273972603</v>
      </c>
      <c r="G1937" s="40" t="n">
        <f aca="false">G1936-F1936</f>
        <v>2.42876712328767</v>
      </c>
      <c r="H1937" s="40" t="n">
        <f aca="false">H1936-G1936</f>
        <v>3.99622538527397</v>
      </c>
      <c r="I1937" s="40" t="n">
        <f aca="false">I1936-H1936</f>
        <v>2.29505791587212</v>
      </c>
      <c r="J1937" s="40" t="n">
        <f aca="false">J1936-I1936</f>
        <v>6.0194720437635</v>
      </c>
      <c r="K1937" s="51" t="n">
        <f aca="false">SUM(F1937:J1937)</f>
        <v>16.7121252079233</v>
      </c>
      <c r="L1937" s="49"/>
    </row>
    <row r="1938" customFormat="false" ht="15" hidden="true" customHeight="false" outlineLevel="1" collapsed="false">
      <c r="A1938" s="20" t="n">
        <v>105</v>
      </c>
      <c r="B1938" s="6" t="s">
        <v>679</v>
      </c>
      <c r="C1938" s="20" t="s">
        <v>71</v>
      </c>
      <c r="D1938" s="23"/>
      <c r="E1938" s="23"/>
      <c r="F1938" s="40" t="n">
        <f aca="false">F1934-F1937</f>
        <v>-14.398812587726</v>
      </c>
      <c r="G1938" s="40" t="n">
        <f aca="false">G1934-G1937</f>
        <v>-8.22181711912767</v>
      </c>
      <c r="H1938" s="40" t="n">
        <f aca="false">H1934-H1937</f>
        <v>-0.593283976595997</v>
      </c>
      <c r="I1938" s="40" t="n">
        <f aca="false">I1934-I1937</f>
        <v>3.28989795117823</v>
      </c>
      <c r="J1938" s="40" t="n">
        <f aca="false">J1934-J1937</f>
        <v>15.552895611782</v>
      </c>
      <c r="K1938" s="51" t="n">
        <f aca="false">SUM(F1938:J1938)</f>
        <v>-4.37112012048951</v>
      </c>
      <c r="L1938" s="49" t="s">
        <v>680</v>
      </c>
    </row>
    <row r="1939" customFormat="false" ht="15" hidden="true" customHeight="false" outlineLevel="1" collapsed="false">
      <c r="A1939" s="20" t="n">
        <v>106</v>
      </c>
      <c r="B1939" s="6" t="s">
        <v>93</v>
      </c>
      <c r="C1939" s="20" t="s">
        <v>71</v>
      </c>
      <c r="D1939" s="23"/>
      <c r="E1939" s="40" t="n">
        <f aca="false">0</f>
        <v>0</v>
      </c>
      <c r="F1939" s="40" t="n">
        <f aca="false">E1939+F1938</f>
        <v>-14.398812587726</v>
      </c>
      <c r="G1939" s="40" t="n">
        <f aca="false">F1939+G1938</f>
        <v>-22.6206297068537</v>
      </c>
      <c r="H1939" s="40" t="n">
        <f aca="false">G1939+H1938</f>
        <v>-23.2139136834497</v>
      </c>
      <c r="I1939" s="40" t="n">
        <f aca="false">H1939+I1938</f>
        <v>-19.9240157322715</v>
      </c>
      <c r="J1939" s="40" t="n">
        <f aca="false">I1939+J1938</f>
        <v>-4.37112012048951</v>
      </c>
      <c r="K1939" s="23"/>
      <c r="L1939" s="49" t="s">
        <v>681</v>
      </c>
    </row>
    <row r="1940" customFormat="false" ht="15" hidden="true" customHeight="false" outlineLevel="1" collapsed="false">
      <c r="A1940" s="20" t="n">
        <v>107</v>
      </c>
      <c r="B1940" s="6" t="s">
        <v>682</v>
      </c>
      <c r="C1940" s="20"/>
      <c r="D1940" s="23"/>
      <c r="E1940" s="23"/>
      <c r="F1940" s="53" t="n">
        <f aca="false">1/(1+$D$1858)^(F$1878-$E$1878)</f>
        <v>0.769230769230769</v>
      </c>
      <c r="G1940" s="53" t="n">
        <f aca="false">1/(1+$D$1858)^(G$1878-$E$1878)</f>
        <v>0.591715976331361</v>
      </c>
      <c r="H1940" s="53" t="n">
        <f aca="false">1/(1+$D$1858)^(H$1878-$E$1878)</f>
        <v>0.455166135639508</v>
      </c>
      <c r="I1940" s="53" t="n">
        <f aca="false">1/(1+$D$1858)^(I$1878-$E$1878)</f>
        <v>0.350127796645776</v>
      </c>
      <c r="J1940" s="53" t="n">
        <f aca="false">1/(1+$D$1858)^(J$1878-$E$1878)</f>
        <v>0.269329074342904</v>
      </c>
      <c r="K1940" s="23"/>
      <c r="L1940" s="49" t="s">
        <v>683</v>
      </c>
    </row>
    <row r="1941" customFormat="false" ht="15" hidden="true" customHeight="false" outlineLevel="1" collapsed="false">
      <c r="A1941" s="20" t="n">
        <v>108</v>
      </c>
      <c r="B1941" s="6" t="s">
        <v>684</v>
      </c>
      <c r="C1941" s="20" t="s">
        <v>71</v>
      </c>
      <c r="D1941" s="23"/>
      <c r="E1941" s="23"/>
      <c r="F1941" s="40" t="n">
        <f aca="false">F1938*F1940</f>
        <v>-11.0760096828662</v>
      </c>
      <c r="G1941" s="40" t="n">
        <f aca="false">G1938*G1940</f>
        <v>-4.86498054386253</v>
      </c>
      <c r="H1941" s="40" t="n">
        <f aca="false">H1938*H1940</f>
        <v>-0.270042774964041</v>
      </c>
      <c r="I1941" s="40" t="n">
        <f aca="false">I1938*I1940</f>
        <v>1.15188472083548</v>
      </c>
      <c r="J1941" s="40" t="n">
        <f aca="false">J1938*J1940</f>
        <v>4.18884697847306</v>
      </c>
      <c r="K1941" s="51" t="n">
        <f aca="false">SUM(F1941:J1941)</f>
        <v>-10.8703013023842</v>
      </c>
      <c r="L1941" s="49"/>
    </row>
    <row r="1942" customFormat="false" ht="15" hidden="true" customHeight="false" outlineLevel="1" collapsed="false">
      <c r="A1942" s="20" t="n">
        <v>109</v>
      </c>
      <c r="B1942" s="6" t="s">
        <v>685</v>
      </c>
      <c r="C1942" s="20" t="s">
        <v>71</v>
      </c>
      <c r="D1942" s="23"/>
      <c r="E1942" s="23"/>
      <c r="F1942" s="40" t="n">
        <f aca="false">IF(F$1878=$J$1878,MAX(0,F1938)*(1+$D$1859)/($D$1858-$D$1859),0)</f>
        <v>0</v>
      </c>
      <c r="G1942" s="40" t="n">
        <f aca="false">IF(G$1878=$J$1878,MAX(0,G1938)*(1+$D$1859)/($D$1858-$D$1859),0)</f>
        <v>0</v>
      </c>
      <c r="H1942" s="40" t="n">
        <f aca="false">IF(H$1878=$J$1878,MAX(0,H1938)*(1+$D$1859)/($D$1858-$D$1859),0)</f>
        <v>0</v>
      </c>
      <c r="I1942" s="40" t="n">
        <f aca="false">IF(I$1878=$J$1878,MAX(0,I1938)*(1+$D$1859)/($D$1858-$D$1859),0)</f>
        <v>0</v>
      </c>
      <c r="J1942" s="40" t="n">
        <f aca="false">IF(J$1878=$J$1878,MAX(0,J1938)*(1+$D$1859)/($D$1858-$D$1859),0)</f>
        <v>62.2115824471278</v>
      </c>
      <c r="K1942" s="23"/>
      <c r="L1942" s="49" t="s">
        <v>686</v>
      </c>
    </row>
    <row r="1943" customFormat="false" ht="15" hidden="true" customHeight="false" outlineLevel="1" collapsed="false">
      <c r="A1943" s="20" t="n">
        <v>110</v>
      </c>
      <c r="B1943" s="6" t="s">
        <v>687</v>
      </c>
      <c r="C1943" s="20" t="s">
        <v>71</v>
      </c>
      <c r="D1943" s="23"/>
      <c r="E1943" s="23"/>
      <c r="F1943" s="40" t="n">
        <f aca="false">F1942*F1940</f>
        <v>0</v>
      </c>
      <c r="G1943" s="40" t="n">
        <f aca="false">G1942*G1940</f>
        <v>0</v>
      </c>
      <c r="H1943" s="40" t="n">
        <f aca="false">H1942*H1940</f>
        <v>0</v>
      </c>
      <c r="I1943" s="40" t="n">
        <f aca="false">I1942*I1940</f>
        <v>0</v>
      </c>
      <c r="J1943" s="40" t="n">
        <f aca="false">J1942*J1940</f>
        <v>16.7553879138922</v>
      </c>
      <c r="K1943" s="51" t="n">
        <f aca="false">SUM(F1943:J1943)</f>
        <v>16.7553879138922</v>
      </c>
      <c r="L1943" s="49"/>
    </row>
    <row r="1944" customFormat="false" ht="15" hidden="true" customHeight="false" outlineLevel="1" collapsed="false">
      <c r="A1944" s="20" t="n">
        <v>111</v>
      </c>
      <c r="B1944" s="6" t="s">
        <v>688</v>
      </c>
      <c r="C1944" s="20" t="s">
        <v>71</v>
      </c>
      <c r="D1944" s="23"/>
      <c r="E1944" s="23"/>
      <c r="F1944" s="40" t="n">
        <f aca="false">F1938+F1942</f>
        <v>-14.398812587726</v>
      </c>
      <c r="G1944" s="40" t="n">
        <f aca="false">G1938+G1942</f>
        <v>-8.22181711912767</v>
      </c>
      <c r="H1944" s="40" t="n">
        <f aca="false">H1938+H1942</f>
        <v>-0.593283976595997</v>
      </c>
      <c r="I1944" s="40" t="n">
        <f aca="false">I1938+I1942</f>
        <v>3.28989795117823</v>
      </c>
      <c r="J1944" s="40" t="n">
        <f aca="false">J1938+J1942</f>
        <v>77.7644780589098</v>
      </c>
      <c r="K1944" s="23"/>
      <c r="L1944" s="49" t="s">
        <v>689</v>
      </c>
    </row>
    <row r="1945" customFormat="false" ht="15" hidden="true" customHeight="false" outlineLevel="1" collapsed="false">
      <c r="A1945" s="20" t="n">
        <v>112</v>
      </c>
      <c r="B1945" s="6" t="s">
        <v>690</v>
      </c>
      <c r="C1945" s="20"/>
      <c r="D1945" s="23"/>
      <c r="E1945" s="23"/>
      <c r="F1945" s="52" t="str">
        <f aca="false">IF(AND(F1927&gt;0,COUNTIF($F$1927:F$1927,"&gt;0")=1),F$1878,"")</f>
        <v/>
      </c>
      <c r="G1945" s="52" t="str">
        <f aca="false">IF(AND(G1927&gt;0,COUNTIF($F$1927:G$1927,"&gt;0")=1),G$1878,"")</f>
        <v/>
      </c>
      <c r="H1945" s="52" t="n">
        <f aca="false">IF(AND(H1927&gt;0,COUNTIF($F$1927:H$1927,"&gt;0")=1),H$1878,"")</f>
        <v>2029</v>
      </c>
      <c r="I1945" s="52" t="str">
        <f aca="false">IF(AND(I1927&gt;0,COUNTIF($F$1927:I$1927,"&gt;0")=1),I$1878,"")</f>
        <v/>
      </c>
      <c r="J1945" s="52" t="str">
        <f aca="false">IF(AND(J1927&gt;0,COUNTIF($F$1927:J$1927,"&gt;0")=1),J$1878,"")</f>
        <v/>
      </c>
      <c r="K1945" s="23"/>
      <c r="L1945" s="49" t="s">
        <v>691</v>
      </c>
    </row>
    <row r="1946" customFormat="false" ht="15" hidden="true" customHeight="false" outlineLevel="1" collapsed="false">
      <c r="A1946" s="20" t="n">
        <v>113</v>
      </c>
      <c r="B1946" s="6" t="s">
        <v>692</v>
      </c>
      <c r="C1946" s="20"/>
      <c r="D1946" s="23"/>
      <c r="E1946" s="23"/>
      <c r="F1946" s="52" t="str">
        <f aca="false">IF(AND(F1939&gt;0,COUNTIF($F$1939:F$1939,"&gt;0")=1),F$1878,"")</f>
        <v/>
      </c>
      <c r="G1946" s="52" t="str">
        <f aca="false">IF(AND(G1939&gt;0,COUNTIF($F$1939:G$1939,"&gt;0")=1),G$1878,"")</f>
        <v/>
      </c>
      <c r="H1946" s="52" t="str">
        <f aca="false">IF(AND(H1939&gt;0,COUNTIF($F$1939:H$1939,"&gt;0")=1),H$1878,"")</f>
        <v/>
      </c>
      <c r="I1946" s="52" t="str">
        <f aca="false">IF(AND(I1939&gt;0,COUNTIF($F$1939:I$1939,"&gt;0")=1),I$1878,"")</f>
        <v/>
      </c>
      <c r="J1946" s="52" t="str">
        <f aca="false">IF(AND(J1939&gt;0,COUNTIF($F$1939:J$1939,"&gt;0")=1),J$1878,"")</f>
        <v/>
      </c>
      <c r="K1946" s="23"/>
      <c r="L1946" s="49" t="s">
        <v>691</v>
      </c>
    </row>
    <row r="1947" customFormat="false" ht="15" hidden="true" customHeight="false" outlineLevel="1" collapsed="false">
      <c r="A1947" s="19" t="s">
        <v>693</v>
      </c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</row>
    <row r="1948" customFormat="false" ht="15" hidden="true" customHeight="false" outlineLevel="1" collapsed="false">
      <c r="A1948" s="20" t="n">
        <v>114</v>
      </c>
      <c r="B1948" s="6" t="s">
        <v>70</v>
      </c>
      <c r="C1948" s="20" t="s">
        <v>71</v>
      </c>
      <c r="D1948" s="51" t="n">
        <f aca="false">SUM(F1896:J1896)</f>
        <v>171.04851523817</v>
      </c>
      <c r="E1948" s="23"/>
      <c r="F1948" s="23"/>
      <c r="G1948" s="23"/>
      <c r="H1948" s="23"/>
      <c r="I1948" s="23"/>
      <c r="J1948" s="23"/>
      <c r="K1948" s="23"/>
      <c r="L1948" s="49"/>
    </row>
    <row r="1949" customFormat="false" ht="15" hidden="true" customHeight="false" outlineLevel="1" collapsed="false">
      <c r="A1949" s="20" t="n">
        <v>115</v>
      </c>
      <c r="B1949" s="6" t="s">
        <v>694</v>
      </c>
      <c r="C1949" s="20" t="s">
        <v>71</v>
      </c>
      <c r="D1949" s="51" t="n">
        <f aca="false">J1896</f>
        <v>67.7769522321333</v>
      </c>
      <c r="E1949" s="23"/>
      <c r="F1949" s="23"/>
      <c r="G1949" s="23"/>
      <c r="H1949" s="23"/>
      <c r="I1949" s="23"/>
      <c r="J1949" s="23"/>
      <c r="K1949" s="23"/>
      <c r="L1949" s="49"/>
    </row>
    <row r="1950" customFormat="false" ht="15" hidden="true" customHeight="false" outlineLevel="1" collapsed="false">
      <c r="A1950" s="20" t="n">
        <v>116</v>
      </c>
      <c r="B1950" s="6" t="s">
        <v>695</v>
      </c>
      <c r="C1950" s="20" t="s">
        <v>71</v>
      </c>
      <c r="D1950" s="51" t="n">
        <f aca="false">J1897</f>
        <v>74.6329671070812</v>
      </c>
      <c r="E1950" s="23"/>
      <c r="F1950" s="23"/>
      <c r="G1950" s="23"/>
      <c r="H1950" s="23"/>
      <c r="I1950" s="23"/>
      <c r="J1950" s="23"/>
      <c r="K1950" s="23"/>
      <c r="L1950" s="49"/>
    </row>
    <row r="1951" customFormat="false" ht="15" hidden="true" customHeight="false" outlineLevel="1" collapsed="false">
      <c r="A1951" s="20" t="n">
        <v>117</v>
      </c>
      <c r="B1951" s="6" t="s">
        <v>696</v>
      </c>
      <c r="C1951" s="20" t="s">
        <v>71</v>
      </c>
      <c r="D1951" s="51" t="n">
        <f aca="false">J1927</f>
        <v>22.1255052877389</v>
      </c>
      <c r="E1951" s="23"/>
      <c r="F1951" s="23"/>
      <c r="G1951" s="23"/>
      <c r="H1951" s="23"/>
      <c r="I1951" s="23"/>
      <c r="J1951" s="23"/>
      <c r="K1951" s="23"/>
      <c r="L1951" s="49"/>
    </row>
    <row r="1952" customFormat="false" ht="15" hidden="true" customHeight="false" outlineLevel="1" collapsed="false">
      <c r="A1952" s="20" t="n">
        <v>118</v>
      </c>
      <c r="B1952" s="6" t="s">
        <v>697</v>
      </c>
      <c r="C1952" s="20" t="s">
        <v>76</v>
      </c>
      <c r="D1952" s="54" t="n">
        <f aca="false">J1888</f>
        <v>11</v>
      </c>
      <c r="E1952" s="23"/>
      <c r="F1952" s="23"/>
      <c r="G1952" s="23"/>
      <c r="H1952" s="23"/>
      <c r="I1952" s="23"/>
      <c r="J1952" s="23"/>
      <c r="K1952" s="23"/>
      <c r="L1952" s="49"/>
    </row>
    <row r="1953" customFormat="false" ht="15" hidden="true" customHeight="false" outlineLevel="1" collapsed="false">
      <c r="A1953" s="20" t="n">
        <v>119</v>
      </c>
      <c r="B1953" s="6" t="s">
        <v>698</v>
      </c>
      <c r="C1953" s="20" t="s">
        <v>53</v>
      </c>
      <c r="D1953" s="51" t="n">
        <f aca="false">J1899</f>
        <v>8</v>
      </c>
      <c r="E1953" s="23"/>
      <c r="F1953" s="23"/>
      <c r="G1953" s="23"/>
      <c r="H1953" s="23"/>
      <c r="I1953" s="23"/>
      <c r="J1953" s="23"/>
      <c r="K1953" s="23"/>
      <c r="L1953" s="49"/>
    </row>
    <row r="1954" customFormat="false" ht="15" hidden="true" customHeight="false" outlineLevel="1" collapsed="false">
      <c r="A1954" s="20" t="n">
        <v>120</v>
      </c>
      <c r="B1954" s="6" t="s">
        <v>699</v>
      </c>
      <c r="C1954" s="20" t="s">
        <v>71</v>
      </c>
      <c r="D1954" s="51" t="n">
        <f aca="false">MIN(0,MIN(F1939:J1939))</f>
        <v>-23.2139136834497</v>
      </c>
      <c r="E1954" s="23"/>
      <c r="F1954" s="23"/>
      <c r="G1954" s="23"/>
      <c r="H1954" s="23"/>
      <c r="I1954" s="23"/>
      <c r="J1954" s="23"/>
      <c r="K1954" s="23"/>
      <c r="L1954" s="49"/>
    </row>
    <row r="1955" customFormat="false" ht="15" hidden="true" customHeight="false" outlineLevel="1" collapsed="false">
      <c r="A1955" s="20" t="n">
        <v>121</v>
      </c>
      <c r="B1955" s="6" t="s">
        <v>700</v>
      </c>
      <c r="C1955" s="20" t="s">
        <v>71</v>
      </c>
      <c r="D1955" s="51" t="n">
        <f aca="false">-$D$1954*(1+$D$1860)</f>
        <v>27.8566964201396</v>
      </c>
      <c r="E1955" s="23"/>
      <c r="F1955" s="23"/>
      <c r="G1955" s="23"/>
      <c r="H1955" s="23"/>
      <c r="I1955" s="23"/>
      <c r="J1955" s="23"/>
      <c r="K1955" s="23"/>
      <c r="L1955" s="49"/>
    </row>
    <row r="1956" customFormat="false" ht="15" hidden="true" customHeight="false" outlineLevel="1" collapsed="false">
      <c r="A1956" s="20" t="n">
        <v>122</v>
      </c>
      <c r="B1956" s="6" t="s">
        <v>701</v>
      </c>
      <c r="C1956" s="20" t="s">
        <v>71</v>
      </c>
      <c r="D1956" s="51" t="n">
        <f aca="false">J1939</f>
        <v>-4.37112012048951</v>
      </c>
      <c r="E1956" s="23"/>
      <c r="F1956" s="23"/>
      <c r="G1956" s="23"/>
      <c r="H1956" s="23"/>
      <c r="I1956" s="23"/>
      <c r="J1956" s="23"/>
      <c r="K1956" s="23"/>
      <c r="L1956" s="49"/>
    </row>
    <row r="1957" customFormat="false" ht="15" hidden="true" customHeight="false" outlineLevel="1" collapsed="false">
      <c r="A1957" s="20" t="n">
        <v>123</v>
      </c>
      <c r="B1957" s="6" t="s">
        <v>702</v>
      </c>
      <c r="C1957" s="20" t="s">
        <v>71</v>
      </c>
      <c r="D1957" s="51" t="n">
        <f aca="false">SUM(F1941:J1941)</f>
        <v>-10.8703013023842</v>
      </c>
      <c r="E1957" s="23"/>
      <c r="F1957" s="23"/>
      <c r="G1957" s="23"/>
      <c r="H1957" s="23"/>
      <c r="I1957" s="23"/>
      <c r="J1957" s="23"/>
      <c r="K1957" s="23"/>
      <c r="L1957" s="49"/>
    </row>
    <row r="1958" customFormat="false" ht="15" hidden="true" customHeight="false" outlineLevel="1" collapsed="false">
      <c r="A1958" s="20" t="n">
        <v>124</v>
      </c>
      <c r="B1958" s="6" t="s">
        <v>82</v>
      </c>
      <c r="C1958" s="20" t="s">
        <v>71</v>
      </c>
      <c r="D1958" s="51" t="n">
        <f aca="false">SUM(F1941:J1941)+SUM(F1943:J1943)</f>
        <v>5.88508661150802</v>
      </c>
      <c r="E1958" s="23"/>
      <c r="F1958" s="23"/>
      <c r="G1958" s="23"/>
      <c r="H1958" s="23"/>
      <c r="I1958" s="23"/>
      <c r="J1958" s="23"/>
      <c r="K1958" s="23"/>
      <c r="L1958" s="49"/>
    </row>
    <row r="1959" customFormat="false" ht="15" hidden="true" customHeight="false" outlineLevel="1" collapsed="false">
      <c r="A1959" s="20" t="n">
        <v>125</v>
      </c>
      <c r="B1959" s="6" t="s">
        <v>83</v>
      </c>
      <c r="C1959" s="20" t="s">
        <v>68</v>
      </c>
      <c r="D1959" s="55" t="n">
        <f aca="false">IFERROR(IRR(F1944:J1944),"н/д")</f>
        <v>0.416016735661679</v>
      </c>
      <c r="E1959" s="23"/>
      <c r="F1959" s="23"/>
      <c r="G1959" s="23"/>
      <c r="H1959" s="23"/>
      <c r="I1959" s="23"/>
      <c r="J1959" s="23"/>
      <c r="K1959" s="23"/>
      <c r="L1959" s="49"/>
    </row>
    <row r="1960" customFormat="false" ht="15" hidden="true" customHeight="false" outlineLevel="1" collapsed="false">
      <c r="A1960" s="20" t="n">
        <v>126</v>
      </c>
      <c r="B1960" s="6" t="s">
        <v>13</v>
      </c>
      <c r="C1960" s="20" t="s">
        <v>79</v>
      </c>
      <c r="D1960" s="56" t="n">
        <f aca="false">IF(COUNT(F1945:J1945)=0,"после 2031",MIN(F1945:J1945))</f>
        <v>2029</v>
      </c>
      <c r="E1960" s="23"/>
      <c r="F1960" s="23"/>
      <c r="G1960" s="23"/>
      <c r="H1960" s="23"/>
      <c r="I1960" s="23"/>
      <c r="J1960" s="23"/>
      <c r="K1960" s="23"/>
      <c r="L1960" s="49"/>
    </row>
    <row r="1961" customFormat="false" ht="15" hidden="true" customHeight="false" outlineLevel="1" collapsed="false">
      <c r="A1961" s="20" t="n">
        <v>127</v>
      </c>
      <c r="B1961" s="6" t="s">
        <v>703</v>
      </c>
      <c r="C1961" s="20" t="s">
        <v>79</v>
      </c>
      <c r="D1961" s="56" t="str">
        <f aca="false">IF(COUNT(F1946:J1946)=0,"после 2031",MIN(F1946:J1946))</f>
        <v>после 2031</v>
      </c>
      <c r="E1961" s="23"/>
      <c r="F1961" s="23"/>
      <c r="G1961" s="23"/>
      <c r="H1961" s="23"/>
      <c r="I1961" s="23"/>
      <c r="J1961" s="23"/>
      <c r="K1961" s="23"/>
      <c r="L1961" s="49"/>
    </row>
    <row r="1964" customFormat="false" ht="15" hidden="true" customHeight="false" outlineLevel="1" collapsed="false">
      <c r="A1964" s="57" t="s">
        <v>737</v>
      </c>
    </row>
    <row r="1965" customFormat="false" ht="30" hidden="true" customHeight="true" outlineLevel="1" collapsed="false">
      <c r="A1965" s="4" t="s">
        <v>49</v>
      </c>
      <c r="B1965" s="4" t="s">
        <v>3</v>
      </c>
      <c r="C1965" s="5" t="s">
        <v>50</v>
      </c>
      <c r="D1965" s="5" t="s">
        <v>551</v>
      </c>
      <c r="E1965" s="5" t="s">
        <v>356</v>
      </c>
      <c r="F1965" s="5" t="s">
        <v>86</v>
      </c>
      <c r="G1965" s="5" t="s">
        <v>87</v>
      </c>
      <c r="H1965" s="5" t="s">
        <v>88</v>
      </c>
      <c r="I1965" s="5" t="s">
        <v>89</v>
      </c>
      <c r="J1965" s="5" t="s">
        <v>90</v>
      </c>
      <c r="K1965" s="5" t="s">
        <v>552</v>
      </c>
      <c r="L1965" s="5" t="s">
        <v>393</v>
      </c>
    </row>
    <row r="1966" customFormat="false" ht="15" hidden="true" customHeight="false" outlineLevel="1" collapsed="false">
      <c r="A1966" s="19" t="s">
        <v>553</v>
      </c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</row>
    <row r="1967" customFormat="false" ht="15" hidden="true" customHeight="false" outlineLevel="1" collapsed="false">
      <c r="A1967" s="20" t="n">
        <v>1</v>
      </c>
      <c r="B1967" s="6" t="s">
        <v>554</v>
      </c>
      <c r="C1967" s="20" t="s">
        <v>79</v>
      </c>
      <c r="D1967" s="10" t="n">
        <f aca="false">Допущения!$E$49</f>
        <v>2027</v>
      </c>
      <c r="E1967" s="23"/>
      <c r="F1967" s="23"/>
      <c r="G1967" s="23"/>
      <c r="H1967" s="23"/>
      <c r="I1967" s="23"/>
      <c r="J1967" s="23"/>
      <c r="K1967" s="23"/>
      <c r="L1967" s="49"/>
    </row>
    <row r="1968" customFormat="false" ht="15" hidden="true" customHeight="false" outlineLevel="1" collapsed="false">
      <c r="A1968" s="20" t="n">
        <v>2</v>
      </c>
      <c r="B1968" s="6" t="s">
        <v>555</v>
      </c>
      <c r="C1968" s="20" t="s">
        <v>105</v>
      </c>
      <c r="D1968" s="45" t="n">
        <f aca="false">Допущения!$E$7</f>
        <v>1.8</v>
      </c>
      <c r="E1968" s="23"/>
      <c r="F1968" s="23"/>
      <c r="G1968" s="23"/>
      <c r="H1968" s="23"/>
      <c r="I1968" s="23"/>
      <c r="J1968" s="23"/>
      <c r="K1968" s="23"/>
      <c r="L1968" s="49"/>
    </row>
    <row r="1969" customFormat="false" ht="15" hidden="true" customHeight="false" outlineLevel="1" collapsed="false">
      <c r="A1969" s="20" t="n">
        <v>3</v>
      </c>
      <c r="B1969" s="6" t="s">
        <v>556</v>
      </c>
      <c r="C1969" s="20" t="s">
        <v>55</v>
      </c>
      <c r="D1969" s="9" t="n">
        <f aca="false">Допущения!$E$42</f>
        <v>6</v>
      </c>
      <c r="E1969" s="23"/>
      <c r="F1969" s="23"/>
      <c r="G1969" s="23"/>
      <c r="H1969" s="23"/>
      <c r="I1969" s="23"/>
      <c r="J1969" s="23"/>
      <c r="K1969" s="23"/>
      <c r="L1969" s="49"/>
    </row>
    <row r="1970" customFormat="false" ht="15" hidden="true" customHeight="false" outlineLevel="1" collapsed="false">
      <c r="A1970" s="20" t="n">
        <v>4</v>
      </c>
      <c r="B1970" s="6" t="s">
        <v>557</v>
      </c>
      <c r="C1970" s="20" t="s">
        <v>244</v>
      </c>
      <c r="D1970" s="9" t="n">
        <f aca="false">Допущения!$E$43</f>
        <v>5</v>
      </c>
      <c r="E1970" s="23"/>
      <c r="F1970" s="23"/>
      <c r="G1970" s="23"/>
      <c r="H1970" s="23"/>
      <c r="I1970" s="23"/>
      <c r="J1970" s="23"/>
      <c r="K1970" s="23"/>
      <c r="L1970" s="49"/>
    </row>
    <row r="1971" customFormat="false" ht="15" hidden="true" customHeight="false" outlineLevel="1" collapsed="false">
      <c r="A1971" s="20" t="n">
        <v>5</v>
      </c>
      <c r="B1971" s="6" t="s">
        <v>558</v>
      </c>
      <c r="C1971" s="20" t="s">
        <v>55</v>
      </c>
      <c r="D1971" s="9" t="n">
        <f aca="false">Допущения!$E$44</f>
        <v>1.5</v>
      </c>
      <c r="E1971" s="23"/>
      <c r="F1971" s="23"/>
      <c r="G1971" s="23"/>
      <c r="H1971" s="23"/>
      <c r="I1971" s="23"/>
      <c r="J1971" s="23"/>
      <c r="K1971" s="23"/>
      <c r="L1971" s="49"/>
    </row>
    <row r="1972" customFormat="false" ht="15" hidden="true" customHeight="false" outlineLevel="1" collapsed="false">
      <c r="A1972" s="20" t="n">
        <v>6</v>
      </c>
      <c r="B1972" s="6" t="s">
        <v>559</v>
      </c>
      <c r="C1972" s="20" t="s">
        <v>71</v>
      </c>
      <c r="D1972" s="9" t="n">
        <f aca="false">Допущения!$E$45</f>
        <v>8</v>
      </c>
      <c r="E1972" s="23"/>
      <c r="F1972" s="23"/>
      <c r="G1972" s="23"/>
      <c r="H1972" s="23"/>
      <c r="I1972" s="23"/>
      <c r="J1972" s="23"/>
      <c r="K1972" s="23"/>
      <c r="L1972" s="49"/>
    </row>
    <row r="1973" customFormat="false" ht="15" hidden="true" customHeight="false" outlineLevel="1" collapsed="false">
      <c r="A1973" s="20" t="n">
        <v>7</v>
      </c>
      <c r="B1973" s="6" t="s">
        <v>560</v>
      </c>
      <c r="C1973" s="20" t="s">
        <v>71</v>
      </c>
      <c r="D1973" s="9" t="n">
        <f aca="false">Допущения!$E$46</f>
        <v>2</v>
      </c>
      <c r="E1973" s="23"/>
      <c r="F1973" s="23"/>
      <c r="G1973" s="23"/>
      <c r="H1973" s="23"/>
      <c r="I1973" s="23"/>
      <c r="J1973" s="23"/>
      <c r="K1973" s="23"/>
      <c r="L1973" s="49"/>
    </row>
    <row r="1974" customFormat="false" ht="15" hidden="true" customHeight="false" outlineLevel="1" collapsed="false">
      <c r="A1974" s="20" t="n">
        <v>8</v>
      </c>
      <c r="B1974" s="6" t="s">
        <v>260</v>
      </c>
      <c r="C1974" s="20" t="s">
        <v>261</v>
      </c>
      <c r="D1974" s="22" t="n">
        <f aca="false">Допущения!$E$47</f>
        <v>0.05</v>
      </c>
      <c r="E1974" s="23"/>
      <c r="F1974" s="23"/>
      <c r="G1974" s="23"/>
      <c r="H1974" s="23"/>
      <c r="I1974" s="23"/>
      <c r="J1974" s="23"/>
      <c r="K1974" s="23"/>
      <c r="L1974" s="49"/>
    </row>
    <row r="1975" customFormat="false" ht="15" hidden="true" customHeight="false" outlineLevel="1" collapsed="false">
      <c r="A1975" s="20" t="n">
        <v>9</v>
      </c>
      <c r="B1975" s="6" t="s">
        <v>561</v>
      </c>
      <c r="C1975" s="20" t="s">
        <v>261</v>
      </c>
      <c r="D1975" s="22" t="n">
        <f aca="false">Допущения!$E$48</f>
        <v>0.15</v>
      </c>
      <c r="E1975" s="23"/>
      <c r="F1975" s="23"/>
      <c r="G1975" s="23"/>
      <c r="H1975" s="23"/>
      <c r="I1975" s="23"/>
      <c r="J1975" s="23"/>
      <c r="K1975" s="23"/>
      <c r="L1975" s="49"/>
    </row>
    <row r="1976" customFormat="false" ht="15" hidden="true" customHeight="false" outlineLevel="1" collapsed="false">
      <c r="A1976" s="20" t="n">
        <v>10</v>
      </c>
      <c r="B1976" s="6" t="s">
        <v>274</v>
      </c>
      <c r="C1976" s="20" t="s">
        <v>261</v>
      </c>
      <c r="D1976" s="22" t="n">
        <f aca="false">Допущения!$E$51</f>
        <v>0.07</v>
      </c>
      <c r="E1976" s="23"/>
      <c r="F1976" s="23"/>
      <c r="G1976" s="23"/>
      <c r="H1976" s="23"/>
      <c r="I1976" s="23"/>
      <c r="J1976" s="23"/>
      <c r="K1976" s="23"/>
      <c r="L1976" s="49"/>
    </row>
    <row r="1977" customFormat="false" ht="15" hidden="true" customHeight="false" outlineLevel="1" collapsed="false">
      <c r="A1977" s="20" t="n">
        <v>11</v>
      </c>
      <c r="B1977" s="6" t="s">
        <v>562</v>
      </c>
      <c r="C1977" s="20" t="s">
        <v>68</v>
      </c>
      <c r="D1977" s="22" t="n">
        <f aca="false">Допущения!$E$52</f>
        <v>0.15</v>
      </c>
      <c r="E1977" s="23"/>
      <c r="F1977" s="23"/>
      <c r="G1977" s="23"/>
      <c r="H1977" s="23"/>
      <c r="I1977" s="23"/>
      <c r="J1977" s="23"/>
      <c r="K1977" s="23"/>
      <c r="L1977" s="49"/>
    </row>
    <row r="1978" customFormat="false" ht="15" hidden="true" customHeight="false" outlineLevel="1" collapsed="false">
      <c r="A1978" s="20" t="n">
        <v>12</v>
      </c>
      <c r="B1978" s="6" t="s">
        <v>563</v>
      </c>
      <c r="C1978" s="20" t="s">
        <v>68</v>
      </c>
      <c r="D1978" s="22" t="n">
        <f aca="false">Допущения!$E$53</f>
        <v>0.076</v>
      </c>
      <c r="E1978" s="23"/>
      <c r="F1978" s="23"/>
      <c r="G1978" s="23"/>
      <c r="H1978" s="23"/>
      <c r="I1978" s="23"/>
      <c r="J1978" s="23"/>
      <c r="K1978" s="23"/>
      <c r="L1978" s="49"/>
    </row>
    <row r="1979" customFormat="false" ht="15" hidden="true" customHeight="false" outlineLevel="1" collapsed="false">
      <c r="A1979" s="20" t="n">
        <v>13</v>
      </c>
      <c r="B1979" s="6" t="s">
        <v>284</v>
      </c>
      <c r="C1979" s="20" t="s">
        <v>68</v>
      </c>
      <c r="D1979" s="22" t="n">
        <f aca="false">Допущения!$E$54</f>
        <v>0.002</v>
      </c>
      <c r="E1979" s="23"/>
      <c r="F1979" s="23"/>
      <c r="G1979" s="23"/>
      <c r="H1979" s="23"/>
      <c r="I1979" s="23"/>
      <c r="J1979" s="23"/>
      <c r="K1979" s="23"/>
      <c r="L1979" s="49"/>
    </row>
    <row r="1980" customFormat="false" ht="15" hidden="true" customHeight="false" outlineLevel="1" collapsed="false">
      <c r="A1980" s="20" t="n">
        <v>14</v>
      </c>
      <c r="B1980" s="6" t="s">
        <v>564</v>
      </c>
      <c r="C1980" s="20" t="s">
        <v>55</v>
      </c>
      <c r="D1980" s="50" t="n">
        <f aca="false">Допущения!$E$55</f>
        <v>2.979</v>
      </c>
      <c r="E1980" s="23"/>
      <c r="F1980" s="23"/>
      <c r="G1980" s="23"/>
      <c r="H1980" s="23"/>
      <c r="I1980" s="23"/>
      <c r="J1980" s="23"/>
      <c r="K1980" s="23"/>
      <c r="L1980" s="49"/>
    </row>
    <row r="1981" customFormat="false" ht="15" hidden="true" customHeight="false" outlineLevel="1" collapsed="false">
      <c r="A1981" s="20" t="n">
        <v>15</v>
      </c>
      <c r="B1981" s="6" t="s">
        <v>565</v>
      </c>
      <c r="C1981" s="20" t="s">
        <v>261</v>
      </c>
      <c r="D1981" s="22" t="n">
        <f aca="false">Допущения!$E$56</f>
        <v>0.08</v>
      </c>
      <c r="E1981" s="23"/>
      <c r="F1981" s="23"/>
      <c r="G1981" s="23"/>
      <c r="H1981" s="23"/>
      <c r="I1981" s="23"/>
      <c r="J1981" s="23"/>
      <c r="K1981" s="23"/>
      <c r="L1981" s="49"/>
    </row>
    <row r="1982" customFormat="false" ht="15" hidden="true" customHeight="false" outlineLevel="1" collapsed="false">
      <c r="A1982" s="20" t="n">
        <v>16</v>
      </c>
      <c r="B1982" s="6" t="s">
        <v>566</v>
      </c>
      <c r="C1982" s="20" t="s">
        <v>71</v>
      </c>
      <c r="D1982" s="9" t="n">
        <f aca="false">Допущения!$E$58*1.2</f>
        <v>3</v>
      </c>
      <c r="E1982" s="23"/>
      <c r="F1982" s="23"/>
      <c r="G1982" s="23"/>
      <c r="H1982" s="23"/>
      <c r="I1982" s="23"/>
      <c r="J1982" s="23"/>
      <c r="K1982" s="23"/>
      <c r="L1982" s="49"/>
    </row>
    <row r="1983" customFormat="false" ht="15" hidden="true" customHeight="false" outlineLevel="1" collapsed="false">
      <c r="A1983" s="20" t="n">
        <v>17</v>
      </c>
      <c r="B1983" s="6" t="s">
        <v>299</v>
      </c>
      <c r="C1983" s="20" t="s">
        <v>55</v>
      </c>
      <c r="D1983" s="9" t="n">
        <f aca="false">Допущения!$E$59*1.2</f>
        <v>1.2</v>
      </c>
      <c r="E1983" s="23"/>
      <c r="F1983" s="23"/>
      <c r="G1983" s="23"/>
      <c r="H1983" s="23"/>
      <c r="I1983" s="23"/>
      <c r="J1983" s="23"/>
      <c r="K1983" s="23"/>
      <c r="L1983" s="49"/>
    </row>
    <row r="1984" customFormat="false" ht="15" hidden="true" customHeight="false" outlineLevel="1" collapsed="false">
      <c r="A1984" s="20" t="n">
        <v>18</v>
      </c>
      <c r="B1984" s="6" t="s">
        <v>302</v>
      </c>
      <c r="C1984" s="20" t="s">
        <v>55</v>
      </c>
      <c r="D1984" s="9" t="n">
        <f aca="false">Допущения!$E$60*1.2</f>
        <v>0.72</v>
      </c>
      <c r="E1984" s="23"/>
      <c r="F1984" s="23"/>
      <c r="G1984" s="23"/>
      <c r="H1984" s="23"/>
      <c r="I1984" s="23"/>
      <c r="J1984" s="23"/>
      <c r="K1984" s="23"/>
      <c r="L1984" s="49"/>
    </row>
    <row r="1985" customFormat="false" ht="15" hidden="true" customHeight="false" outlineLevel="1" collapsed="false">
      <c r="A1985" s="20" t="n">
        <v>19</v>
      </c>
      <c r="B1985" s="6" t="s">
        <v>567</v>
      </c>
      <c r="C1985" s="20" t="s">
        <v>55</v>
      </c>
      <c r="D1985" s="45" t="n">
        <f aca="false">Допущения!$E$61*1.2</f>
        <v>0.18</v>
      </c>
      <c r="E1985" s="23"/>
      <c r="F1985" s="23"/>
      <c r="G1985" s="23"/>
      <c r="H1985" s="23"/>
      <c r="I1985" s="23"/>
      <c r="J1985" s="23"/>
      <c r="K1985" s="23"/>
      <c r="L1985" s="49"/>
    </row>
    <row r="1986" customFormat="false" ht="15" hidden="true" customHeight="false" outlineLevel="1" collapsed="false">
      <c r="A1986" s="20" t="n">
        <v>20</v>
      </c>
      <c r="B1986" s="6" t="s">
        <v>568</v>
      </c>
      <c r="C1986" s="20" t="s">
        <v>55</v>
      </c>
      <c r="D1986" s="9" t="n">
        <f aca="false">Допущения!$E$62*1.2</f>
        <v>1.2</v>
      </c>
      <c r="E1986" s="23"/>
      <c r="F1986" s="23"/>
      <c r="G1986" s="23"/>
      <c r="H1986" s="23"/>
      <c r="I1986" s="23"/>
      <c r="J1986" s="23"/>
      <c r="K1986" s="23"/>
      <c r="L1986" s="49"/>
    </row>
    <row r="1987" customFormat="false" ht="15" hidden="true" customHeight="false" outlineLevel="1" collapsed="false">
      <c r="A1987" s="20" t="n">
        <v>21</v>
      </c>
      <c r="B1987" s="6" t="s">
        <v>569</v>
      </c>
      <c r="C1987" s="20" t="s">
        <v>71</v>
      </c>
      <c r="D1987" s="9" t="n">
        <f aca="false">Допущения!$E$63*1.2</f>
        <v>0.48</v>
      </c>
      <c r="E1987" s="23"/>
      <c r="F1987" s="23"/>
      <c r="G1987" s="23"/>
      <c r="H1987" s="23"/>
      <c r="I1987" s="23"/>
      <c r="J1987" s="23"/>
      <c r="K1987" s="23"/>
      <c r="L1987" s="49"/>
    </row>
    <row r="1988" customFormat="false" ht="15" hidden="true" customHeight="false" outlineLevel="1" collapsed="false">
      <c r="A1988" s="20" t="n">
        <v>22</v>
      </c>
      <c r="B1988" s="6" t="s">
        <v>314</v>
      </c>
      <c r="C1988" s="20" t="s">
        <v>55</v>
      </c>
      <c r="D1988" s="9" t="n">
        <f aca="false">Допущения!$E$64*1.2</f>
        <v>1.44</v>
      </c>
      <c r="E1988" s="23"/>
      <c r="F1988" s="23"/>
      <c r="G1988" s="23"/>
      <c r="H1988" s="23"/>
      <c r="I1988" s="23"/>
      <c r="J1988" s="23"/>
      <c r="K1988" s="23"/>
      <c r="L1988" s="49"/>
    </row>
    <row r="1989" customFormat="false" ht="15" hidden="true" customHeight="false" outlineLevel="1" collapsed="false">
      <c r="A1989" s="20" t="n">
        <v>23</v>
      </c>
      <c r="B1989" s="6" t="s">
        <v>317</v>
      </c>
      <c r="C1989" s="20" t="s">
        <v>55</v>
      </c>
      <c r="D1989" s="45" t="n">
        <f aca="false">Допущения!$E$65*1.2</f>
        <v>0.12</v>
      </c>
      <c r="E1989" s="23"/>
      <c r="F1989" s="23"/>
      <c r="G1989" s="23"/>
      <c r="H1989" s="23"/>
      <c r="I1989" s="23"/>
      <c r="J1989" s="23"/>
      <c r="K1989" s="23"/>
      <c r="L1989" s="49"/>
    </row>
    <row r="1990" customFormat="false" ht="15" hidden="true" customHeight="false" outlineLevel="1" collapsed="false">
      <c r="A1990" s="20" t="n">
        <v>24</v>
      </c>
      <c r="B1990" s="6" t="s">
        <v>320</v>
      </c>
      <c r="C1990" s="20" t="s">
        <v>71</v>
      </c>
      <c r="D1990" s="45" t="n">
        <f aca="false">Допущения!$E$66*1.2</f>
        <v>0.3</v>
      </c>
      <c r="E1990" s="23"/>
      <c r="F1990" s="23"/>
      <c r="G1990" s="23"/>
      <c r="H1990" s="23"/>
      <c r="I1990" s="23"/>
      <c r="J1990" s="23"/>
      <c r="K1990" s="23"/>
      <c r="L1990" s="49"/>
    </row>
    <row r="1991" customFormat="false" ht="15" hidden="true" customHeight="false" outlineLevel="1" collapsed="false">
      <c r="A1991" s="20" t="n">
        <v>25</v>
      </c>
      <c r="B1991" s="6" t="s">
        <v>570</v>
      </c>
      <c r="C1991" s="20" t="s">
        <v>71</v>
      </c>
      <c r="D1991" s="9" t="n">
        <f aca="false">Допущения!$E$67*1.2</f>
        <v>0.36</v>
      </c>
      <c r="E1991" s="23"/>
      <c r="F1991" s="23"/>
      <c r="G1991" s="23"/>
      <c r="H1991" s="23"/>
      <c r="I1991" s="23"/>
      <c r="J1991" s="23"/>
      <c r="K1991" s="23"/>
      <c r="L1991" s="49"/>
    </row>
    <row r="1992" customFormat="false" ht="15" hidden="true" customHeight="false" outlineLevel="1" collapsed="false">
      <c r="A1992" s="20" t="n">
        <v>26</v>
      </c>
      <c r="B1992" s="6" t="s">
        <v>326</v>
      </c>
      <c r="C1992" s="20" t="s">
        <v>261</v>
      </c>
      <c r="D1992" s="22" t="n">
        <f aca="false">Допущения!$E$68</f>
        <v>0.05</v>
      </c>
      <c r="E1992" s="23"/>
      <c r="F1992" s="23"/>
      <c r="G1992" s="23"/>
      <c r="H1992" s="23"/>
      <c r="I1992" s="23"/>
      <c r="J1992" s="23"/>
      <c r="K1992" s="23"/>
      <c r="L1992" s="49"/>
    </row>
    <row r="1993" customFormat="false" ht="15" hidden="true" customHeight="false" outlineLevel="1" collapsed="false">
      <c r="A1993" s="20" t="n">
        <v>27</v>
      </c>
      <c r="B1993" s="6" t="s">
        <v>571</v>
      </c>
      <c r="C1993" s="20" t="s">
        <v>330</v>
      </c>
      <c r="D1993" s="22" t="n">
        <f aca="false">Допущения!$E$69</f>
        <v>0.1</v>
      </c>
      <c r="E1993" s="23"/>
      <c r="F1993" s="23"/>
      <c r="G1993" s="23"/>
      <c r="H1993" s="23"/>
      <c r="I1993" s="23"/>
      <c r="J1993" s="23"/>
      <c r="K1993" s="23"/>
      <c r="L1993" s="49"/>
    </row>
    <row r="1994" customFormat="false" ht="15" hidden="true" customHeight="false" outlineLevel="1" collapsed="false">
      <c r="A1994" s="20" t="n">
        <v>28</v>
      </c>
      <c r="B1994" s="6" t="s">
        <v>572</v>
      </c>
      <c r="C1994" s="20" t="s">
        <v>68</v>
      </c>
      <c r="D1994" s="22" t="n">
        <f aca="false">Допущения!$E$71</f>
        <v>0.05</v>
      </c>
      <c r="E1994" s="23"/>
      <c r="F1994" s="23"/>
      <c r="G1994" s="23"/>
      <c r="H1994" s="23"/>
      <c r="I1994" s="23"/>
      <c r="J1994" s="23"/>
      <c r="K1994" s="23"/>
      <c r="L1994" s="49"/>
    </row>
    <row r="1995" customFormat="false" ht="15" hidden="true" customHeight="false" outlineLevel="1" collapsed="false">
      <c r="A1995" s="20" t="n">
        <v>29</v>
      </c>
      <c r="B1995" s="6" t="s">
        <v>573</v>
      </c>
      <c r="C1995" s="20" t="s">
        <v>68</v>
      </c>
      <c r="D1995" s="22" t="n">
        <f aca="false">Допущения!$E$72</f>
        <v>0.5</v>
      </c>
      <c r="E1995" s="23"/>
      <c r="F1995" s="23"/>
      <c r="G1995" s="23"/>
      <c r="H1995" s="23"/>
      <c r="I1995" s="23"/>
      <c r="J1995" s="23"/>
      <c r="K1995" s="23"/>
      <c r="L1995" s="49"/>
    </row>
    <row r="1996" customFormat="false" ht="15" hidden="true" customHeight="false" outlineLevel="1" collapsed="false">
      <c r="A1996" s="20" t="n">
        <v>30</v>
      </c>
      <c r="B1996" s="6" t="s">
        <v>574</v>
      </c>
      <c r="C1996" s="20" t="s">
        <v>575</v>
      </c>
      <c r="D1996" s="7" t="n">
        <f aca="false">Допущения!$E$73</f>
        <v>90</v>
      </c>
      <c r="E1996" s="23"/>
      <c r="F1996" s="23"/>
      <c r="G1996" s="23"/>
      <c r="H1996" s="23"/>
      <c r="I1996" s="23"/>
      <c r="J1996" s="23"/>
      <c r="K1996" s="23"/>
      <c r="L1996" s="49"/>
    </row>
    <row r="1997" customFormat="false" ht="15" hidden="true" customHeight="false" outlineLevel="1" collapsed="false">
      <c r="A1997" s="20" t="n">
        <v>31</v>
      </c>
      <c r="B1997" s="6" t="s">
        <v>345</v>
      </c>
      <c r="C1997" s="20" t="s">
        <v>68</v>
      </c>
      <c r="D1997" s="22" t="n">
        <f aca="false">Допущения!$E$74</f>
        <v>0.3</v>
      </c>
      <c r="E1997" s="23"/>
      <c r="F1997" s="23"/>
      <c r="G1997" s="23"/>
      <c r="H1997" s="23"/>
      <c r="I1997" s="23"/>
      <c r="J1997" s="23"/>
      <c r="K1997" s="23"/>
      <c r="L1997" s="49"/>
    </row>
    <row r="1998" customFormat="false" ht="15" hidden="true" customHeight="false" outlineLevel="1" collapsed="false">
      <c r="A1998" s="20" t="n">
        <v>32</v>
      </c>
      <c r="B1998" s="6" t="s">
        <v>576</v>
      </c>
      <c r="C1998" s="20" t="s">
        <v>261</v>
      </c>
      <c r="D1998" s="22" t="n">
        <f aca="false">Допущения!$E$75</f>
        <v>0.04</v>
      </c>
      <c r="E1998" s="23"/>
      <c r="F1998" s="23"/>
      <c r="G1998" s="23"/>
      <c r="H1998" s="23"/>
      <c r="I1998" s="23"/>
      <c r="J1998" s="23"/>
      <c r="K1998" s="23"/>
      <c r="L1998" s="49"/>
    </row>
    <row r="1999" customFormat="false" ht="15" hidden="true" customHeight="false" outlineLevel="1" collapsed="false">
      <c r="A1999" s="20" t="n">
        <v>33</v>
      </c>
      <c r="B1999" s="6" t="s">
        <v>577</v>
      </c>
      <c r="C1999" s="20" t="s">
        <v>68</v>
      </c>
      <c r="D1999" s="22" t="n">
        <f aca="false">Допущения!$E$76</f>
        <v>0.2</v>
      </c>
      <c r="E1999" s="23"/>
      <c r="F1999" s="23"/>
      <c r="G1999" s="23"/>
      <c r="H1999" s="23"/>
      <c r="I1999" s="23"/>
      <c r="J1999" s="23"/>
      <c r="K1999" s="23"/>
      <c r="L1999" s="49"/>
    </row>
    <row r="2000" customFormat="false" ht="15" hidden="true" customHeight="false" outlineLevel="1" collapsed="false">
      <c r="A2000" s="20" t="n">
        <v>34</v>
      </c>
      <c r="B2000" s="6" t="s">
        <v>578</v>
      </c>
      <c r="C2000" s="20" t="s">
        <v>105</v>
      </c>
      <c r="D2000" s="50" t="n">
        <f aca="false">Рынок!$E$30</f>
        <v>0.490909090909091</v>
      </c>
      <c r="E2000" s="23"/>
      <c r="F2000" s="23"/>
      <c r="G2000" s="23"/>
      <c r="H2000" s="23"/>
      <c r="I2000" s="23"/>
      <c r="J2000" s="23"/>
      <c r="K2000" s="23"/>
      <c r="L2000" s="49" t="s">
        <v>579</v>
      </c>
    </row>
    <row r="2001" customFormat="false" ht="15" hidden="true" customHeight="false" outlineLevel="1" collapsed="false">
      <c r="A2001" s="20" t="n">
        <v>35</v>
      </c>
      <c r="B2001" s="6" t="s">
        <v>580</v>
      </c>
      <c r="C2001" s="20" t="s">
        <v>105</v>
      </c>
      <c r="D2001" s="50" t="n">
        <f aca="false">Рынок!$E$31</f>
        <v>0.028125</v>
      </c>
      <c r="E2001" s="23"/>
      <c r="F2001" s="23"/>
      <c r="G2001" s="23"/>
      <c r="H2001" s="23"/>
      <c r="I2001" s="23"/>
      <c r="J2001" s="23"/>
      <c r="K2001" s="23"/>
      <c r="L2001" s="49" t="s">
        <v>579</v>
      </c>
    </row>
    <row r="2002" customFormat="false" ht="15" hidden="true" customHeight="false" outlineLevel="1" collapsed="false">
      <c r="A2002" s="20" t="n">
        <v>36</v>
      </c>
      <c r="B2002" s="6" t="s">
        <v>581</v>
      </c>
      <c r="C2002" s="20" t="s">
        <v>142</v>
      </c>
      <c r="D2002" s="7" t="n">
        <f aca="false">План!$D$18</f>
        <v>200</v>
      </c>
      <c r="E2002" s="23"/>
      <c r="F2002" s="23"/>
      <c r="G2002" s="23"/>
      <c r="H2002" s="23"/>
      <c r="I2002" s="23"/>
      <c r="J2002" s="23"/>
      <c r="K2002" s="23"/>
      <c r="L2002" s="49" t="s">
        <v>582</v>
      </c>
    </row>
    <row r="2003" customFormat="false" ht="15" hidden="true" customHeight="false" outlineLevel="1" collapsed="false">
      <c r="A2003" s="20" t="n">
        <v>37</v>
      </c>
      <c r="B2003" s="6" t="s">
        <v>583</v>
      </c>
      <c r="C2003" s="20" t="s">
        <v>142</v>
      </c>
      <c r="D2003" s="7" t="n">
        <f aca="false">План!$D$19</f>
        <v>280</v>
      </c>
      <c r="E2003" s="23"/>
      <c r="F2003" s="23"/>
      <c r="G2003" s="23"/>
      <c r="H2003" s="23"/>
      <c r="I2003" s="23"/>
      <c r="J2003" s="23"/>
      <c r="K2003" s="23"/>
      <c r="L2003" s="49" t="s">
        <v>582</v>
      </c>
    </row>
    <row r="2004" customFormat="false" ht="15" hidden="true" customHeight="false" outlineLevel="1" collapsed="false">
      <c r="A2004" s="20" t="n">
        <v>38</v>
      </c>
      <c r="B2004" s="6" t="s">
        <v>584</v>
      </c>
      <c r="C2004" s="20" t="s">
        <v>142</v>
      </c>
      <c r="D2004" s="7" t="n">
        <f aca="false">План!$D$20</f>
        <v>230</v>
      </c>
      <c r="E2004" s="23"/>
      <c r="F2004" s="23"/>
      <c r="G2004" s="23"/>
      <c r="H2004" s="23"/>
      <c r="I2004" s="23"/>
      <c r="J2004" s="23"/>
      <c r="K2004" s="23"/>
      <c r="L2004" s="49" t="s">
        <v>582</v>
      </c>
    </row>
    <row r="2005" customFormat="false" ht="15" hidden="true" customHeight="false" outlineLevel="1" collapsed="false">
      <c r="A2005" s="20" t="n">
        <v>39</v>
      </c>
      <c r="B2005" s="6" t="s">
        <v>585</v>
      </c>
      <c r="C2005" s="20" t="s">
        <v>142</v>
      </c>
      <c r="D2005" s="7" t="n">
        <f aca="false">План!$D$21</f>
        <v>220</v>
      </c>
      <c r="E2005" s="23"/>
      <c r="F2005" s="23"/>
      <c r="G2005" s="23"/>
      <c r="H2005" s="23"/>
      <c r="I2005" s="23"/>
      <c r="J2005" s="23"/>
      <c r="K2005" s="23"/>
      <c r="L2005" s="49" t="s">
        <v>582</v>
      </c>
    </row>
    <row r="2006" customFormat="false" ht="15" hidden="true" customHeight="false" outlineLevel="1" collapsed="false">
      <c r="A2006" s="20" t="n">
        <v>40</v>
      </c>
      <c r="B2006" s="6" t="s">
        <v>586</v>
      </c>
      <c r="C2006" s="20" t="s">
        <v>142</v>
      </c>
      <c r="D2006" s="7" t="n">
        <f aca="false">План!$D$22</f>
        <v>250</v>
      </c>
      <c r="E2006" s="23"/>
      <c r="F2006" s="23"/>
      <c r="G2006" s="23"/>
      <c r="H2006" s="23"/>
      <c r="I2006" s="23"/>
      <c r="J2006" s="23"/>
      <c r="K2006" s="23"/>
      <c r="L2006" s="49" t="s">
        <v>582</v>
      </c>
    </row>
    <row r="2007" customFormat="false" ht="15" hidden="true" customHeight="false" outlineLevel="1" collapsed="false">
      <c r="A2007" s="20" t="n">
        <v>41</v>
      </c>
      <c r="B2007" s="6" t="s">
        <v>587</v>
      </c>
      <c r="C2007" s="20" t="s">
        <v>142</v>
      </c>
      <c r="D2007" s="7" t="n">
        <f aca="false">План!$D$23</f>
        <v>220</v>
      </c>
      <c r="E2007" s="23"/>
      <c r="F2007" s="23"/>
      <c r="G2007" s="23"/>
      <c r="H2007" s="23"/>
      <c r="I2007" s="23"/>
      <c r="J2007" s="23"/>
      <c r="K2007" s="23"/>
      <c r="L2007" s="49" t="s">
        <v>582</v>
      </c>
    </row>
    <row r="2008" customFormat="false" ht="15" hidden="true" customHeight="false" outlineLevel="1" collapsed="false">
      <c r="A2008" s="20" t="n">
        <v>42</v>
      </c>
      <c r="B2008" s="6" t="s">
        <v>359</v>
      </c>
      <c r="C2008" s="20" t="s">
        <v>76</v>
      </c>
      <c r="D2008" s="23"/>
      <c r="E2008" s="9" t="n">
        <f aca="false">План!E16</f>
        <v>0</v>
      </c>
      <c r="F2008" s="9" t="n">
        <f aca="false">План!F16</f>
        <v>0</v>
      </c>
      <c r="G2008" s="9" t="n">
        <f aca="false">План!G16</f>
        <v>0</v>
      </c>
      <c r="H2008" s="9" t="n">
        <f aca="false">План!H16</f>
        <v>1</v>
      </c>
      <c r="I2008" s="9" t="n">
        <f aca="false">План!I16</f>
        <v>0</v>
      </c>
      <c r="J2008" s="9" t="n">
        <f aca="false">План!J16</f>
        <v>1</v>
      </c>
      <c r="K2008" s="51" t="n">
        <f aca="false">SUM(F2008:J2008)</f>
        <v>2</v>
      </c>
      <c r="L2008" s="49" t="s">
        <v>582</v>
      </c>
    </row>
    <row r="2009" customFormat="false" ht="15" hidden="true" customHeight="false" outlineLevel="1" collapsed="false">
      <c r="A2009" s="20" t="n">
        <v>43</v>
      </c>
      <c r="B2009" s="6" t="s">
        <v>361</v>
      </c>
      <c r="C2009" s="20" t="s">
        <v>76</v>
      </c>
      <c r="D2009" s="23"/>
      <c r="E2009" s="9" t="n">
        <f aca="false">План!E17</f>
        <v>0</v>
      </c>
      <c r="F2009" s="9" t="n">
        <f aca="false">План!F17</f>
        <v>0</v>
      </c>
      <c r="G2009" s="9" t="n">
        <f aca="false">План!G17</f>
        <v>1</v>
      </c>
      <c r="H2009" s="9" t="n">
        <f aca="false">План!H17</f>
        <v>2</v>
      </c>
      <c r="I2009" s="9" t="n">
        <f aca="false">План!I17</f>
        <v>2</v>
      </c>
      <c r="J2009" s="9" t="n">
        <f aca="false">План!J17</f>
        <v>3</v>
      </c>
      <c r="K2009" s="51" t="n">
        <f aca="false">SUM(F2009:J2009)</f>
        <v>8</v>
      </c>
      <c r="L2009" s="49" t="s">
        <v>582</v>
      </c>
    </row>
    <row r="2010" customFormat="false" ht="15" hidden="true" customHeight="false" outlineLevel="1" collapsed="false">
      <c r="A2010" s="20" t="n">
        <v>44</v>
      </c>
      <c r="B2010" s="6" t="s">
        <v>588</v>
      </c>
      <c r="C2010" s="20" t="s">
        <v>53</v>
      </c>
      <c r="D2010" s="23"/>
      <c r="E2010" s="9" t="n">
        <f aca="false">План!E18</f>
        <v>2</v>
      </c>
      <c r="F2010" s="9" t="n">
        <f aca="false">План!F18</f>
        <v>2</v>
      </c>
      <c r="G2010" s="9" t="n">
        <f aca="false">План!G18</f>
        <v>2</v>
      </c>
      <c r="H2010" s="9" t="n">
        <f aca="false">План!H18</f>
        <v>2</v>
      </c>
      <c r="I2010" s="9" t="n">
        <f aca="false">План!I18</f>
        <v>2</v>
      </c>
      <c r="J2010" s="9" t="n">
        <f aca="false">План!J18</f>
        <v>2</v>
      </c>
      <c r="K2010" s="23"/>
      <c r="L2010" s="49" t="s">
        <v>582</v>
      </c>
    </row>
    <row r="2011" customFormat="false" ht="15" hidden="true" customHeight="false" outlineLevel="1" collapsed="false">
      <c r="A2011" s="20" t="n">
        <v>45</v>
      </c>
      <c r="B2011" s="6" t="s">
        <v>589</v>
      </c>
      <c r="C2011" s="20" t="s">
        <v>53</v>
      </c>
      <c r="D2011" s="23"/>
      <c r="E2011" s="9" t="n">
        <f aca="false">План!E19</f>
        <v>0</v>
      </c>
      <c r="F2011" s="9" t="n">
        <f aca="false">План!F19</f>
        <v>1</v>
      </c>
      <c r="G2011" s="9" t="n">
        <f aca="false">План!G19</f>
        <v>1</v>
      </c>
      <c r="H2011" s="9" t="n">
        <f aca="false">План!H19</f>
        <v>1</v>
      </c>
      <c r="I2011" s="9" t="n">
        <f aca="false">План!I19</f>
        <v>2</v>
      </c>
      <c r="J2011" s="9" t="n">
        <f aca="false">План!J19</f>
        <v>2</v>
      </c>
      <c r="K2011" s="23"/>
      <c r="L2011" s="49" t="s">
        <v>582</v>
      </c>
    </row>
    <row r="2012" customFormat="false" ht="15" hidden="true" customHeight="false" outlineLevel="1" collapsed="false">
      <c r="A2012" s="20" t="n">
        <v>46</v>
      </c>
      <c r="B2012" s="6" t="s">
        <v>590</v>
      </c>
      <c r="C2012" s="20" t="s">
        <v>53</v>
      </c>
      <c r="D2012" s="23"/>
      <c r="E2012" s="9" t="n">
        <f aca="false">План!E20</f>
        <v>0</v>
      </c>
      <c r="F2012" s="9" t="n">
        <f aca="false">План!F20</f>
        <v>1</v>
      </c>
      <c r="G2012" s="9" t="n">
        <f aca="false">План!G20</f>
        <v>1</v>
      </c>
      <c r="H2012" s="9" t="n">
        <f aca="false">План!H20</f>
        <v>1</v>
      </c>
      <c r="I2012" s="9" t="n">
        <f aca="false">План!I20</f>
        <v>1</v>
      </c>
      <c r="J2012" s="9" t="n">
        <f aca="false">План!J20</f>
        <v>1</v>
      </c>
      <c r="K2012" s="23"/>
      <c r="L2012" s="49" t="s">
        <v>582</v>
      </c>
    </row>
    <row r="2013" customFormat="false" ht="15" hidden="true" customHeight="false" outlineLevel="1" collapsed="false">
      <c r="A2013" s="20" t="n">
        <v>47</v>
      </c>
      <c r="B2013" s="6" t="s">
        <v>591</v>
      </c>
      <c r="C2013" s="20" t="s">
        <v>53</v>
      </c>
      <c r="D2013" s="23"/>
      <c r="E2013" s="9" t="n">
        <f aca="false">План!E21</f>
        <v>0</v>
      </c>
      <c r="F2013" s="9" t="n">
        <f aca="false">План!F21</f>
        <v>0</v>
      </c>
      <c r="G2013" s="9" t="n">
        <f aca="false">План!G21</f>
        <v>1</v>
      </c>
      <c r="H2013" s="9" t="n">
        <f aca="false">План!H21</f>
        <v>1</v>
      </c>
      <c r="I2013" s="9" t="n">
        <f aca="false">План!I21</f>
        <v>1</v>
      </c>
      <c r="J2013" s="9" t="n">
        <f aca="false">План!J21</f>
        <v>1</v>
      </c>
      <c r="K2013" s="23"/>
      <c r="L2013" s="49" t="s">
        <v>582</v>
      </c>
    </row>
    <row r="2014" customFormat="false" ht="15" hidden="true" customHeight="false" outlineLevel="1" collapsed="false">
      <c r="A2014" s="20" t="n">
        <v>48</v>
      </c>
      <c r="B2014" s="6" t="s">
        <v>592</v>
      </c>
      <c r="C2014" s="20" t="s">
        <v>53</v>
      </c>
      <c r="D2014" s="23"/>
      <c r="E2014" s="9" t="n">
        <f aca="false">План!E22</f>
        <v>0</v>
      </c>
      <c r="F2014" s="9" t="n">
        <f aca="false">План!F22</f>
        <v>0</v>
      </c>
      <c r="G2014" s="9" t="n">
        <f aca="false">План!G22</f>
        <v>0</v>
      </c>
      <c r="H2014" s="9" t="n">
        <f aca="false">План!H22</f>
        <v>1</v>
      </c>
      <c r="I2014" s="9" t="n">
        <f aca="false">План!I22</f>
        <v>1</v>
      </c>
      <c r="J2014" s="9" t="n">
        <f aca="false">План!J22</f>
        <v>1</v>
      </c>
      <c r="K2014" s="23"/>
      <c r="L2014" s="49" t="s">
        <v>582</v>
      </c>
    </row>
    <row r="2015" customFormat="false" ht="15" hidden="true" customHeight="false" outlineLevel="1" collapsed="false">
      <c r="A2015" s="20" t="n">
        <v>49</v>
      </c>
      <c r="B2015" s="6" t="s">
        <v>593</v>
      </c>
      <c r="C2015" s="20" t="s">
        <v>53</v>
      </c>
      <c r="D2015" s="23"/>
      <c r="E2015" s="9" t="n">
        <f aca="false">План!E23</f>
        <v>0</v>
      </c>
      <c r="F2015" s="9" t="n">
        <f aca="false">План!F23</f>
        <v>0</v>
      </c>
      <c r="G2015" s="9" t="n">
        <f aca="false">План!G23</f>
        <v>0</v>
      </c>
      <c r="H2015" s="9" t="n">
        <f aca="false">План!H23</f>
        <v>0</v>
      </c>
      <c r="I2015" s="9" t="n">
        <f aca="false">План!I23</f>
        <v>0</v>
      </c>
      <c r="J2015" s="9" t="n">
        <f aca="false">План!J23</f>
        <v>1</v>
      </c>
      <c r="K2015" s="23"/>
      <c r="L2015" s="49" t="s">
        <v>582</v>
      </c>
    </row>
    <row r="2016" customFormat="false" ht="15" hidden="true" customHeight="false" outlineLevel="1" collapsed="false">
      <c r="A2016" s="19" t="s">
        <v>594</v>
      </c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</row>
    <row r="2017" customFormat="false" ht="15" hidden="true" customHeight="false" outlineLevel="1" collapsed="false">
      <c r="A2017" s="20" t="n">
        <v>50</v>
      </c>
      <c r="B2017" s="6" t="s">
        <v>595</v>
      </c>
      <c r="C2017" s="20"/>
      <c r="D2017" s="23"/>
      <c r="E2017" s="10" t="n">
        <f aca="false">Допущения!$D$3</f>
        <v>2026</v>
      </c>
      <c r="F2017" s="52" t="n">
        <f aca="false">E2017+1</f>
        <v>2027</v>
      </c>
      <c r="G2017" s="52" t="n">
        <f aca="false">F2017+1</f>
        <v>2028</v>
      </c>
      <c r="H2017" s="52" t="n">
        <f aca="false">G2017+1</f>
        <v>2029</v>
      </c>
      <c r="I2017" s="52" t="n">
        <f aca="false">H2017+1</f>
        <v>2030</v>
      </c>
      <c r="J2017" s="52" t="n">
        <f aca="false">I2017+1</f>
        <v>2031</v>
      </c>
      <c r="K2017" s="23"/>
      <c r="L2017" s="49" t="s">
        <v>596</v>
      </c>
    </row>
    <row r="2018" customFormat="false" ht="15" hidden="true" customHeight="false" outlineLevel="1" collapsed="false">
      <c r="A2018" s="20" t="n">
        <v>51</v>
      </c>
      <c r="B2018" s="6" t="s">
        <v>597</v>
      </c>
      <c r="C2018" s="20" t="s">
        <v>62</v>
      </c>
      <c r="D2018" s="23"/>
      <c r="E2018" s="23"/>
      <c r="F2018" s="53" t="n">
        <f aca="false">(1+$D$1974)^(F$2017-$E$2017-1)</f>
        <v>1</v>
      </c>
      <c r="G2018" s="53" t="n">
        <f aca="false">(1+$D$1974)^(G$2017-$E$2017-1)</f>
        <v>1.05</v>
      </c>
      <c r="H2018" s="53" t="n">
        <f aca="false">(1+$D$1974)^(H$2017-$E$2017-1)</f>
        <v>1.1025</v>
      </c>
      <c r="I2018" s="53" t="n">
        <f aca="false">(1+$D$1974)^(I$2017-$E$2017-1)</f>
        <v>1.157625</v>
      </c>
      <c r="J2018" s="53" t="n">
        <f aca="false">(1+$D$1974)^(J$2017-$E$2017-1)</f>
        <v>1.21550625</v>
      </c>
      <c r="K2018" s="23"/>
      <c r="L2018" s="49" t="s">
        <v>598</v>
      </c>
    </row>
    <row r="2019" customFormat="false" ht="15" hidden="true" customHeight="false" outlineLevel="1" collapsed="false">
      <c r="A2019" s="20" t="n">
        <v>52</v>
      </c>
      <c r="B2019" s="6" t="s">
        <v>599</v>
      </c>
      <c r="C2019" s="20" t="s">
        <v>62</v>
      </c>
      <c r="D2019" s="23"/>
      <c r="E2019" s="23"/>
      <c r="F2019" s="53" t="n">
        <f aca="false">(1+$D$1992)^(F$2017-$E$2017-1)</f>
        <v>1</v>
      </c>
      <c r="G2019" s="53" t="n">
        <f aca="false">(1+$D$1992)^(G$2017-$E$2017-1)</f>
        <v>1.05</v>
      </c>
      <c r="H2019" s="53" t="n">
        <f aca="false">(1+$D$1992)^(H$2017-$E$2017-1)</f>
        <v>1.1025</v>
      </c>
      <c r="I2019" s="53" t="n">
        <f aca="false">(1+$D$1992)^(I$2017-$E$2017-1)</f>
        <v>1.157625</v>
      </c>
      <c r="J2019" s="53" t="n">
        <f aca="false">(1+$D$1992)^(J$2017-$E$2017-1)</f>
        <v>1.21550625</v>
      </c>
      <c r="K2019" s="23"/>
      <c r="L2019" s="49" t="s">
        <v>600</v>
      </c>
    </row>
    <row r="2020" customFormat="false" ht="15" hidden="true" customHeight="false" outlineLevel="1" collapsed="false">
      <c r="A2020" s="20" t="n">
        <v>53</v>
      </c>
      <c r="B2020" s="6" t="s">
        <v>601</v>
      </c>
      <c r="C2020" s="20" t="s">
        <v>62</v>
      </c>
      <c r="D2020" s="23"/>
      <c r="E2020" s="23"/>
      <c r="F2020" s="53" t="n">
        <f aca="false">(1+$D$1976)^(F$2017-$E$2017-1)</f>
        <v>1</v>
      </c>
      <c r="G2020" s="53" t="n">
        <f aca="false">(1+$D$1976)^(G$2017-$E$2017-1)</f>
        <v>1.07</v>
      </c>
      <c r="H2020" s="53" t="n">
        <f aca="false">(1+$D$1976)^(H$2017-$E$2017-1)</f>
        <v>1.1449</v>
      </c>
      <c r="I2020" s="53" t="n">
        <f aca="false">(1+$D$1976)^(I$2017-$E$2017-1)</f>
        <v>1.225043</v>
      </c>
      <c r="J2020" s="53" t="n">
        <f aca="false">(1+$D$1976)^(J$2017-$E$2017-1)</f>
        <v>1.31079601</v>
      </c>
      <c r="K2020" s="23"/>
      <c r="L2020" s="49" t="s">
        <v>602</v>
      </c>
    </row>
    <row r="2021" customFormat="false" ht="15" hidden="true" customHeight="false" outlineLevel="1" collapsed="false">
      <c r="A2021" s="20" t="n">
        <v>54</v>
      </c>
      <c r="B2021" s="6" t="s">
        <v>603</v>
      </c>
      <c r="C2021" s="20" t="s">
        <v>55</v>
      </c>
      <c r="D2021" s="23"/>
      <c r="E2021" s="23"/>
      <c r="F2021" s="46" t="n">
        <f aca="false">$D$1980*(1+$D$1981)^(F$2017-$E$2017)</f>
        <v>3.21732</v>
      </c>
      <c r="G2021" s="46" t="n">
        <f aca="false">$D$1980*(1+$D$1981)^(G$2017-$E$2017)</f>
        <v>3.4747056</v>
      </c>
      <c r="H2021" s="46" t="n">
        <f aca="false">$D$1980*(1+$D$1981)^(H$2017-$E$2017)</f>
        <v>3.752682048</v>
      </c>
      <c r="I2021" s="46" t="n">
        <f aca="false">$D$1980*(1+$D$1981)^(I$2017-$E$2017)</f>
        <v>4.05289661184</v>
      </c>
      <c r="J2021" s="46" t="n">
        <f aca="false">$D$1980*(1+$D$1981)^(J$2017-$E$2017)</f>
        <v>4.3771283407872</v>
      </c>
      <c r="K2021" s="23"/>
      <c r="L2021" s="49" t="s">
        <v>604</v>
      </c>
    </row>
    <row r="2022" customFormat="false" ht="15" hidden="true" customHeight="false" outlineLevel="1" collapsed="false">
      <c r="A2022" s="19" t="s">
        <v>605</v>
      </c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</row>
    <row r="2023" customFormat="false" ht="15" hidden="true" customHeight="false" outlineLevel="1" collapsed="false">
      <c r="A2023" s="20" t="n">
        <v>55</v>
      </c>
      <c r="B2023" s="6" t="s">
        <v>606</v>
      </c>
      <c r="C2023" s="20" t="s">
        <v>76</v>
      </c>
      <c r="D2023" s="23"/>
      <c r="E2023" s="23"/>
      <c r="F2023" s="38" t="n">
        <f aca="false">IF(F$2017=$D$1967,1,0)</f>
        <v>1</v>
      </c>
      <c r="G2023" s="38" t="n">
        <f aca="false">IF(G$2017=$D$1967,1,0)</f>
        <v>0</v>
      </c>
      <c r="H2023" s="38" t="n">
        <f aca="false">IF(H$2017=$D$1967,1,0)</f>
        <v>0</v>
      </c>
      <c r="I2023" s="38" t="n">
        <f aca="false">IF(I$2017=$D$1967,1,0)</f>
        <v>0</v>
      </c>
      <c r="J2023" s="38" t="n">
        <f aca="false">IF(J$2017=$D$1967,1,0)</f>
        <v>0</v>
      </c>
      <c r="K2023" s="23"/>
      <c r="L2023" s="49" t="s">
        <v>607</v>
      </c>
    </row>
    <row r="2024" customFormat="false" ht="15" hidden="true" customHeight="false" outlineLevel="1" collapsed="false">
      <c r="A2024" s="20" t="n">
        <v>56</v>
      </c>
      <c r="B2024" s="6" t="s">
        <v>608</v>
      </c>
      <c r="C2024" s="20" t="s">
        <v>76</v>
      </c>
      <c r="D2024" s="23"/>
      <c r="E2024" s="38" t="n">
        <f aca="false">0</f>
        <v>0</v>
      </c>
      <c r="F2024" s="38" t="n">
        <f aca="false">F2023+F2008</f>
        <v>1</v>
      </c>
      <c r="G2024" s="38" t="n">
        <f aca="false">G2023+G2008</f>
        <v>0</v>
      </c>
      <c r="H2024" s="38" t="n">
        <f aca="false">H2023+H2008</f>
        <v>1</v>
      </c>
      <c r="I2024" s="38" t="n">
        <f aca="false">I2023+I2008</f>
        <v>0</v>
      </c>
      <c r="J2024" s="38" t="n">
        <f aca="false">J2023+J2008</f>
        <v>1</v>
      </c>
      <c r="K2024" s="54" t="n">
        <f aca="false">SUM(F2024:J2024)</f>
        <v>3</v>
      </c>
      <c r="L2024" s="49" t="s">
        <v>609</v>
      </c>
    </row>
    <row r="2025" customFormat="false" ht="15" hidden="true" customHeight="false" outlineLevel="1" collapsed="false">
      <c r="A2025" s="20" t="n">
        <v>57</v>
      </c>
      <c r="B2025" s="6" t="s">
        <v>610</v>
      </c>
      <c r="C2025" s="20" t="s">
        <v>76</v>
      </c>
      <c r="D2025" s="23"/>
      <c r="E2025" s="38" t="n">
        <f aca="false">0</f>
        <v>0</v>
      </c>
      <c r="F2025" s="38" t="n">
        <f aca="false">E2025+F2024</f>
        <v>1</v>
      </c>
      <c r="G2025" s="38" t="n">
        <f aca="false">F2025+G2024</f>
        <v>1</v>
      </c>
      <c r="H2025" s="38" t="n">
        <f aca="false">G2025+H2024</f>
        <v>2</v>
      </c>
      <c r="I2025" s="38" t="n">
        <f aca="false">H2025+I2024</f>
        <v>2</v>
      </c>
      <c r="J2025" s="38" t="n">
        <f aca="false">I2025+J2024</f>
        <v>3</v>
      </c>
      <c r="K2025" s="23"/>
      <c r="L2025" s="49" t="s">
        <v>611</v>
      </c>
    </row>
    <row r="2026" customFormat="false" ht="15" hidden="true" customHeight="false" outlineLevel="1" collapsed="false">
      <c r="A2026" s="20" t="n">
        <v>58</v>
      </c>
      <c r="B2026" s="6" t="s">
        <v>612</v>
      </c>
      <c r="C2026" s="20" t="s">
        <v>76</v>
      </c>
      <c r="D2026" s="23"/>
      <c r="E2026" s="38" t="n">
        <f aca="false">0</f>
        <v>0</v>
      </c>
      <c r="F2026" s="38" t="n">
        <f aca="false">E2026+F2009</f>
        <v>0</v>
      </c>
      <c r="G2026" s="38" t="n">
        <f aca="false">F2026+G2009</f>
        <v>1</v>
      </c>
      <c r="H2026" s="38" t="n">
        <f aca="false">G2026+H2009</f>
        <v>3</v>
      </c>
      <c r="I2026" s="38" t="n">
        <f aca="false">H2026+I2009</f>
        <v>5</v>
      </c>
      <c r="J2026" s="38" t="n">
        <f aca="false">I2026+J2009</f>
        <v>8</v>
      </c>
      <c r="K2026" s="23"/>
      <c r="L2026" s="49" t="s">
        <v>611</v>
      </c>
    </row>
    <row r="2027" customFormat="false" ht="15" hidden="true" customHeight="false" outlineLevel="1" collapsed="false">
      <c r="A2027" s="20" t="n">
        <v>59</v>
      </c>
      <c r="B2027" s="6" t="s">
        <v>613</v>
      </c>
      <c r="C2027" s="20" t="s">
        <v>76</v>
      </c>
      <c r="D2027" s="23"/>
      <c r="E2027" s="38" t="n">
        <f aca="false">0</f>
        <v>0</v>
      </c>
      <c r="F2027" s="38" t="n">
        <f aca="false">F2025+F2026</f>
        <v>1</v>
      </c>
      <c r="G2027" s="38" t="n">
        <f aca="false">G2025+G2026</f>
        <v>2</v>
      </c>
      <c r="H2027" s="38" t="n">
        <f aca="false">H2025+H2026</f>
        <v>5</v>
      </c>
      <c r="I2027" s="38" t="n">
        <f aca="false">I2025+I2026</f>
        <v>7</v>
      </c>
      <c r="J2027" s="38" t="n">
        <f aca="false">J2025+J2026</f>
        <v>11</v>
      </c>
      <c r="K2027" s="23"/>
      <c r="L2027" s="49" t="s">
        <v>614</v>
      </c>
    </row>
    <row r="2028" customFormat="false" ht="15" hidden="true" customHeight="false" outlineLevel="1" collapsed="false">
      <c r="A2028" s="20" t="n">
        <v>60</v>
      </c>
      <c r="B2028" s="6" t="s">
        <v>615</v>
      </c>
      <c r="C2028" s="20" t="s">
        <v>76</v>
      </c>
      <c r="D2028" s="23"/>
      <c r="E2028" s="23"/>
      <c r="F2028" s="38" t="n">
        <f aca="false">F2024+F2009</f>
        <v>1</v>
      </c>
      <c r="G2028" s="38" t="n">
        <f aca="false">G2024+G2009</f>
        <v>1</v>
      </c>
      <c r="H2028" s="38" t="n">
        <f aca="false">H2024+H2009</f>
        <v>3</v>
      </c>
      <c r="I2028" s="38" t="n">
        <f aca="false">I2024+I2009</f>
        <v>2</v>
      </c>
      <c r="J2028" s="38" t="n">
        <f aca="false">J2024+J2009</f>
        <v>4</v>
      </c>
      <c r="K2028" s="54" t="n">
        <f aca="false">SUM(F2028:J2028)</f>
        <v>11</v>
      </c>
      <c r="L2028" s="49"/>
    </row>
    <row r="2029" customFormat="false" ht="15" hidden="true" customHeight="false" outlineLevel="1" collapsed="false">
      <c r="A2029" s="19" t="s">
        <v>616</v>
      </c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</row>
    <row r="2030" customFormat="false" ht="15" hidden="true" customHeight="false" outlineLevel="1" collapsed="false">
      <c r="A2030" s="20" t="n">
        <v>61</v>
      </c>
      <c r="B2030" s="6" t="s">
        <v>617</v>
      </c>
      <c r="C2030" s="20" t="s">
        <v>71</v>
      </c>
      <c r="D2030" s="23"/>
      <c r="E2030" s="23"/>
      <c r="F2030" s="40" t="n">
        <f aca="false">IF(F$2017&gt;$D$1967,($D$1969+$D$1968*$D$1970)*(1+$D$1975)^(F$2017-$D$1967-1)*F2018,0)</f>
        <v>0</v>
      </c>
      <c r="G2030" s="40" t="n">
        <f aca="false">IF(G$2017&gt;$D$1967,($D$1969+$D$1968*$D$1970)*(1+$D$1975)^(G$2017-$D$1967-1)*G2018,0)</f>
        <v>15.75</v>
      </c>
      <c r="H2030" s="40" t="n">
        <f aca="false">IF(H$2017&gt;$D$1967,($D$1969+$D$1968*$D$1970)*(1+$D$1975)^(H$2017-$D$1967-1)*H2018,0)</f>
        <v>19.018125</v>
      </c>
      <c r="I2030" s="40" t="n">
        <f aca="false">IF(I$2017&gt;$D$1967,($D$1969+$D$1968*$D$1970)*(1+$D$1975)^(I$2017-$D$1967-1)*I2018,0)</f>
        <v>22.9643859375</v>
      </c>
      <c r="J2030" s="40" t="n">
        <f aca="false">IF(J$2017&gt;$D$1967,($D$1969+$D$1968*$D$1970)*(1+$D$1975)^(J$2017-$D$1967-1)*J2018,0)</f>
        <v>27.7294960195313</v>
      </c>
      <c r="K2030" s="51" t="n">
        <f aca="false">SUM(F2030:J2030)</f>
        <v>85.4620069570313</v>
      </c>
      <c r="L2030" s="49" t="s">
        <v>618</v>
      </c>
    </row>
    <row r="2031" customFormat="false" ht="15" hidden="true" customHeight="false" outlineLevel="1" collapsed="false">
      <c r="A2031" s="20" t="n">
        <v>62</v>
      </c>
      <c r="B2031" s="6" t="s">
        <v>619</v>
      </c>
      <c r="C2031" s="20" t="s">
        <v>71</v>
      </c>
      <c r="D2031" s="23"/>
      <c r="E2031" s="23"/>
      <c r="F2031" s="40" t="n">
        <f aca="false">($D$1969+$D$2000*$D$1970)*F2018*SUMPRODUCT($E$2008:E$2008,(1+$D$1975)^(F$2017-$E$2017:E$2017-1))</f>
        <v>0</v>
      </c>
      <c r="G2031" s="40" t="n">
        <f aca="false">($D$1969+$D$2000*$D$1970)*G2018*SUMPRODUCT($E$2008:F$2008,(1+$D$1975)^(G$2017-$E$2017:F$2017-1))</f>
        <v>0</v>
      </c>
      <c r="H2031" s="40" t="n">
        <f aca="false">($D$1969+$D$2000*$D$1970)*H2018*SUMPRODUCT($E$2008:G$2008,(1+$D$1975)^(H$2017-$E$2017:G$2017-1))</f>
        <v>0</v>
      </c>
      <c r="I2031" s="40" t="n">
        <f aca="false">($D$1969+$D$2000*$D$1970)*I2018*SUMPRODUCT($E$2008:H$2008,(1+$D$1975)^(I$2017-$E$2017:H$2017-1))</f>
        <v>9.78719318181818</v>
      </c>
      <c r="J2031" s="40" t="n">
        <f aca="false">($D$1969+$D$2000*$D$1970)*J2018*SUMPRODUCT($E$2008:I$2008,(1+$D$1975)^(J$2017-$E$2017:I$2017-1))</f>
        <v>11.8180357670455</v>
      </c>
      <c r="K2031" s="51" t="n">
        <f aca="false">SUM(F2031:J2031)</f>
        <v>21.6052289488636</v>
      </c>
      <c r="L2031" s="49" t="s">
        <v>620</v>
      </c>
    </row>
    <row r="2032" customFormat="false" ht="15" hidden="true" customHeight="false" outlineLevel="1" collapsed="false">
      <c r="A2032" s="20" t="n">
        <v>63</v>
      </c>
      <c r="B2032" s="6" t="s">
        <v>621</v>
      </c>
      <c r="C2032" s="20" t="s">
        <v>71</v>
      </c>
      <c r="D2032" s="23"/>
      <c r="E2032" s="23"/>
      <c r="F2032" s="40" t="n">
        <f aca="false">($D$1971+$D$2001*$D$1970)*F2018*SUMPRODUCT($E$2009:E$2009,(1+$D$1975)^(F$2017-$E$2017:E$2017-1))</f>
        <v>0</v>
      </c>
      <c r="G2032" s="40" t="n">
        <f aca="false">($D$1971+$D$2001*$D$1970)*G2018*SUMPRODUCT($E$2009:F$2009,(1+$D$1975)^(G$2017-$E$2017:F$2017-1))</f>
        <v>0</v>
      </c>
      <c r="H2032" s="40" t="n">
        <f aca="false">($D$1971+$D$2001*$D$1970)*H2018*SUMPRODUCT($E$2009:G$2009,(1+$D$1975)^(H$2017-$E$2017:G$2017-1))</f>
        <v>1.8087890625</v>
      </c>
      <c r="I2032" s="40" t="n">
        <f aca="false">($D$1971+$D$2001*$D$1970)*I2018*SUMPRODUCT($E$2009:H$2009,(1+$D$1975)^(I$2017-$E$2017:H$2017-1))</f>
        <v>5.98256982421875</v>
      </c>
      <c r="J2032" s="40" t="n">
        <f aca="false">($D$1971+$D$2001*$D$1970)*J2018*SUMPRODUCT($E$2009:I$2009,(1+$D$1975)^(J$2017-$E$2017:I$2017-1))</f>
        <v>11.2123329455566</v>
      </c>
      <c r="K2032" s="51" t="n">
        <f aca="false">SUM(F2032:J2032)</f>
        <v>19.0036918322754</v>
      </c>
      <c r="L2032" s="49" t="s">
        <v>622</v>
      </c>
    </row>
    <row r="2033" customFormat="false" ht="15" hidden="true" customHeight="false" outlineLevel="1" collapsed="false">
      <c r="A2033" s="20" t="n">
        <v>64</v>
      </c>
      <c r="B2033" s="6" t="s">
        <v>623</v>
      </c>
      <c r="C2033" s="20" t="s">
        <v>71</v>
      </c>
      <c r="D2033" s="23"/>
      <c r="E2033" s="23"/>
      <c r="F2033" s="40" t="n">
        <f aca="false">(F2024*$D$1972+F2009*$D$1973)*F2018</f>
        <v>8</v>
      </c>
      <c r="G2033" s="40" t="n">
        <f aca="false">(G2024*$D$1972+G2009*$D$1973)*G2018</f>
        <v>2.1</v>
      </c>
      <c r="H2033" s="40" t="n">
        <f aca="false">(H2024*$D$1972+H2009*$D$1973)*H2018</f>
        <v>13.23</v>
      </c>
      <c r="I2033" s="40" t="n">
        <f aca="false">(I2024*$D$1972+I2009*$D$1973)*I2018</f>
        <v>4.6305</v>
      </c>
      <c r="J2033" s="40" t="n">
        <f aca="false">(J2024*$D$1972+J2009*$D$1973)*J2018</f>
        <v>17.0170875</v>
      </c>
      <c r="K2033" s="51" t="n">
        <f aca="false">SUM(F2033:J2033)</f>
        <v>44.9775875</v>
      </c>
      <c r="L2033" s="49" t="s">
        <v>624</v>
      </c>
    </row>
    <row r="2034" customFormat="false" ht="15" hidden="true" customHeight="false" outlineLevel="1" collapsed="false">
      <c r="A2034" s="20" t="n">
        <v>65</v>
      </c>
      <c r="B2034" s="6" t="s">
        <v>625</v>
      </c>
      <c r="C2034" s="20" t="s">
        <v>71</v>
      </c>
      <c r="D2034" s="23"/>
      <c r="E2034" s="23"/>
      <c r="F2034" s="40" t="n">
        <f aca="false">F2030+F2031+F2032</f>
        <v>0</v>
      </c>
      <c r="G2034" s="40" t="n">
        <f aca="false">G2030+G2031+G2032</f>
        <v>15.75</v>
      </c>
      <c r="H2034" s="40" t="n">
        <f aca="false">H2030+H2031+H2032</f>
        <v>20.8269140625</v>
      </c>
      <c r="I2034" s="40" t="n">
        <f aca="false">I2030+I2031+I2032</f>
        <v>38.7341489435369</v>
      </c>
      <c r="J2034" s="40" t="n">
        <f aca="false">J2030+J2031+J2032</f>
        <v>50.7598647321333</v>
      </c>
      <c r="K2034" s="51" t="n">
        <f aca="false">SUM(F2034:J2034)</f>
        <v>126.07092773817</v>
      </c>
      <c r="L2034" s="49"/>
    </row>
    <row r="2035" customFormat="false" ht="15" hidden="true" customHeight="false" outlineLevel="1" collapsed="false">
      <c r="A2035" s="20" t="n">
        <v>66</v>
      </c>
      <c r="B2035" s="6" t="s">
        <v>91</v>
      </c>
      <c r="C2035" s="20" t="s">
        <v>71</v>
      </c>
      <c r="D2035" s="23"/>
      <c r="E2035" s="23"/>
      <c r="F2035" s="40" t="n">
        <f aca="false">F2034+F2033</f>
        <v>8</v>
      </c>
      <c r="G2035" s="40" t="n">
        <f aca="false">G2034+G2033</f>
        <v>17.85</v>
      </c>
      <c r="H2035" s="40" t="n">
        <f aca="false">H2034+H2033</f>
        <v>34.0569140625</v>
      </c>
      <c r="I2035" s="40" t="n">
        <f aca="false">I2034+I2033</f>
        <v>43.3646489435369</v>
      </c>
      <c r="J2035" s="40" t="n">
        <f aca="false">J2034+J2033</f>
        <v>67.7769522321333</v>
      </c>
      <c r="K2035" s="51" t="n">
        <f aca="false">SUM(F2035:J2035)</f>
        <v>171.04851523817</v>
      </c>
      <c r="L2035" s="49" t="s">
        <v>626</v>
      </c>
    </row>
    <row r="2036" customFormat="false" ht="15" hidden="true" customHeight="false" outlineLevel="1" collapsed="false">
      <c r="A2036" s="20" t="n">
        <v>67</v>
      </c>
      <c r="B2036" s="6" t="s">
        <v>627</v>
      </c>
      <c r="C2036" s="20" t="s">
        <v>55</v>
      </c>
      <c r="D2036" s="23"/>
      <c r="E2036" s="23"/>
      <c r="F2036" s="40" t="n">
        <f aca="false">IF(F$2017&gt;=$D$1967,($D$1969+$D$1968*$D$1970)*(1+$D$1975)^(F$2017-$D$1967)*F2018,0)+($D$1969+$D$2000*$D$1970)*F2018*SUMPRODUCT($E$2008:F$2008,(1+$D$1975)^(F$2017-$E$2017:F$2017))+($D$1971+$D$2001*$D$1970)*F2018*SUMPRODUCT($E$2009:F$2009,(1+$D$1975)^(F$2017-$E$2017:F$2017))</f>
        <v>15</v>
      </c>
      <c r="G2036" s="40" t="n">
        <f aca="false">IF(G$2017&gt;=$D$1967,($D$1969+$D$1968*$D$1970)*(1+$D$1975)^(G$2017-$D$1967)*G2018,0)+($D$1969+$D$2000*$D$1970)*G2018*SUMPRODUCT($E$2008:G$2008,(1+$D$1975)^(G$2017-$E$2017:G$2017))+($D$1971+$D$2001*$D$1970)*G2018*SUMPRODUCT($E$2009:G$2009,(1+$D$1975)^(G$2017-$E$2017:G$2017))</f>
        <v>19.83515625</v>
      </c>
      <c r="H2036" s="40" t="n">
        <f aca="false">IF(H$2017&gt;=$D$1967,($D$1969+$D$1968*$D$1970)*(1+$D$1975)^(H$2017-$D$1967)*H2018,0)+($D$1969+$D$2000*$D$1970)*H2018*SUMPRODUCT($E$2008:H$2008,(1+$D$1975)^(H$2017-$E$2017:H$2017))+($D$1971+$D$2001*$D$1970)*H2018*SUMPRODUCT($E$2009:H$2009,(1+$D$1975)^(H$2017-$E$2017:H$2017))</f>
        <v>36.8896656605114</v>
      </c>
      <c r="I2036" s="40" t="n">
        <f aca="false">IF(I$2017&gt;=$D$1967,($D$1969+$D$1968*$D$1970)*(1+$D$1975)^(I$2017-$D$1967)*I2018,0)+($D$1969+$D$2000*$D$1970)*I2018*SUMPRODUCT($E$2008:I$2008,(1+$D$1975)^(I$2017-$E$2017:I$2017))+($D$1971+$D$2001*$D$1970)*I2018*SUMPRODUCT($E$2009:I$2009,(1+$D$1975)^(I$2017-$E$2017:I$2017))</f>
        <v>48.3427283163175</v>
      </c>
      <c r="J2036" s="40" t="n">
        <f aca="false">IF(J$2017&gt;=$D$1967,($D$1969+$D$1968*$D$1970)*(1+$D$1975)^(J$2017-$D$1967)*J2018,0)+($D$1969+$D$2000*$D$1970)*J2018*SUMPRODUCT($E$2008:J$2008,(1+$D$1975)^(J$2017-$E$2017:J$2017))+($D$1971+$D$2001*$D$1970)*J2018*SUMPRODUCT($E$2009:J$2009,(1+$D$1975)^(J$2017-$E$2017:J$2017))</f>
        <v>74.6329671070812</v>
      </c>
      <c r="K2036" s="23"/>
      <c r="L2036" s="49" t="s">
        <v>628</v>
      </c>
    </row>
    <row r="2037" customFormat="false" ht="15" hidden="true" customHeight="false" outlineLevel="1" collapsed="false">
      <c r="A2037" s="19" t="s">
        <v>629</v>
      </c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</row>
    <row r="2038" customFormat="false" ht="15" hidden="true" customHeight="false" outlineLevel="1" collapsed="false">
      <c r="A2038" s="20" t="n">
        <v>68</v>
      </c>
      <c r="B2038" s="6" t="s">
        <v>630</v>
      </c>
      <c r="C2038" s="20" t="s">
        <v>53</v>
      </c>
      <c r="D2038" s="23"/>
      <c r="E2038" s="40" t="n">
        <f aca="false">E2010+E2011+E2012+E2013+E2014+E2015</f>
        <v>2</v>
      </c>
      <c r="F2038" s="40" t="n">
        <f aca="false">F2010+F2011+F2012+F2013+F2014+F2015</f>
        <v>4</v>
      </c>
      <c r="G2038" s="40" t="n">
        <f aca="false">G2010+G2011+G2012+G2013+G2014+G2015</f>
        <v>5</v>
      </c>
      <c r="H2038" s="40" t="n">
        <f aca="false">H2010+H2011+H2012+H2013+H2014+H2015</f>
        <v>6</v>
      </c>
      <c r="I2038" s="40" t="n">
        <f aca="false">I2010+I2011+I2012+I2013+I2014+I2015</f>
        <v>7</v>
      </c>
      <c r="J2038" s="40" t="n">
        <f aca="false">J2010+J2011+J2012+J2013+J2014+J2015</f>
        <v>8</v>
      </c>
      <c r="K2038" s="23"/>
      <c r="L2038" s="49" t="s">
        <v>631</v>
      </c>
    </row>
    <row r="2039" customFormat="false" ht="15" hidden="true" customHeight="false" outlineLevel="1" collapsed="false">
      <c r="A2039" s="20" t="n">
        <v>69</v>
      </c>
      <c r="B2039" s="6" t="s">
        <v>632</v>
      </c>
      <c r="C2039" s="20" t="s">
        <v>53</v>
      </c>
      <c r="D2039" s="23"/>
      <c r="E2039" s="23"/>
      <c r="F2039" s="40" t="n">
        <f aca="false">MAX(0,F2038-E2038)</f>
        <v>2</v>
      </c>
      <c r="G2039" s="40" t="n">
        <f aca="false">MAX(0,G2038-F2038)</f>
        <v>1</v>
      </c>
      <c r="H2039" s="40" t="n">
        <f aca="false">MAX(0,H2038-G2038)</f>
        <v>1</v>
      </c>
      <c r="I2039" s="40" t="n">
        <f aca="false">MAX(0,I2038-H2038)</f>
        <v>1</v>
      </c>
      <c r="J2039" s="40" t="n">
        <f aca="false">MAX(0,J2038-I2038)</f>
        <v>1</v>
      </c>
      <c r="K2039" s="23"/>
      <c r="L2039" s="49" t="s">
        <v>633</v>
      </c>
    </row>
    <row r="2040" customFormat="false" ht="15" hidden="true" customHeight="false" outlineLevel="1" collapsed="false">
      <c r="A2040" s="20" t="n">
        <v>70</v>
      </c>
      <c r="B2040" s="6" t="s">
        <v>634</v>
      </c>
      <c r="C2040" s="20" t="s">
        <v>71</v>
      </c>
      <c r="D2040" s="23"/>
      <c r="E2040" s="23"/>
      <c r="F2040" s="41" t="n">
        <f aca="false">$D$2002*12/1000*F2020</f>
        <v>2.4</v>
      </c>
      <c r="G2040" s="41" t="n">
        <f aca="false">$D$2002*12/1000*G2020</f>
        <v>2.568</v>
      </c>
      <c r="H2040" s="41" t="n">
        <f aca="false">$D$2002*12/1000*H2020</f>
        <v>2.74776</v>
      </c>
      <c r="I2040" s="41" t="n">
        <f aca="false">$D$2002*12/1000*I2020</f>
        <v>2.9401032</v>
      </c>
      <c r="J2040" s="41" t="n">
        <f aca="false">$D$2002*12/1000*J2020</f>
        <v>3.145910424</v>
      </c>
      <c r="K2040" s="23"/>
      <c r="L2040" s="49" t="s">
        <v>635</v>
      </c>
    </row>
    <row r="2041" customFormat="false" ht="15" hidden="true" customHeight="false" outlineLevel="1" collapsed="false">
      <c r="A2041" s="20" t="n">
        <v>71</v>
      </c>
      <c r="B2041" s="6" t="s">
        <v>636</v>
      </c>
      <c r="C2041" s="20" t="s">
        <v>71</v>
      </c>
      <c r="D2041" s="23"/>
      <c r="E2041" s="23"/>
      <c r="F2041" s="41" t="n">
        <f aca="false">$D$2003*12/1000*F2020</f>
        <v>3.36</v>
      </c>
      <c r="G2041" s="41" t="n">
        <f aca="false">$D$2003*12/1000*G2020</f>
        <v>3.5952</v>
      </c>
      <c r="H2041" s="41" t="n">
        <f aca="false">$D$2003*12/1000*H2020</f>
        <v>3.846864</v>
      </c>
      <c r="I2041" s="41" t="n">
        <f aca="false">$D$2003*12/1000*I2020</f>
        <v>4.11614448</v>
      </c>
      <c r="J2041" s="41" t="n">
        <f aca="false">$D$2003*12/1000*J2020</f>
        <v>4.4042745936</v>
      </c>
      <c r="K2041" s="23"/>
      <c r="L2041" s="49" t="s">
        <v>635</v>
      </c>
    </row>
    <row r="2042" customFormat="false" ht="15" hidden="true" customHeight="false" outlineLevel="1" collapsed="false">
      <c r="A2042" s="20" t="n">
        <v>72</v>
      </c>
      <c r="B2042" s="6" t="s">
        <v>637</v>
      </c>
      <c r="C2042" s="20" t="s">
        <v>71</v>
      </c>
      <c r="D2042" s="23"/>
      <c r="E2042" s="23"/>
      <c r="F2042" s="41" t="n">
        <f aca="false">$D$2004*12/1000*F2020</f>
        <v>2.76</v>
      </c>
      <c r="G2042" s="41" t="n">
        <f aca="false">$D$2004*12/1000*G2020</f>
        <v>2.9532</v>
      </c>
      <c r="H2042" s="41" t="n">
        <f aca="false">$D$2004*12/1000*H2020</f>
        <v>3.159924</v>
      </c>
      <c r="I2042" s="41" t="n">
        <f aca="false">$D$2004*12/1000*I2020</f>
        <v>3.38111868</v>
      </c>
      <c r="J2042" s="41" t="n">
        <f aca="false">$D$2004*12/1000*J2020</f>
        <v>3.6177969876</v>
      </c>
      <c r="K2042" s="23"/>
      <c r="L2042" s="49" t="s">
        <v>635</v>
      </c>
    </row>
    <row r="2043" customFormat="false" ht="15" hidden="true" customHeight="false" outlineLevel="1" collapsed="false">
      <c r="A2043" s="20" t="n">
        <v>73</v>
      </c>
      <c r="B2043" s="6" t="s">
        <v>638</v>
      </c>
      <c r="C2043" s="20" t="s">
        <v>71</v>
      </c>
      <c r="D2043" s="23"/>
      <c r="E2043" s="23"/>
      <c r="F2043" s="41" t="n">
        <f aca="false">$D$2005*12/1000*F2020</f>
        <v>2.64</v>
      </c>
      <c r="G2043" s="41" t="n">
        <f aca="false">$D$2005*12/1000*G2020</f>
        <v>2.8248</v>
      </c>
      <c r="H2043" s="41" t="n">
        <f aca="false">$D$2005*12/1000*H2020</f>
        <v>3.022536</v>
      </c>
      <c r="I2043" s="41" t="n">
        <f aca="false">$D$2005*12/1000*I2020</f>
        <v>3.23411352</v>
      </c>
      <c r="J2043" s="41" t="n">
        <f aca="false">$D$2005*12/1000*J2020</f>
        <v>3.4605014664</v>
      </c>
      <c r="K2043" s="23"/>
      <c r="L2043" s="49" t="s">
        <v>635</v>
      </c>
    </row>
    <row r="2044" customFormat="false" ht="15" hidden="true" customHeight="false" outlineLevel="1" collapsed="false">
      <c r="A2044" s="20" t="n">
        <v>74</v>
      </c>
      <c r="B2044" s="6" t="s">
        <v>639</v>
      </c>
      <c r="C2044" s="20" t="s">
        <v>71</v>
      </c>
      <c r="D2044" s="23"/>
      <c r="E2044" s="23"/>
      <c r="F2044" s="41" t="n">
        <f aca="false">$D$2006*12/1000*F2020</f>
        <v>3</v>
      </c>
      <c r="G2044" s="41" t="n">
        <f aca="false">$D$2006*12/1000*G2020</f>
        <v>3.21</v>
      </c>
      <c r="H2044" s="41" t="n">
        <f aca="false">$D$2006*12/1000*H2020</f>
        <v>3.4347</v>
      </c>
      <c r="I2044" s="41" t="n">
        <f aca="false">$D$2006*12/1000*I2020</f>
        <v>3.675129</v>
      </c>
      <c r="J2044" s="41" t="n">
        <f aca="false">$D$2006*12/1000*J2020</f>
        <v>3.93238803</v>
      </c>
      <c r="K2044" s="23"/>
      <c r="L2044" s="49" t="s">
        <v>635</v>
      </c>
    </row>
    <row r="2045" customFormat="false" ht="15" hidden="true" customHeight="false" outlineLevel="1" collapsed="false">
      <c r="A2045" s="20" t="n">
        <v>75</v>
      </c>
      <c r="B2045" s="6" t="s">
        <v>640</v>
      </c>
      <c r="C2045" s="20" t="s">
        <v>71</v>
      </c>
      <c r="D2045" s="23"/>
      <c r="E2045" s="23"/>
      <c r="F2045" s="41" t="n">
        <f aca="false">$D$2007*12/1000*F2020</f>
        <v>2.64</v>
      </c>
      <c r="G2045" s="41" t="n">
        <f aca="false">$D$2007*12/1000*G2020</f>
        <v>2.8248</v>
      </c>
      <c r="H2045" s="41" t="n">
        <f aca="false">$D$2007*12/1000*H2020</f>
        <v>3.022536</v>
      </c>
      <c r="I2045" s="41" t="n">
        <f aca="false">$D$2007*12/1000*I2020</f>
        <v>3.23411352</v>
      </c>
      <c r="J2045" s="41" t="n">
        <f aca="false">$D$2007*12/1000*J2020</f>
        <v>3.4605014664</v>
      </c>
      <c r="K2045" s="23"/>
      <c r="L2045" s="49" t="s">
        <v>635</v>
      </c>
    </row>
    <row r="2046" customFormat="false" ht="15" hidden="true" customHeight="false" outlineLevel="1" collapsed="false">
      <c r="A2046" s="20" t="n">
        <v>76</v>
      </c>
      <c r="B2046" s="6" t="s">
        <v>641</v>
      </c>
      <c r="C2046" s="20" t="s">
        <v>71</v>
      </c>
      <c r="D2046" s="23"/>
      <c r="E2046" s="23"/>
      <c r="F2046" s="40" t="n">
        <f aca="false">F2010*F2040</f>
        <v>4.8</v>
      </c>
      <c r="G2046" s="40" t="n">
        <f aca="false">G2010*G2040</f>
        <v>5.136</v>
      </c>
      <c r="H2046" s="40" t="n">
        <f aca="false">H2010*H2040</f>
        <v>5.49552</v>
      </c>
      <c r="I2046" s="40" t="n">
        <f aca="false">I2010*I2040</f>
        <v>5.8802064</v>
      </c>
      <c r="J2046" s="40" t="n">
        <f aca="false">J2010*J2040</f>
        <v>6.291820848</v>
      </c>
      <c r="K2046" s="51" t="n">
        <f aca="false">SUM(F2046:J2046)</f>
        <v>27.603547248</v>
      </c>
      <c r="L2046" s="49" t="s">
        <v>642</v>
      </c>
    </row>
    <row r="2047" customFormat="false" ht="15" hidden="true" customHeight="false" outlineLevel="1" collapsed="false">
      <c r="A2047" s="20" t="n">
        <v>77</v>
      </c>
      <c r="B2047" s="6" t="s">
        <v>643</v>
      </c>
      <c r="C2047" s="20" t="s">
        <v>71</v>
      </c>
      <c r="D2047" s="23"/>
      <c r="E2047" s="23"/>
      <c r="F2047" s="40" t="n">
        <f aca="false">F2011*F2041</f>
        <v>3.36</v>
      </c>
      <c r="G2047" s="40" t="n">
        <f aca="false">G2011*G2041</f>
        <v>3.5952</v>
      </c>
      <c r="H2047" s="40" t="n">
        <f aca="false">H2011*H2041</f>
        <v>3.846864</v>
      </c>
      <c r="I2047" s="40" t="n">
        <f aca="false">I2011*I2041</f>
        <v>8.23228896</v>
      </c>
      <c r="J2047" s="40" t="n">
        <f aca="false">J2011*J2041</f>
        <v>8.8085491872</v>
      </c>
      <c r="K2047" s="51" t="n">
        <f aca="false">SUM(F2047:J2047)</f>
        <v>27.8429021472</v>
      </c>
      <c r="L2047" s="49" t="s">
        <v>642</v>
      </c>
    </row>
    <row r="2048" customFormat="false" ht="15" hidden="true" customHeight="false" outlineLevel="1" collapsed="false">
      <c r="A2048" s="20" t="n">
        <v>78</v>
      </c>
      <c r="B2048" s="6" t="s">
        <v>644</v>
      </c>
      <c r="C2048" s="20" t="s">
        <v>71</v>
      </c>
      <c r="D2048" s="23"/>
      <c r="E2048" s="23"/>
      <c r="F2048" s="40" t="n">
        <f aca="false">F2012*F2042</f>
        <v>2.76</v>
      </c>
      <c r="G2048" s="40" t="n">
        <f aca="false">G2012*G2042</f>
        <v>2.9532</v>
      </c>
      <c r="H2048" s="40" t="n">
        <f aca="false">H2012*H2042</f>
        <v>3.159924</v>
      </c>
      <c r="I2048" s="40" t="n">
        <f aca="false">I2012*I2042</f>
        <v>3.38111868</v>
      </c>
      <c r="J2048" s="40" t="n">
        <f aca="false">J2012*J2042</f>
        <v>3.6177969876</v>
      </c>
      <c r="K2048" s="51" t="n">
        <f aca="false">SUM(F2048:J2048)</f>
        <v>15.8720396676</v>
      </c>
      <c r="L2048" s="49" t="s">
        <v>642</v>
      </c>
    </row>
    <row r="2049" customFormat="false" ht="15" hidden="true" customHeight="false" outlineLevel="1" collapsed="false">
      <c r="A2049" s="20" t="n">
        <v>79</v>
      </c>
      <c r="B2049" s="6" t="s">
        <v>645</v>
      </c>
      <c r="C2049" s="20" t="s">
        <v>71</v>
      </c>
      <c r="D2049" s="23"/>
      <c r="E2049" s="23"/>
      <c r="F2049" s="40" t="n">
        <f aca="false">F2013*F2043</f>
        <v>0</v>
      </c>
      <c r="G2049" s="40" t="n">
        <f aca="false">G2013*G2043</f>
        <v>2.8248</v>
      </c>
      <c r="H2049" s="40" t="n">
        <f aca="false">H2013*H2043</f>
        <v>3.022536</v>
      </c>
      <c r="I2049" s="40" t="n">
        <f aca="false">I2013*I2043</f>
        <v>3.23411352</v>
      </c>
      <c r="J2049" s="40" t="n">
        <f aca="false">J2013*J2043</f>
        <v>3.4605014664</v>
      </c>
      <c r="K2049" s="51" t="n">
        <f aca="false">SUM(F2049:J2049)</f>
        <v>12.5419509864</v>
      </c>
      <c r="L2049" s="49" t="s">
        <v>642</v>
      </c>
    </row>
    <row r="2050" customFormat="false" ht="15" hidden="true" customHeight="false" outlineLevel="1" collapsed="false">
      <c r="A2050" s="20" t="n">
        <v>80</v>
      </c>
      <c r="B2050" s="6" t="s">
        <v>646</v>
      </c>
      <c r="C2050" s="20" t="s">
        <v>71</v>
      </c>
      <c r="D2050" s="23"/>
      <c r="E2050" s="23"/>
      <c r="F2050" s="40" t="n">
        <f aca="false">F2014*F2044</f>
        <v>0</v>
      </c>
      <c r="G2050" s="40" t="n">
        <f aca="false">G2014*G2044</f>
        <v>0</v>
      </c>
      <c r="H2050" s="40" t="n">
        <f aca="false">H2014*H2044</f>
        <v>3.4347</v>
      </c>
      <c r="I2050" s="40" t="n">
        <f aca="false">I2014*I2044</f>
        <v>3.675129</v>
      </c>
      <c r="J2050" s="40" t="n">
        <f aca="false">J2014*J2044</f>
        <v>3.93238803</v>
      </c>
      <c r="K2050" s="51" t="n">
        <f aca="false">SUM(F2050:J2050)</f>
        <v>11.04221703</v>
      </c>
      <c r="L2050" s="49" t="s">
        <v>642</v>
      </c>
    </row>
    <row r="2051" customFormat="false" ht="15" hidden="true" customHeight="false" outlineLevel="1" collapsed="false">
      <c r="A2051" s="20" t="n">
        <v>81</v>
      </c>
      <c r="B2051" s="6" t="s">
        <v>647</v>
      </c>
      <c r="C2051" s="20" t="s">
        <v>71</v>
      </c>
      <c r="D2051" s="23"/>
      <c r="E2051" s="23"/>
      <c r="F2051" s="40" t="n">
        <f aca="false">F2015*F2045</f>
        <v>0</v>
      </c>
      <c r="G2051" s="40" t="n">
        <f aca="false">G2015*G2045</f>
        <v>0</v>
      </c>
      <c r="H2051" s="40" t="n">
        <f aca="false">H2015*H2045</f>
        <v>0</v>
      </c>
      <c r="I2051" s="40" t="n">
        <f aca="false">I2015*I2045</f>
        <v>0</v>
      </c>
      <c r="J2051" s="40" t="n">
        <f aca="false">J2015*J2045</f>
        <v>3.4605014664</v>
      </c>
      <c r="K2051" s="51" t="n">
        <f aca="false">SUM(F2051:J2051)</f>
        <v>3.4605014664</v>
      </c>
      <c r="L2051" s="49" t="s">
        <v>642</v>
      </c>
    </row>
    <row r="2052" customFormat="false" ht="15" hidden="true" customHeight="false" outlineLevel="1" collapsed="false">
      <c r="A2052" s="20" t="n">
        <v>82</v>
      </c>
      <c r="B2052" s="6" t="s">
        <v>648</v>
      </c>
      <c r="C2052" s="20" t="s">
        <v>71</v>
      </c>
      <c r="D2052" s="23"/>
      <c r="E2052" s="23"/>
      <c r="F2052" s="40" t="n">
        <f aca="false">F2046+F2047+F2048+F2049+F2050+F2051</f>
        <v>10.92</v>
      </c>
      <c r="G2052" s="40" t="n">
        <f aca="false">G2046+G2047+G2048+G2049+G2050+G2051</f>
        <v>14.5092</v>
      </c>
      <c r="H2052" s="40" t="n">
        <f aca="false">H2046+H2047+H2048+H2049+H2050+H2051</f>
        <v>18.959544</v>
      </c>
      <c r="I2052" s="40" t="n">
        <f aca="false">I2046+I2047+I2048+I2049+I2050+I2051</f>
        <v>24.40285656</v>
      </c>
      <c r="J2052" s="40" t="n">
        <f aca="false">J2046+J2047+J2048+J2049+J2050+J2051</f>
        <v>29.5715579856</v>
      </c>
      <c r="K2052" s="51" t="n">
        <f aca="false">SUM(F2052:J2052)</f>
        <v>98.3631585456</v>
      </c>
      <c r="L2052" s="49"/>
    </row>
    <row r="2053" customFormat="false" ht="15" hidden="true" customHeight="false" outlineLevel="1" collapsed="false">
      <c r="A2053" s="20" t="n">
        <v>83</v>
      </c>
      <c r="B2053" s="6" t="s">
        <v>649</v>
      </c>
      <c r="C2053" s="20" t="s">
        <v>71</v>
      </c>
      <c r="D2053" s="23"/>
      <c r="E2053" s="23"/>
      <c r="F2053" s="40" t="n">
        <f aca="false">F2010*(MIN(F2040,F2021)*$D$1977+MAX(0,F2040-F2021)*$D$1978+F2040*$D$1979)+F2011*(MIN(F2041,F2021)*$D$1977+MAX(0,F2041-F2021)*$D$1978+F2041*$D$1979)+F2012*(MIN(F2042,F2021)*$D$1977+MAX(0,F2042-F2021)*$D$1978+F2042*$D$1979)+F2013*(MIN(F2043,F2021)*$D$1977+MAX(0,F2043-F2021)*$D$1978+F2043*$D$1979)+F2014*(MIN(F2044,F2021)*$D$1977+MAX(0,F2044-F2021)*$D$1978+F2044*$D$1979)+F2015*(MIN(F2045,F2021)*$D$1977+MAX(0,F2045-F2021)*$D$1978+F2045*$D$1979)</f>
        <v>1.64928168</v>
      </c>
      <c r="G2053" s="40" t="n">
        <f aca="false">G2010*(MIN(G2040,G2021)*$D$1977+MAX(0,G2040-G2021)*$D$1978+G2040*$D$1979)+G2011*(MIN(G2041,G2021)*$D$1977+MAX(0,G2041-G2021)*$D$1978+G2041*$D$1979)+G2012*(MIN(G2042,G2021)*$D$1977+MAX(0,G2042-G2021)*$D$1978+G2042*$D$1979)+G2013*(MIN(G2043,G2021)*$D$1977+MAX(0,G2043-G2021)*$D$1978+G2043*$D$1979)+G2014*(MIN(G2044,G2021)*$D$1977+MAX(0,G2044-G2021)*$D$1978+G2044*$D$1979)+G2015*(MIN(G2045,G2021)*$D$1977+MAX(0,G2045-G2021)*$D$1978+G2045*$D$1979)</f>
        <v>2.1964818144</v>
      </c>
      <c r="H2053" s="40" t="n">
        <f aca="false">H2010*(MIN(H2040,H2021)*$D$1977+MAX(0,H2040-H2021)*$D$1978+H2040*$D$1979)+H2011*(MIN(H2041,H2021)*$D$1977+MAX(0,H2041-H2021)*$D$1978+H2041*$D$1979)+H2012*(MIN(H2042,H2021)*$D$1977+MAX(0,H2042-H2021)*$D$1978+H2042*$D$1979)+H2013*(MIN(H2043,H2021)*$D$1977+MAX(0,H2043-H2021)*$D$1978+H2043*$D$1979)+H2014*(MIN(H2044,H2021)*$D$1977+MAX(0,H2044-H2021)*$D$1978+H2044*$D$1979)+H2015*(MIN(H2045,H2021)*$D$1977+MAX(0,H2045-H2021)*$D$1978+H2045*$D$1979)</f>
        <v>2.874881223552</v>
      </c>
      <c r="I2053" s="40" t="n">
        <f aca="false">I2010*(MIN(I2040,I2021)*$D$1977+MAX(0,I2040-I2021)*$D$1978+I2040*$D$1979)+I2011*(MIN(I2041,I2021)*$D$1977+MAX(0,I2041-I2021)*$D$1978+I2041*$D$1979)+I2012*(MIN(I2042,I2021)*$D$1977+MAX(0,I2042-I2021)*$D$1978+I2042*$D$1979)+I2013*(MIN(I2043,I2021)*$D$1977+MAX(0,I2043-I2021)*$D$1978+I2043*$D$1979)+I2014*(MIN(I2044,I2021)*$D$1977+MAX(0,I2044-I2021)*$D$1978+I2044*$D$1979)+I2015*(MIN(I2045,I2021)*$D$1977+MAX(0,I2045-I2021)*$D$1978+I2045*$D$1979)</f>
        <v>3.69987351263232</v>
      </c>
      <c r="J2053" s="40" t="n">
        <f aca="false">J2010*(MIN(J2040,J2021)*$D$1977+MAX(0,J2040-J2021)*$D$1978+J2040*$D$1979)+J2011*(MIN(J2041,J2021)*$D$1977+MAX(0,J2041-J2021)*$D$1978+J2041*$D$1979)+J2012*(MIN(J2042,J2021)*$D$1977+MAX(0,J2042-J2021)*$D$1978+J2042*$D$1979)+J2013*(MIN(J2043,J2021)*$D$1977+MAX(0,J2043-J2021)*$D$1978+J2043*$D$1979)+J2014*(MIN(J2044,J2021)*$D$1977+MAX(0,J2044-J2021)*$D$1978+J2044*$D$1979)+J2015*(MIN(J2045,J2021)*$D$1977+MAX(0,J2045-J2021)*$D$1978+J2045*$D$1979)</f>
        <v>4.49085916839491</v>
      </c>
      <c r="K2053" s="51" t="n">
        <f aca="false">SUM(F2053:J2053)</f>
        <v>14.9113773989792</v>
      </c>
      <c r="L2053" s="49" t="s">
        <v>650</v>
      </c>
    </row>
    <row r="2054" customFormat="false" ht="15" hidden="true" customHeight="false" outlineLevel="1" collapsed="false">
      <c r="A2054" s="20" t="n">
        <v>84</v>
      </c>
      <c r="B2054" s="6" t="s">
        <v>651</v>
      </c>
      <c r="C2054" s="20"/>
      <c r="D2054" s="23"/>
      <c r="E2054" s="23"/>
      <c r="F2054" s="38" t="n">
        <f aca="false">IF(AND(F2027&gt;0,E2027=0),1,0)</f>
        <v>1</v>
      </c>
      <c r="G2054" s="38" t="n">
        <f aca="false">IF(AND(G2027&gt;0,F2027=0),1,0)</f>
        <v>0</v>
      </c>
      <c r="H2054" s="38" t="n">
        <f aca="false">IF(AND(H2027&gt;0,G2027=0),1,0)</f>
        <v>0</v>
      </c>
      <c r="I2054" s="38" t="n">
        <f aca="false">IF(AND(I2027&gt;0,H2027=0),1,0)</f>
        <v>0</v>
      </c>
      <c r="J2054" s="38" t="n">
        <f aca="false">IF(AND(J2027&gt;0,I2027=0),1,0)</f>
        <v>0</v>
      </c>
      <c r="K2054" s="23"/>
      <c r="L2054" s="49"/>
    </row>
    <row r="2055" customFormat="false" ht="15" hidden="true" customHeight="false" outlineLevel="1" collapsed="false">
      <c r="A2055" s="20" t="n">
        <v>85</v>
      </c>
      <c r="B2055" s="6" t="s">
        <v>652</v>
      </c>
      <c r="C2055" s="20" t="s">
        <v>71</v>
      </c>
      <c r="D2055" s="23"/>
      <c r="E2055" s="23"/>
      <c r="F2055" s="40" t="n">
        <f aca="false">(F2054*$D$1982+IF(E2027&gt;0,1,0)*$D$1983)*F2019</f>
        <v>3</v>
      </c>
      <c r="G2055" s="40" t="n">
        <f aca="false">(G2054*$D$1982+IF(F2027&gt;0,1,0)*$D$1983)*G2019</f>
        <v>1.26</v>
      </c>
      <c r="H2055" s="40" t="n">
        <f aca="false">(H2054*$D$1982+IF(G2027&gt;0,1,0)*$D$1983)*H2019</f>
        <v>1.323</v>
      </c>
      <c r="I2055" s="40" t="n">
        <f aca="false">(I2054*$D$1982+IF(H2027&gt;0,1,0)*$D$1983)*I2019</f>
        <v>1.38915</v>
      </c>
      <c r="J2055" s="40" t="n">
        <f aca="false">(J2054*$D$1982+IF(I2027&gt;0,1,0)*$D$1983)*J2019</f>
        <v>1.4586075</v>
      </c>
      <c r="K2055" s="51" t="n">
        <f aca="false">SUM(F2055:J2055)</f>
        <v>8.4307575</v>
      </c>
      <c r="L2055" s="49" t="s">
        <v>653</v>
      </c>
    </row>
    <row r="2056" customFormat="false" ht="15" hidden="true" customHeight="false" outlineLevel="1" collapsed="false">
      <c r="A2056" s="20" t="n">
        <v>86</v>
      </c>
      <c r="B2056" s="6" t="s">
        <v>302</v>
      </c>
      <c r="C2056" s="20" t="s">
        <v>71</v>
      </c>
      <c r="D2056" s="23"/>
      <c r="E2056" s="23"/>
      <c r="F2056" s="40" t="n">
        <f aca="false">$D$1984*F2019</f>
        <v>0.72</v>
      </c>
      <c r="G2056" s="40" t="n">
        <f aca="false">$D$1984*G2019</f>
        <v>0.756</v>
      </c>
      <c r="H2056" s="40" t="n">
        <f aca="false">$D$1984*H2019</f>
        <v>0.7938</v>
      </c>
      <c r="I2056" s="40" t="n">
        <f aca="false">$D$1984*I2019</f>
        <v>0.83349</v>
      </c>
      <c r="J2056" s="40" t="n">
        <f aca="false">$D$1984*J2019</f>
        <v>0.8751645</v>
      </c>
      <c r="K2056" s="51" t="n">
        <f aca="false">SUM(F2056:J2056)</f>
        <v>3.9784545</v>
      </c>
      <c r="L2056" s="49"/>
    </row>
    <row r="2057" customFormat="false" ht="15" hidden="true" customHeight="false" outlineLevel="1" collapsed="false">
      <c r="A2057" s="20" t="n">
        <v>87</v>
      </c>
      <c r="B2057" s="6" t="s">
        <v>654</v>
      </c>
      <c r="C2057" s="20" t="s">
        <v>71</v>
      </c>
      <c r="D2057" s="23"/>
      <c r="E2057" s="23"/>
      <c r="F2057" s="40" t="n">
        <f aca="false">$D$1985*F2038*F2019</f>
        <v>0.72</v>
      </c>
      <c r="G2057" s="40" t="n">
        <f aca="false">$D$1985*G2038*G2019</f>
        <v>0.945</v>
      </c>
      <c r="H2057" s="40" t="n">
        <f aca="false">$D$1985*H2038*H2019</f>
        <v>1.1907</v>
      </c>
      <c r="I2057" s="40" t="n">
        <f aca="false">$D$1985*I2038*I2019</f>
        <v>1.4586075</v>
      </c>
      <c r="J2057" s="40" t="n">
        <f aca="false">$D$1985*J2038*J2019</f>
        <v>1.750329</v>
      </c>
      <c r="K2057" s="51" t="n">
        <f aca="false">SUM(F2057:J2057)</f>
        <v>6.0646365</v>
      </c>
      <c r="L2057" s="49" t="s">
        <v>655</v>
      </c>
    </row>
    <row r="2058" customFormat="false" ht="15" hidden="true" customHeight="false" outlineLevel="1" collapsed="false">
      <c r="A2058" s="20" t="n">
        <v>88</v>
      </c>
      <c r="B2058" s="6" t="s">
        <v>656</v>
      </c>
      <c r="C2058" s="20" t="s">
        <v>71</v>
      </c>
      <c r="D2058" s="23"/>
      <c r="E2058" s="23"/>
      <c r="F2058" s="40" t="n">
        <f aca="false">($D$1986+$D$1987*F2028)*F2019</f>
        <v>1.68</v>
      </c>
      <c r="G2058" s="40" t="n">
        <f aca="false">($D$1986+$D$1987*G2028)*G2019</f>
        <v>1.764</v>
      </c>
      <c r="H2058" s="40" t="n">
        <f aca="false">($D$1986+$D$1987*H2028)*H2019</f>
        <v>2.9106</v>
      </c>
      <c r="I2058" s="40" t="n">
        <f aca="false">($D$1986+$D$1987*I2028)*I2019</f>
        <v>2.50047</v>
      </c>
      <c r="J2058" s="40" t="n">
        <f aca="false">($D$1986+$D$1987*J2028)*J2019</f>
        <v>3.7923795</v>
      </c>
      <c r="K2058" s="51" t="n">
        <f aca="false">SUM(F2058:J2058)</f>
        <v>12.6474495</v>
      </c>
      <c r="L2058" s="49" t="s">
        <v>657</v>
      </c>
    </row>
    <row r="2059" customFormat="false" ht="15" hidden="true" customHeight="false" outlineLevel="1" collapsed="false">
      <c r="A2059" s="20" t="n">
        <v>89</v>
      </c>
      <c r="B2059" s="6" t="s">
        <v>658</v>
      </c>
      <c r="C2059" s="20" t="s">
        <v>71</v>
      </c>
      <c r="D2059" s="23"/>
      <c r="E2059" s="23"/>
      <c r="F2059" s="40" t="n">
        <f aca="false">($D$1988+$D$1989*F2038)*F2019</f>
        <v>1.92</v>
      </c>
      <c r="G2059" s="40" t="n">
        <f aca="false">($D$1988+$D$1989*G2038)*G2019</f>
        <v>2.142</v>
      </c>
      <c r="H2059" s="40" t="n">
        <f aca="false">($D$1988+$D$1989*H2038)*H2019</f>
        <v>2.3814</v>
      </c>
      <c r="I2059" s="40" t="n">
        <f aca="false">($D$1988+$D$1989*I2038)*I2019</f>
        <v>2.639385</v>
      </c>
      <c r="J2059" s="40" t="n">
        <f aca="false">($D$1988+$D$1989*J2038)*J2019</f>
        <v>2.917215</v>
      </c>
      <c r="K2059" s="51" t="n">
        <f aca="false">SUM(F2059:J2059)</f>
        <v>12</v>
      </c>
      <c r="L2059" s="49" t="s">
        <v>659</v>
      </c>
    </row>
    <row r="2060" customFormat="false" ht="15" hidden="true" customHeight="false" outlineLevel="1" collapsed="false">
      <c r="A2060" s="20" t="n">
        <v>90</v>
      </c>
      <c r="B2060" s="6" t="s">
        <v>660</v>
      </c>
      <c r="C2060" s="20" t="s">
        <v>71</v>
      </c>
      <c r="D2060" s="23"/>
      <c r="E2060" s="23"/>
      <c r="F2060" s="40" t="n">
        <f aca="false">$D$1990*F2039*F2019</f>
        <v>0.6</v>
      </c>
      <c r="G2060" s="40" t="n">
        <f aca="false">$D$1990*G2039*G2019</f>
        <v>0.315</v>
      </c>
      <c r="H2060" s="40" t="n">
        <f aca="false">$D$1990*H2039*H2019</f>
        <v>0.33075</v>
      </c>
      <c r="I2060" s="40" t="n">
        <f aca="false">$D$1990*I2039*I2019</f>
        <v>0.3472875</v>
      </c>
      <c r="J2060" s="40" t="n">
        <f aca="false">$D$1990*J2039*J2019</f>
        <v>0.364651875</v>
      </c>
      <c r="K2060" s="51" t="n">
        <f aca="false">SUM(F2060:J2060)</f>
        <v>1.957689375</v>
      </c>
      <c r="L2060" s="49" t="s">
        <v>661</v>
      </c>
    </row>
    <row r="2061" customFormat="false" ht="15" hidden="true" customHeight="false" outlineLevel="1" collapsed="false">
      <c r="A2061" s="20" t="n">
        <v>91</v>
      </c>
      <c r="B2061" s="6" t="s">
        <v>570</v>
      </c>
      <c r="C2061" s="20" t="s">
        <v>71</v>
      </c>
      <c r="D2061" s="23"/>
      <c r="E2061" s="23"/>
      <c r="F2061" s="40" t="n">
        <f aca="false">IF(F$2017=$F$2017,$D$1991,0)</f>
        <v>0.36</v>
      </c>
      <c r="G2061" s="40" t="n">
        <f aca="false">IF(G$2017=$F$2017,$D$1991,0)</f>
        <v>0</v>
      </c>
      <c r="H2061" s="40" t="n">
        <f aca="false">IF(H$2017=$F$2017,$D$1991,0)</f>
        <v>0</v>
      </c>
      <c r="I2061" s="40" t="n">
        <f aca="false">IF(I$2017=$F$2017,$D$1991,0)</f>
        <v>0</v>
      </c>
      <c r="J2061" s="40" t="n">
        <f aca="false">IF(J$2017=$F$2017,$D$1991,0)</f>
        <v>0</v>
      </c>
      <c r="K2061" s="51" t="n">
        <f aca="false">SUM(F2061:J2061)</f>
        <v>0.36</v>
      </c>
      <c r="L2061" s="49" t="s">
        <v>662</v>
      </c>
    </row>
    <row r="2062" customFormat="false" ht="15" hidden="true" customHeight="false" outlineLevel="1" collapsed="false">
      <c r="A2062" s="20" t="n">
        <v>92</v>
      </c>
      <c r="B2062" s="6" t="s">
        <v>663</v>
      </c>
      <c r="C2062" s="20" t="s">
        <v>71</v>
      </c>
      <c r="D2062" s="23"/>
      <c r="E2062" s="23"/>
      <c r="F2062" s="40" t="n">
        <f aca="false">F2052+F2053+F2055+F2056+F2057+F2058+F2059+F2060+F2061</f>
        <v>21.56928168</v>
      </c>
      <c r="G2062" s="40" t="n">
        <f aca="false">G2052+G2053+G2055+G2056+G2057+G2058+G2059+G2060+G2061</f>
        <v>23.8876818144</v>
      </c>
      <c r="H2062" s="40" t="n">
        <f aca="false">H2052+H2053+H2055+H2056+H2057+H2058+H2059+H2060+H2061</f>
        <v>30.764675223552</v>
      </c>
      <c r="I2062" s="40" t="n">
        <f aca="false">I2052+I2053+I2055+I2056+I2057+I2058+I2059+I2060+I2061</f>
        <v>37.2711200726323</v>
      </c>
      <c r="J2062" s="40" t="n">
        <f aca="false">J2052+J2053+J2055+J2056+J2057+J2058+J2059+J2060+J2061</f>
        <v>45.2207645289949</v>
      </c>
      <c r="K2062" s="51" t="n">
        <f aca="false">SUM(F2062:J2062)</f>
        <v>158.713523319579</v>
      </c>
      <c r="L2062" s="49"/>
    </row>
    <row r="2063" customFormat="false" ht="15" hidden="true" customHeight="false" outlineLevel="1" collapsed="false">
      <c r="A2063" s="20" t="n">
        <v>93</v>
      </c>
      <c r="B2063" s="6" t="s">
        <v>329</v>
      </c>
      <c r="C2063" s="20" t="s">
        <v>71</v>
      </c>
      <c r="D2063" s="23"/>
      <c r="E2063" s="23"/>
      <c r="F2063" s="40" t="n">
        <f aca="false">F2062*$D$1993</f>
        <v>2.156928168</v>
      </c>
      <c r="G2063" s="40" t="n">
        <f aca="false">G2062*$D$1993</f>
        <v>2.38876818144</v>
      </c>
      <c r="H2063" s="40" t="n">
        <f aca="false">H2062*$D$1993</f>
        <v>3.0764675223552</v>
      </c>
      <c r="I2063" s="40" t="n">
        <f aca="false">I2062*$D$1993</f>
        <v>3.72711200726323</v>
      </c>
      <c r="J2063" s="40" t="n">
        <f aca="false">J2062*$D$1993</f>
        <v>4.52207645289949</v>
      </c>
      <c r="K2063" s="51" t="n">
        <f aca="false">SUM(F2063:J2063)</f>
        <v>15.8713523319579</v>
      </c>
      <c r="L2063" s="49"/>
    </row>
    <row r="2064" customFormat="false" ht="15" hidden="true" customHeight="false" outlineLevel="1" collapsed="false">
      <c r="A2064" s="20" t="n">
        <v>94</v>
      </c>
      <c r="B2064" s="6" t="s">
        <v>664</v>
      </c>
      <c r="C2064" s="20" t="s">
        <v>71</v>
      </c>
      <c r="D2064" s="23"/>
      <c r="E2064" s="23"/>
      <c r="F2064" s="40" t="n">
        <f aca="false">F2062+F2063</f>
        <v>23.726209848</v>
      </c>
      <c r="G2064" s="40" t="n">
        <f aca="false">G2062+G2063</f>
        <v>26.27644999584</v>
      </c>
      <c r="H2064" s="40" t="n">
        <f aca="false">H2062+H2063</f>
        <v>33.8411427459072</v>
      </c>
      <c r="I2064" s="40" t="n">
        <f aca="false">I2062+I2063</f>
        <v>40.9982320798956</v>
      </c>
      <c r="J2064" s="40" t="n">
        <f aca="false">J2062+J2063</f>
        <v>49.7428409818944</v>
      </c>
      <c r="K2064" s="51" t="n">
        <f aca="false">SUM(F2064:J2064)</f>
        <v>174.584875651537</v>
      </c>
      <c r="L2064" s="49"/>
    </row>
    <row r="2065" customFormat="false" ht="15" hidden="true" customHeight="false" outlineLevel="1" collapsed="false">
      <c r="A2065" s="19" t="s">
        <v>665</v>
      </c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</row>
    <row r="2066" customFormat="false" ht="15" hidden="true" customHeight="false" outlineLevel="1" collapsed="false">
      <c r="A2066" s="20" t="n">
        <v>95</v>
      </c>
      <c r="B2066" s="6" t="s">
        <v>666</v>
      </c>
      <c r="C2066" s="20" t="s">
        <v>71</v>
      </c>
      <c r="D2066" s="23"/>
      <c r="E2066" s="23"/>
      <c r="F2066" s="40" t="n">
        <f aca="false">F2035-F2064</f>
        <v>-15.726209848</v>
      </c>
      <c r="G2066" s="40" t="n">
        <f aca="false">G2035-G2064</f>
        <v>-8.42644999584</v>
      </c>
      <c r="H2066" s="40" t="n">
        <f aca="false">H2035-H2064</f>
        <v>0.2157713165928</v>
      </c>
      <c r="I2066" s="40" t="n">
        <f aca="false">I2035-I2064</f>
        <v>2.36641686364138</v>
      </c>
      <c r="J2066" s="40" t="n">
        <f aca="false">J2035-J2064</f>
        <v>18.0341112502389</v>
      </c>
      <c r="K2066" s="51" t="n">
        <f aca="false">SUM(F2066:J2066)</f>
        <v>-3.53636041336688</v>
      </c>
      <c r="L2066" s="49" t="s">
        <v>667</v>
      </c>
    </row>
    <row r="2067" customFormat="false" ht="15" hidden="true" customHeight="false" outlineLevel="1" collapsed="false">
      <c r="A2067" s="20" t="n">
        <v>96</v>
      </c>
      <c r="B2067" s="6" t="s">
        <v>668</v>
      </c>
      <c r="C2067" s="20" t="s">
        <v>68</v>
      </c>
      <c r="D2067" s="23"/>
      <c r="E2067" s="23"/>
      <c r="F2067" s="44" t="n">
        <f aca="false">IF(F2035&gt;0,F2066/F2035,0)</f>
        <v>-1.965776231</v>
      </c>
      <c r="G2067" s="44" t="n">
        <f aca="false">IF(G2035&gt;0,G2066/G2035,0)</f>
        <v>-0.472070027778151</v>
      </c>
      <c r="H2067" s="44" t="n">
        <f aca="false">IF(H2035&gt;0,H2066/H2035,0)</f>
        <v>0.00633560974423063</v>
      </c>
      <c r="I2067" s="44" t="n">
        <f aca="false">IF(I2035&gt;0,I2066/I2035,0)</f>
        <v>0.0545701838085345</v>
      </c>
      <c r="J2067" s="44" t="n">
        <f aca="false">IF(J2035&gt;0,J2066/J2035,0)</f>
        <v>0.266080292139322</v>
      </c>
      <c r="K2067" s="23"/>
      <c r="L2067" s="49"/>
    </row>
    <row r="2068" customFormat="false" ht="15" hidden="true" customHeight="false" outlineLevel="1" collapsed="false">
      <c r="A2068" s="20" t="n">
        <v>97</v>
      </c>
      <c r="B2068" s="6" t="s">
        <v>669</v>
      </c>
      <c r="C2068" s="20" t="s">
        <v>71</v>
      </c>
      <c r="D2068" s="23"/>
      <c r="E2068" s="23"/>
      <c r="F2068" s="40" t="n">
        <f aca="false">E2072</f>
        <v>0</v>
      </c>
      <c r="G2068" s="40" t="n">
        <f aca="false">F2072</f>
        <v>15.726209848</v>
      </c>
      <c r="H2068" s="40" t="n">
        <f aca="false">G2072</f>
        <v>24.15265984384</v>
      </c>
      <c r="I2068" s="40" t="n">
        <f aca="false">H2072</f>
        <v>24.0447741855436</v>
      </c>
      <c r="J2068" s="40" t="n">
        <f aca="false">I2072</f>
        <v>22.8615657537229</v>
      </c>
      <c r="K2068" s="23"/>
      <c r="L2068" s="49"/>
    </row>
    <row r="2069" customFormat="false" ht="15" hidden="true" customHeight="false" outlineLevel="1" collapsed="false">
      <c r="A2069" s="20" t="n">
        <v>98</v>
      </c>
      <c r="B2069" s="6" t="s">
        <v>670</v>
      </c>
      <c r="C2069" s="20" t="s">
        <v>71</v>
      </c>
      <c r="D2069" s="23"/>
      <c r="E2069" s="23"/>
      <c r="F2069" s="40" t="n">
        <f aca="false">MIN(F2068,MAX(0,F2066)*$D$1995)</f>
        <v>0</v>
      </c>
      <c r="G2069" s="40" t="n">
        <f aca="false">MIN(G2068,MAX(0,G2066)*$D$1995)</f>
        <v>0</v>
      </c>
      <c r="H2069" s="40" t="n">
        <f aca="false">MIN(H2068,MAX(0,H2066)*$D$1995)</f>
        <v>0.1078856582964</v>
      </c>
      <c r="I2069" s="40" t="n">
        <f aca="false">MIN(I2068,MAX(0,I2066)*$D$1995)</f>
        <v>1.18320843182069</v>
      </c>
      <c r="J2069" s="40" t="n">
        <f aca="false">MIN(J2068,MAX(0,J2066)*$D$1995)</f>
        <v>9.01705562511947</v>
      </c>
      <c r="K2069" s="23"/>
      <c r="L2069" s="49" t="s">
        <v>671</v>
      </c>
    </row>
    <row r="2070" customFormat="false" ht="15" hidden="true" customHeight="false" outlineLevel="1" collapsed="false">
      <c r="A2070" s="20" t="n">
        <v>99</v>
      </c>
      <c r="B2070" s="6" t="s">
        <v>672</v>
      </c>
      <c r="C2070" s="20" t="s">
        <v>71</v>
      </c>
      <c r="D2070" s="23"/>
      <c r="E2070" s="23"/>
      <c r="F2070" s="40" t="n">
        <f aca="false">MAX(0,F2066)-F2069</f>
        <v>0</v>
      </c>
      <c r="G2070" s="40" t="n">
        <f aca="false">MAX(0,G2066)-G2069</f>
        <v>0</v>
      </c>
      <c r="H2070" s="40" t="n">
        <f aca="false">MAX(0,H2066)-H2069</f>
        <v>0.1078856582964</v>
      </c>
      <c r="I2070" s="40" t="n">
        <f aca="false">MAX(0,I2066)-I2069</f>
        <v>1.18320843182069</v>
      </c>
      <c r="J2070" s="40" t="n">
        <f aca="false">MAX(0,J2066)-J2069</f>
        <v>9.01705562511947</v>
      </c>
      <c r="K2070" s="23"/>
      <c r="L2070" s="49"/>
    </row>
    <row r="2071" customFormat="false" ht="15" hidden="true" customHeight="false" outlineLevel="1" collapsed="false">
      <c r="A2071" s="20" t="n">
        <v>100</v>
      </c>
      <c r="B2071" s="6" t="s">
        <v>572</v>
      </c>
      <c r="C2071" s="20" t="s">
        <v>71</v>
      </c>
      <c r="D2071" s="23"/>
      <c r="E2071" s="23"/>
      <c r="F2071" s="40" t="n">
        <f aca="false">F2070*$D$1994</f>
        <v>0</v>
      </c>
      <c r="G2071" s="40" t="n">
        <f aca="false">G2070*$D$1994</f>
        <v>0</v>
      </c>
      <c r="H2071" s="40" t="n">
        <f aca="false">H2070*$D$1994</f>
        <v>0.00539428291482</v>
      </c>
      <c r="I2071" s="40" t="n">
        <f aca="false">I2070*$D$1994</f>
        <v>0.0591604215910346</v>
      </c>
      <c r="J2071" s="40" t="n">
        <f aca="false">J2070*$D$1994</f>
        <v>0.450852781255973</v>
      </c>
      <c r="K2071" s="51" t="n">
        <f aca="false">SUM(F2071:J2071)</f>
        <v>0.515407485761828</v>
      </c>
      <c r="L2071" s="49"/>
    </row>
    <row r="2072" customFormat="false" ht="15" hidden="true" customHeight="false" outlineLevel="1" collapsed="false">
      <c r="A2072" s="20" t="n">
        <v>101</v>
      </c>
      <c r="B2072" s="6" t="s">
        <v>673</v>
      </c>
      <c r="C2072" s="20" t="s">
        <v>71</v>
      </c>
      <c r="D2072" s="23"/>
      <c r="E2072" s="40" t="n">
        <f aca="false">0</f>
        <v>0</v>
      </c>
      <c r="F2072" s="40" t="n">
        <f aca="false">F2068-F2069+MAX(0,-F2066)</f>
        <v>15.726209848</v>
      </c>
      <c r="G2072" s="40" t="n">
        <f aca="false">G2068-G2069+MAX(0,-G2066)</f>
        <v>24.15265984384</v>
      </c>
      <c r="H2072" s="40" t="n">
        <f aca="false">H2068-H2069+MAX(0,-H2066)</f>
        <v>24.0447741855436</v>
      </c>
      <c r="I2072" s="40" t="n">
        <f aca="false">I2068-I2069+MAX(0,-I2066)</f>
        <v>22.8615657537229</v>
      </c>
      <c r="J2072" s="40" t="n">
        <f aca="false">J2068-J2069+MAX(0,-J2066)</f>
        <v>13.8445101286034</v>
      </c>
      <c r="K2072" s="23"/>
      <c r="L2072" s="49"/>
    </row>
    <row r="2073" customFormat="false" ht="15" hidden="true" customHeight="false" outlineLevel="1" collapsed="false">
      <c r="A2073" s="20" t="n">
        <v>102</v>
      </c>
      <c r="B2073" s="6" t="s">
        <v>674</v>
      </c>
      <c r="C2073" s="20" t="s">
        <v>71</v>
      </c>
      <c r="D2073" s="23"/>
      <c r="E2073" s="23"/>
      <c r="F2073" s="40" t="n">
        <f aca="false">F2066-F2071</f>
        <v>-15.726209848</v>
      </c>
      <c r="G2073" s="40" t="n">
        <f aca="false">G2066-G2071</f>
        <v>-8.42644999584</v>
      </c>
      <c r="H2073" s="40" t="n">
        <f aca="false">H2066-H2071</f>
        <v>0.21037703367798</v>
      </c>
      <c r="I2073" s="40" t="n">
        <f aca="false">I2066-I2071</f>
        <v>2.30725644205035</v>
      </c>
      <c r="J2073" s="40" t="n">
        <f aca="false">J2066-J2071</f>
        <v>17.583258468983</v>
      </c>
      <c r="K2073" s="51" t="n">
        <f aca="false">SUM(F2073:J2073)</f>
        <v>-4.05176789912871</v>
      </c>
      <c r="L2073" s="49"/>
    </row>
    <row r="2074" customFormat="false" ht="15" hidden="true" customHeight="false" outlineLevel="1" collapsed="false">
      <c r="A2074" s="19" t="s">
        <v>675</v>
      </c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</row>
    <row r="2075" customFormat="false" ht="15" hidden="true" customHeight="false" outlineLevel="1" collapsed="false">
      <c r="A2075" s="20" t="n">
        <v>103</v>
      </c>
      <c r="B2075" s="6" t="s">
        <v>676</v>
      </c>
      <c r="C2075" s="20" t="s">
        <v>71</v>
      </c>
      <c r="D2075" s="23"/>
      <c r="E2075" s="40" t="n">
        <f aca="false">0</f>
        <v>0</v>
      </c>
      <c r="F2075" s="40" t="n">
        <f aca="false">F2035*$D$1996/365</f>
        <v>1.97260273972603</v>
      </c>
      <c r="G2075" s="40" t="n">
        <f aca="false">G2035*$D$1996/365</f>
        <v>4.4013698630137</v>
      </c>
      <c r="H2075" s="40" t="n">
        <f aca="false">H2035*$D$1996/365</f>
        <v>8.39759524828767</v>
      </c>
      <c r="I2075" s="40" t="n">
        <f aca="false">I2035*$D$1996/365</f>
        <v>10.6926531641598</v>
      </c>
      <c r="J2075" s="40" t="n">
        <f aca="false">J2035*$D$1996/365</f>
        <v>16.7121252079233</v>
      </c>
      <c r="K2075" s="23"/>
      <c r="L2075" s="49" t="s">
        <v>677</v>
      </c>
    </row>
    <row r="2076" customFormat="false" ht="15" hidden="true" customHeight="false" outlineLevel="1" collapsed="false">
      <c r="A2076" s="20" t="n">
        <v>104</v>
      </c>
      <c r="B2076" s="6" t="s">
        <v>678</v>
      </c>
      <c r="C2076" s="20" t="s">
        <v>71</v>
      </c>
      <c r="D2076" s="23"/>
      <c r="E2076" s="23"/>
      <c r="F2076" s="40" t="n">
        <f aca="false">F2075-E2075</f>
        <v>1.97260273972603</v>
      </c>
      <c r="G2076" s="40" t="n">
        <f aca="false">G2075-F2075</f>
        <v>2.42876712328767</v>
      </c>
      <c r="H2076" s="40" t="n">
        <f aca="false">H2075-G2075</f>
        <v>3.99622538527397</v>
      </c>
      <c r="I2076" s="40" t="n">
        <f aca="false">I2075-H2075</f>
        <v>2.29505791587212</v>
      </c>
      <c r="J2076" s="40" t="n">
        <f aca="false">J2075-I2075</f>
        <v>6.0194720437635</v>
      </c>
      <c r="K2076" s="51" t="n">
        <f aca="false">SUM(F2076:J2076)</f>
        <v>16.7121252079233</v>
      </c>
      <c r="L2076" s="49"/>
    </row>
    <row r="2077" customFormat="false" ht="15" hidden="true" customHeight="false" outlineLevel="1" collapsed="false">
      <c r="A2077" s="20" t="n">
        <v>105</v>
      </c>
      <c r="B2077" s="6" t="s">
        <v>679</v>
      </c>
      <c r="C2077" s="20" t="s">
        <v>71</v>
      </c>
      <c r="D2077" s="23"/>
      <c r="E2077" s="23"/>
      <c r="F2077" s="40" t="n">
        <f aca="false">F2073-F2076</f>
        <v>-17.698812587726</v>
      </c>
      <c r="G2077" s="40" t="n">
        <f aca="false">G2073-G2076</f>
        <v>-10.8552171191277</v>
      </c>
      <c r="H2077" s="40" t="n">
        <f aca="false">H2073-H2076</f>
        <v>-3.78584835159599</v>
      </c>
      <c r="I2077" s="40" t="n">
        <f aca="false">I2073-I2076</f>
        <v>0.0121985261782278</v>
      </c>
      <c r="J2077" s="40" t="n">
        <f aca="false">J2073-J2076</f>
        <v>11.5637864252195</v>
      </c>
      <c r="K2077" s="51" t="n">
        <f aca="false">SUM(F2077:J2077)</f>
        <v>-20.763893107052</v>
      </c>
      <c r="L2077" s="49" t="s">
        <v>680</v>
      </c>
    </row>
    <row r="2078" customFormat="false" ht="15" hidden="true" customHeight="false" outlineLevel="1" collapsed="false">
      <c r="A2078" s="20" t="n">
        <v>106</v>
      </c>
      <c r="B2078" s="6" t="s">
        <v>93</v>
      </c>
      <c r="C2078" s="20" t="s">
        <v>71</v>
      </c>
      <c r="D2078" s="23"/>
      <c r="E2078" s="40" t="n">
        <f aca="false">0</f>
        <v>0</v>
      </c>
      <c r="F2078" s="40" t="n">
        <f aca="false">E2078+F2077</f>
        <v>-17.698812587726</v>
      </c>
      <c r="G2078" s="40" t="n">
        <f aca="false">F2078+G2077</f>
        <v>-28.5540297068537</v>
      </c>
      <c r="H2078" s="40" t="n">
        <f aca="false">G2078+H2077</f>
        <v>-32.3398780584497</v>
      </c>
      <c r="I2078" s="40" t="n">
        <f aca="false">H2078+I2077</f>
        <v>-32.3276795322715</v>
      </c>
      <c r="J2078" s="40" t="n">
        <f aca="false">I2078+J2077</f>
        <v>-20.763893107052</v>
      </c>
      <c r="K2078" s="23"/>
      <c r="L2078" s="49" t="s">
        <v>681</v>
      </c>
    </row>
    <row r="2079" customFormat="false" ht="15" hidden="true" customHeight="false" outlineLevel="1" collapsed="false">
      <c r="A2079" s="20" t="n">
        <v>107</v>
      </c>
      <c r="B2079" s="6" t="s">
        <v>682</v>
      </c>
      <c r="C2079" s="20"/>
      <c r="D2079" s="23"/>
      <c r="E2079" s="23"/>
      <c r="F2079" s="53" t="n">
        <f aca="false">1/(1+$D$1997)^(F$2017-$E$2017)</f>
        <v>0.769230769230769</v>
      </c>
      <c r="G2079" s="53" t="n">
        <f aca="false">1/(1+$D$1997)^(G$2017-$E$2017)</f>
        <v>0.591715976331361</v>
      </c>
      <c r="H2079" s="53" t="n">
        <f aca="false">1/(1+$D$1997)^(H$2017-$E$2017)</f>
        <v>0.455166135639508</v>
      </c>
      <c r="I2079" s="53" t="n">
        <f aca="false">1/(1+$D$1997)^(I$2017-$E$2017)</f>
        <v>0.350127796645776</v>
      </c>
      <c r="J2079" s="53" t="n">
        <f aca="false">1/(1+$D$1997)^(J$2017-$E$2017)</f>
        <v>0.269329074342904</v>
      </c>
      <c r="K2079" s="23"/>
      <c r="L2079" s="49" t="s">
        <v>683</v>
      </c>
    </row>
    <row r="2080" customFormat="false" ht="15" hidden="true" customHeight="false" outlineLevel="1" collapsed="false">
      <c r="A2080" s="20" t="n">
        <v>108</v>
      </c>
      <c r="B2080" s="6" t="s">
        <v>684</v>
      </c>
      <c r="C2080" s="20" t="s">
        <v>71</v>
      </c>
      <c r="D2080" s="23"/>
      <c r="E2080" s="23"/>
      <c r="F2080" s="40" t="n">
        <f aca="false">F2077*F2079</f>
        <v>-13.6144712213277</v>
      </c>
      <c r="G2080" s="40" t="n">
        <f aca="false">G2077*G2079</f>
        <v>-6.42320539593353</v>
      </c>
      <c r="H2080" s="40" t="n">
        <f aca="false">H2077*H2079</f>
        <v>-1.72318996431315</v>
      </c>
      <c r="I2080" s="40" t="n">
        <f aca="false">I2077*I2079</f>
        <v>0.00427104309310872</v>
      </c>
      <c r="J2080" s="40" t="n">
        <f aca="false">J2077*J2079</f>
        <v>3.1144638938034</v>
      </c>
      <c r="K2080" s="51" t="n">
        <f aca="false">SUM(F2080:J2080)</f>
        <v>-18.6421316446779</v>
      </c>
      <c r="L2080" s="49"/>
    </row>
    <row r="2081" customFormat="false" ht="15" hidden="true" customHeight="false" outlineLevel="1" collapsed="false">
      <c r="A2081" s="20" t="n">
        <v>109</v>
      </c>
      <c r="B2081" s="6" t="s">
        <v>685</v>
      </c>
      <c r="C2081" s="20" t="s">
        <v>71</v>
      </c>
      <c r="D2081" s="23"/>
      <c r="E2081" s="23"/>
      <c r="F2081" s="40" t="n">
        <f aca="false">IF(F$2017=$J$2017,MAX(0,F2077)*(1+$D$1998)/($D$1997-$D$1998),0)</f>
        <v>0</v>
      </c>
      <c r="G2081" s="40" t="n">
        <f aca="false">IF(G$2017=$J$2017,MAX(0,G2077)*(1+$D$1998)/($D$1997-$D$1998),0)</f>
        <v>0</v>
      </c>
      <c r="H2081" s="40" t="n">
        <f aca="false">IF(H$2017=$J$2017,MAX(0,H2077)*(1+$D$1998)/($D$1997-$D$1998),0)</f>
        <v>0</v>
      </c>
      <c r="I2081" s="40" t="n">
        <f aca="false">IF(I$2017=$J$2017,MAX(0,I2077)*(1+$D$1998)/($D$1997-$D$1998),0)</f>
        <v>0</v>
      </c>
      <c r="J2081" s="40" t="n">
        <f aca="false">IF(J$2017=$J$2017,MAX(0,J2077)*(1+$D$1998)/($D$1997-$D$1998),0)</f>
        <v>46.2551457008779</v>
      </c>
      <c r="K2081" s="23"/>
      <c r="L2081" s="49" t="s">
        <v>686</v>
      </c>
    </row>
    <row r="2082" customFormat="false" ht="15" hidden="true" customHeight="false" outlineLevel="1" collapsed="false">
      <c r="A2082" s="20" t="n">
        <v>110</v>
      </c>
      <c r="B2082" s="6" t="s">
        <v>687</v>
      </c>
      <c r="C2082" s="20" t="s">
        <v>71</v>
      </c>
      <c r="D2082" s="23"/>
      <c r="E2082" s="23"/>
      <c r="F2082" s="40" t="n">
        <f aca="false">F2081*F2079</f>
        <v>0</v>
      </c>
      <c r="G2082" s="40" t="n">
        <f aca="false">G2081*G2079</f>
        <v>0</v>
      </c>
      <c r="H2082" s="40" t="n">
        <f aca="false">H2081*H2079</f>
        <v>0</v>
      </c>
      <c r="I2082" s="40" t="n">
        <f aca="false">I2081*I2079</f>
        <v>0</v>
      </c>
      <c r="J2082" s="40" t="n">
        <f aca="false">J2081*J2079</f>
        <v>12.4578555752136</v>
      </c>
      <c r="K2082" s="51" t="n">
        <f aca="false">SUM(F2082:J2082)</f>
        <v>12.4578555752136</v>
      </c>
      <c r="L2082" s="49"/>
    </row>
    <row r="2083" customFormat="false" ht="15" hidden="true" customHeight="false" outlineLevel="1" collapsed="false">
      <c r="A2083" s="20" t="n">
        <v>111</v>
      </c>
      <c r="B2083" s="6" t="s">
        <v>688</v>
      </c>
      <c r="C2083" s="20" t="s">
        <v>71</v>
      </c>
      <c r="D2083" s="23"/>
      <c r="E2083" s="23"/>
      <c r="F2083" s="40" t="n">
        <f aca="false">F2077+F2081</f>
        <v>-17.698812587726</v>
      </c>
      <c r="G2083" s="40" t="n">
        <f aca="false">G2077+G2081</f>
        <v>-10.8552171191277</v>
      </c>
      <c r="H2083" s="40" t="n">
        <f aca="false">H2077+H2081</f>
        <v>-3.78584835159599</v>
      </c>
      <c r="I2083" s="40" t="n">
        <f aca="false">I2077+I2081</f>
        <v>0.0121985261782278</v>
      </c>
      <c r="J2083" s="40" t="n">
        <f aca="false">J2077+J2081</f>
        <v>57.8189321260973</v>
      </c>
      <c r="K2083" s="23"/>
      <c r="L2083" s="49" t="s">
        <v>689</v>
      </c>
    </row>
    <row r="2084" customFormat="false" ht="15" hidden="true" customHeight="false" outlineLevel="1" collapsed="false">
      <c r="A2084" s="20" t="n">
        <v>112</v>
      </c>
      <c r="B2084" s="6" t="s">
        <v>690</v>
      </c>
      <c r="C2084" s="20"/>
      <c r="D2084" s="23"/>
      <c r="E2084" s="23"/>
      <c r="F2084" s="52" t="str">
        <f aca="false">IF(AND(F2066&gt;0,COUNTIF($F$2066:F$2066,"&gt;0")=1),F$2017,"")</f>
        <v/>
      </c>
      <c r="G2084" s="52" t="str">
        <f aca="false">IF(AND(G2066&gt;0,COUNTIF($F$2066:G$2066,"&gt;0")=1),G$2017,"")</f>
        <v/>
      </c>
      <c r="H2084" s="52" t="n">
        <f aca="false">IF(AND(H2066&gt;0,COUNTIF($F$2066:H$2066,"&gt;0")=1),H$2017,"")</f>
        <v>2029</v>
      </c>
      <c r="I2084" s="52" t="str">
        <f aca="false">IF(AND(I2066&gt;0,COUNTIF($F$2066:I$2066,"&gt;0")=1),I$2017,"")</f>
        <v/>
      </c>
      <c r="J2084" s="52" t="str">
        <f aca="false">IF(AND(J2066&gt;0,COUNTIF($F$2066:J$2066,"&gt;0")=1),J$2017,"")</f>
        <v/>
      </c>
      <c r="K2084" s="23"/>
      <c r="L2084" s="49" t="s">
        <v>691</v>
      </c>
    </row>
    <row r="2085" customFormat="false" ht="15" hidden="true" customHeight="false" outlineLevel="1" collapsed="false">
      <c r="A2085" s="20" t="n">
        <v>113</v>
      </c>
      <c r="B2085" s="6" t="s">
        <v>692</v>
      </c>
      <c r="C2085" s="20"/>
      <c r="D2085" s="23"/>
      <c r="E2085" s="23"/>
      <c r="F2085" s="52" t="str">
        <f aca="false">IF(AND(F2078&gt;0,COUNTIF($F$2078:F$2078,"&gt;0")=1),F$2017,"")</f>
        <v/>
      </c>
      <c r="G2085" s="52" t="str">
        <f aca="false">IF(AND(G2078&gt;0,COUNTIF($F$2078:G$2078,"&gt;0")=1),G$2017,"")</f>
        <v/>
      </c>
      <c r="H2085" s="52" t="str">
        <f aca="false">IF(AND(H2078&gt;0,COUNTIF($F$2078:H$2078,"&gt;0")=1),H$2017,"")</f>
        <v/>
      </c>
      <c r="I2085" s="52" t="str">
        <f aca="false">IF(AND(I2078&gt;0,COUNTIF($F$2078:I$2078,"&gt;0")=1),I$2017,"")</f>
        <v/>
      </c>
      <c r="J2085" s="52" t="str">
        <f aca="false">IF(AND(J2078&gt;0,COUNTIF($F$2078:J$2078,"&gt;0")=1),J$2017,"")</f>
        <v/>
      </c>
      <c r="K2085" s="23"/>
      <c r="L2085" s="49" t="s">
        <v>691</v>
      </c>
    </row>
    <row r="2086" customFormat="false" ht="15" hidden="true" customHeight="false" outlineLevel="1" collapsed="false">
      <c r="A2086" s="19" t="s">
        <v>693</v>
      </c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</row>
    <row r="2087" customFormat="false" ht="15" hidden="true" customHeight="false" outlineLevel="1" collapsed="false">
      <c r="A2087" s="20" t="n">
        <v>114</v>
      </c>
      <c r="B2087" s="6" t="s">
        <v>70</v>
      </c>
      <c r="C2087" s="20" t="s">
        <v>71</v>
      </c>
      <c r="D2087" s="51" t="n">
        <f aca="false">SUM(F2035:J2035)</f>
        <v>171.04851523817</v>
      </c>
      <c r="E2087" s="23"/>
      <c r="F2087" s="23"/>
      <c r="G2087" s="23"/>
      <c r="H2087" s="23"/>
      <c r="I2087" s="23"/>
      <c r="J2087" s="23"/>
      <c r="K2087" s="23"/>
      <c r="L2087" s="49"/>
    </row>
    <row r="2088" customFormat="false" ht="15" hidden="true" customHeight="false" outlineLevel="1" collapsed="false">
      <c r="A2088" s="20" t="n">
        <v>115</v>
      </c>
      <c r="B2088" s="6" t="s">
        <v>694</v>
      </c>
      <c r="C2088" s="20" t="s">
        <v>71</v>
      </c>
      <c r="D2088" s="51" t="n">
        <f aca="false">J2035</f>
        <v>67.7769522321333</v>
      </c>
      <c r="E2088" s="23"/>
      <c r="F2088" s="23"/>
      <c r="G2088" s="23"/>
      <c r="H2088" s="23"/>
      <c r="I2088" s="23"/>
      <c r="J2088" s="23"/>
      <c r="K2088" s="23"/>
      <c r="L2088" s="49"/>
    </row>
    <row r="2089" customFormat="false" ht="15" hidden="true" customHeight="false" outlineLevel="1" collapsed="false">
      <c r="A2089" s="20" t="n">
        <v>116</v>
      </c>
      <c r="B2089" s="6" t="s">
        <v>695</v>
      </c>
      <c r="C2089" s="20" t="s">
        <v>71</v>
      </c>
      <c r="D2089" s="51" t="n">
        <f aca="false">J2036</f>
        <v>74.6329671070812</v>
      </c>
      <c r="E2089" s="23"/>
      <c r="F2089" s="23"/>
      <c r="G2089" s="23"/>
      <c r="H2089" s="23"/>
      <c r="I2089" s="23"/>
      <c r="J2089" s="23"/>
      <c r="K2089" s="23"/>
      <c r="L2089" s="49"/>
    </row>
    <row r="2090" customFormat="false" ht="15" hidden="true" customHeight="false" outlineLevel="1" collapsed="false">
      <c r="A2090" s="20" t="n">
        <v>117</v>
      </c>
      <c r="B2090" s="6" t="s">
        <v>696</v>
      </c>
      <c r="C2090" s="20" t="s">
        <v>71</v>
      </c>
      <c r="D2090" s="51" t="n">
        <f aca="false">J2066</f>
        <v>18.0341112502389</v>
      </c>
      <c r="E2090" s="23"/>
      <c r="F2090" s="23"/>
      <c r="G2090" s="23"/>
      <c r="H2090" s="23"/>
      <c r="I2090" s="23"/>
      <c r="J2090" s="23"/>
      <c r="K2090" s="23"/>
      <c r="L2090" s="49"/>
    </row>
    <row r="2091" customFormat="false" ht="15" hidden="true" customHeight="false" outlineLevel="1" collapsed="false">
      <c r="A2091" s="20" t="n">
        <v>118</v>
      </c>
      <c r="B2091" s="6" t="s">
        <v>697</v>
      </c>
      <c r="C2091" s="20" t="s">
        <v>76</v>
      </c>
      <c r="D2091" s="54" t="n">
        <f aca="false">J2027</f>
        <v>11</v>
      </c>
      <c r="E2091" s="23"/>
      <c r="F2091" s="23"/>
      <c r="G2091" s="23"/>
      <c r="H2091" s="23"/>
      <c r="I2091" s="23"/>
      <c r="J2091" s="23"/>
      <c r="K2091" s="23"/>
      <c r="L2091" s="49"/>
    </row>
    <row r="2092" customFormat="false" ht="15" hidden="true" customHeight="false" outlineLevel="1" collapsed="false">
      <c r="A2092" s="20" t="n">
        <v>119</v>
      </c>
      <c r="B2092" s="6" t="s">
        <v>698</v>
      </c>
      <c r="C2092" s="20" t="s">
        <v>53</v>
      </c>
      <c r="D2092" s="51" t="n">
        <f aca="false">J2038</f>
        <v>8</v>
      </c>
      <c r="E2092" s="23"/>
      <c r="F2092" s="23"/>
      <c r="G2092" s="23"/>
      <c r="H2092" s="23"/>
      <c r="I2092" s="23"/>
      <c r="J2092" s="23"/>
      <c r="K2092" s="23"/>
      <c r="L2092" s="49"/>
    </row>
    <row r="2093" customFormat="false" ht="15" hidden="true" customHeight="false" outlineLevel="1" collapsed="false">
      <c r="A2093" s="20" t="n">
        <v>120</v>
      </c>
      <c r="B2093" s="6" t="s">
        <v>699</v>
      </c>
      <c r="C2093" s="20" t="s">
        <v>71</v>
      </c>
      <c r="D2093" s="51" t="n">
        <f aca="false">MIN(0,MIN(F2078:J2078))</f>
        <v>-32.3398780584497</v>
      </c>
      <c r="E2093" s="23"/>
      <c r="F2093" s="23"/>
      <c r="G2093" s="23"/>
      <c r="H2093" s="23"/>
      <c r="I2093" s="23"/>
      <c r="J2093" s="23"/>
      <c r="K2093" s="23"/>
      <c r="L2093" s="49"/>
    </row>
    <row r="2094" customFormat="false" ht="15" hidden="true" customHeight="false" outlineLevel="1" collapsed="false">
      <c r="A2094" s="20" t="n">
        <v>121</v>
      </c>
      <c r="B2094" s="6" t="s">
        <v>700</v>
      </c>
      <c r="C2094" s="20" t="s">
        <v>71</v>
      </c>
      <c r="D2094" s="51" t="n">
        <f aca="false">-$D$2093*(1+$D$1999)</f>
        <v>38.8078536701396</v>
      </c>
      <c r="E2094" s="23"/>
      <c r="F2094" s="23"/>
      <c r="G2094" s="23"/>
      <c r="H2094" s="23"/>
      <c r="I2094" s="23"/>
      <c r="J2094" s="23"/>
      <c r="K2094" s="23"/>
      <c r="L2094" s="49"/>
    </row>
    <row r="2095" customFormat="false" ht="15" hidden="true" customHeight="false" outlineLevel="1" collapsed="false">
      <c r="A2095" s="20" t="n">
        <v>122</v>
      </c>
      <c r="B2095" s="6" t="s">
        <v>701</v>
      </c>
      <c r="C2095" s="20" t="s">
        <v>71</v>
      </c>
      <c r="D2095" s="51" t="n">
        <f aca="false">J2078</f>
        <v>-20.763893107052</v>
      </c>
      <c r="E2095" s="23"/>
      <c r="F2095" s="23"/>
      <c r="G2095" s="23"/>
      <c r="H2095" s="23"/>
      <c r="I2095" s="23"/>
      <c r="J2095" s="23"/>
      <c r="K2095" s="23"/>
      <c r="L2095" s="49"/>
    </row>
    <row r="2096" customFormat="false" ht="15" hidden="true" customHeight="false" outlineLevel="1" collapsed="false">
      <c r="A2096" s="20" t="n">
        <v>123</v>
      </c>
      <c r="B2096" s="6" t="s">
        <v>702</v>
      </c>
      <c r="C2096" s="20" t="s">
        <v>71</v>
      </c>
      <c r="D2096" s="51" t="n">
        <f aca="false">SUM(F2080:J2080)</f>
        <v>-18.6421316446779</v>
      </c>
      <c r="E2096" s="23"/>
      <c r="F2096" s="23"/>
      <c r="G2096" s="23"/>
      <c r="H2096" s="23"/>
      <c r="I2096" s="23"/>
      <c r="J2096" s="23"/>
      <c r="K2096" s="23"/>
      <c r="L2096" s="49"/>
    </row>
    <row r="2097" customFormat="false" ht="15" hidden="true" customHeight="false" outlineLevel="1" collapsed="false">
      <c r="A2097" s="20" t="n">
        <v>124</v>
      </c>
      <c r="B2097" s="6" t="s">
        <v>82</v>
      </c>
      <c r="C2097" s="20" t="s">
        <v>71</v>
      </c>
      <c r="D2097" s="51" t="n">
        <f aca="false">SUM(F2080:J2080)+SUM(F2082:J2082)</f>
        <v>-6.18427606946428</v>
      </c>
      <c r="E2097" s="23"/>
      <c r="F2097" s="23"/>
      <c r="G2097" s="23"/>
      <c r="H2097" s="23"/>
      <c r="I2097" s="23"/>
      <c r="J2097" s="23"/>
      <c r="K2097" s="23"/>
      <c r="L2097" s="49"/>
    </row>
    <row r="2098" customFormat="false" ht="15" hidden="true" customHeight="false" outlineLevel="1" collapsed="false">
      <c r="A2098" s="20" t="n">
        <v>125</v>
      </c>
      <c r="B2098" s="6" t="s">
        <v>83</v>
      </c>
      <c r="C2098" s="20" t="s">
        <v>68</v>
      </c>
      <c r="D2098" s="55" t="n">
        <f aca="false">IFERROR(IRR(F2083:J2083),"н/д")</f>
        <v>0.182410938967889</v>
      </c>
      <c r="E2098" s="23"/>
      <c r="F2098" s="23"/>
      <c r="G2098" s="23"/>
      <c r="H2098" s="23"/>
      <c r="I2098" s="23"/>
      <c r="J2098" s="23"/>
      <c r="K2098" s="23"/>
      <c r="L2098" s="49"/>
    </row>
    <row r="2099" customFormat="false" ht="15" hidden="true" customHeight="false" outlineLevel="1" collapsed="false">
      <c r="A2099" s="20" t="n">
        <v>126</v>
      </c>
      <c r="B2099" s="6" t="s">
        <v>13</v>
      </c>
      <c r="C2099" s="20" t="s">
        <v>79</v>
      </c>
      <c r="D2099" s="56" t="n">
        <f aca="false">IF(COUNT(F2084:J2084)=0,"после 2031",MIN(F2084:J2084))</f>
        <v>2029</v>
      </c>
      <c r="E2099" s="23"/>
      <c r="F2099" s="23"/>
      <c r="G2099" s="23"/>
      <c r="H2099" s="23"/>
      <c r="I2099" s="23"/>
      <c r="J2099" s="23"/>
      <c r="K2099" s="23"/>
      <c r="L2099" s="49"/>
    </row>
    <row r="2100" customFormat="false" ht="15" hidden="true" customHeight="false" outlineLevel="1" collapsed="false">
      <c r="A2100" s="20" t="n">
        <v>127</v>
      </c>
      <c r="B2100" s="6" t="s">
        <v>703</v>
      </c>
      <c r="C2100" s="20" t="s">
        <v>79</v>
      </c>
      <c r="D2100" s="56" t="str">
        <f aca="false">IF(COUNT(F2085:J2085)=0,"после 2031",MIN(F2085:J2085))</f>
        <v>после 2031</v>
      </c>
      <c r="E2100" s="23"/>
      <c r="F2100" s="23"/>
      <c r="G2100" s="23"/>
      <c r="H2100" s="23"/>
      <c r="I2100" s="23"/>
      <c r="J2100" s="23"/>
      <c r="K2100" s="23"/>
      <c r="L2100" s="49"/>
    </row>
    <row r="2103" customFormat="false" ht="15" hidden="true" customHeight="false" outlineLevel="1" collapsed="false">
      <c r="A2103" s="57" t="s">
        <v>738</v>
      </c>
    </row>
    <row r="2104" customFormat="false" ht="30" hidden="true" customHeight="true" outlineLevel="1" collapsed="false">
      <c r="A2104" s="4" t="s">
        <v>49</v>
      </c>
      <c r="B2104" s="4" t="s">
        <v>3</v>
      </c>
      <c r="C2104" s="5" t="s">
        <v>50</v>
      </c>
      <c r="D2104" s="5" t="s">
        <v>551</v>
      </c>
      <c r="E2104" s="5" t="s">
        <v>356</v>
      </c>
      <c r="F2104" s="5" t="s">
        <v>86</v>
      </c>
      <c r="G2104" s="5" t="s">
        <v>87</v>
      </c>
      <c r="H2104" s="5" t="s">
        <v>88</v>
      </c>
      <c r="I2104" s="5" t="s">
        <v>89</v>
      </c>
      <c r="J2104" s="5" t="s">
        <v>90</v>
      </c>
      <c r="K2104" s="5" t="s">
        <v>552</v>
      </c>
      <c r="L2104" s="5" t="s">
        <v>393</v>
      </c>
    </row>
    <row r="2105" customFormat="false" ht="15" hidden="true" customHeight="false" outlineLevel="1" collapsed="false">
      <c r="A2105" s="19" t="s">
        <v>553</v>
      </c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</row>
    <row r="2106" customFormat="false" ht="15" hidden="true" customHeight="false" outlineLevel="1" collapsed="false">
      <c r="A2106" s="20" t="n">
        <v>1</v>
      </c>
      <c r="B2106" s="6" t="s">
        <v>554</v>
      </c>
      <c r="C2106" s="20" t="s">
        <v>79</v>
      </c>
      <c r="D2106" s="10" t="n">
        <f aca="false">Допущения!$E$49</f>
        <v>2027</v>
      </c>
      <c r="E2106" s="23"/>
      <c r="F2106" s="23"/>
      <c r="G2106" s="23"/>
      <c r="H2106" s="23"/>
      <c r="I2106" s="23"/>
      <c r="J2106" s="23"/>
      <c r="K2106" s="23"/>
      <c r="L2106" s="49"/>
    </row>
    <row r="2107" customFormat="false" ht="15" hidden="true" customHeight="false" outlineLevel="1" collapsed="false">
      <c r="A2107" s="20" t="n">
        <v>2</v>
      </c>
      <c r="B2107" s="6" t="s">
        <v>555</v>
      </c>
      <c r="C2107" s="20" t="s">
        <v>105</v>
      </c>
      <c r="D2107" s="45" t="n">
        <f aca="false">Допущения!$E$7</f>
        <v>1.8</v>
      </c>
      <c r="E2107" s="23"/>
      <c r="F2107" s="23"/>
      <c r="G2107" s="23"/>
      <c r="H2107" s="23"/>
      <c r="I2107" s="23"/>
      <c r="J2107" s="23"/>
      <c r="K2107" s="23"/>
      <c r="L2107" s="49"/>
    </row>
    <row r="2108" customFormat="false" ht="15" hidden="true" customHeight="false" outlineLevel="1" collapsed="false">
      <c r="A2108" s="20" t="n">
        <v>3</v>
      </c>
      <c r="B2108" s="6" t="s">
        <v>556</v>
      </c>
      <c r="C2108" s="20" t="s">
        <v>55</v>
      </c>
      <c r="D2108" s="9" t="n">
        <f aca="false">Допущения!$E$42</f>
        <v>6</v>
      </c>
      <c r="E2108" s="23"/>
      <c r="F2108" s="23"/>
      <c r="G2108" s="23"/>
      <c r="H2108" s="23"/>
      <c r="I2108" s="23"/>
      <c r="J2108" s="23"/>
      <c r="K2108" s="23"/>
      <c r="L2108" s="49"/>
    </row>
    <row r="2109" customFormat="false" ht="15" hidden="true" customHeight="false" outlineLevel="1" collapsed="false">
      <c r="A2109" s="20" t="n">
        <v>4</v>
      </c>
      <c r="B2109" s="6" t="s">
        <v>557</v>
      </c>
      <c r="C2109" s="20" t="s">
        <v>244</v>
      </c>
      <c r="D2109" s="9" t="n">
        <f aca="false">Допущения!$E$43</f>
        <v>5</v>
      </c>
      <c r="E2109" s="23"/>
      <c r="F2109" s="23"/>
      <c r="G2109" s="23"/>
      <c r="H2109" s="23"/>
      <c r="I2109" s="23"/>
      <c r="J2109" s="23"/>
      <c r="K2109" s="23"/>
      <c r="L2109" s="49"/>
    </row>
    <row r="2110" customFormat="false" ht="15" hidden="true" customHeight="false" outlineLevel="1" collapsed="false">
      <c r="A2110" s="20" t="n">
        <v>5</v>
      </c>
      <c r="B2110" s="6" t="s">
        <v>558</v>
      </c>
      <c r="C2110" s="20" t="s">
        <v>55</v>
      </c>
      <c r="D2110" s="9" t="n">
        <f aca="false">Допущения!$E$44</f>
        <v>1.5</v>
      </c>
      <c r="E2110" s="23"/>
      <c r="F2110" s="23"/>
      <c r="G2110" s="23"/>
      <c r="H2110" s="23"/>
      <c r="I2110" s="23"/>
      <c r="J2110" s="23"/>
      <c r="K2110" s="23"/>
      <c r="L2110" s="49"/>
    </row>
    <row r="2111" customFormat="false" ht="15" hidden="true" customHeight="false" outlineLevel="1" collapsed="false">
      <c r="A2111" s="20" t="n">
        <v>6</v>
      </c>
      <c r="B2111" s="6" t="s">
        <v>559</v>
      </c>
      <c r="C2111" s="20" t="s">
        <v>71</v>
      </c>
      <c r="D2111" s="9" t="n">
        <f aca="false">Допущения!$E$45</f>
        <v>8</v>
      </c>
      <c r="E2111" s="23"/>
      <c r="F2111" s="23"/>
      <c r="G2111" s="23"/>
      <c r="H2111" s="23"/>
      <c r="I2111" s="23"/>
      <c r="J2111" s="23"/>
      <c r="K2111" s="23"/>
      <c r="L2111" s="49"/>
    </row>
    <row r="2112" customFormat="false" ht="15" hidden="true" customHeight="false" outlineLevel="1" collapsed="false">
      <c r="A2112" s="20" t="n">
        <v>7</v>
      </c>
      <c r="B2112" s="6" t="s">
        <v>560</v>
      </c>
      <c r="C2112" s="20" t="s">
        <v>71</v>
      </c>
      <c r="D2112" s="9" t="n">
        <f aca="false">Допущения!$E$46</f>
        <v>2</v>
      </c>
      <c r="E2112" s="23"/>
      <c r="F2112" s="23"/>
      <c r="G2112" s="23"/>
      <c r="H2112" s="23"/>
      <c r="I2112" s="23"/>
      <c r="J2112" s="23"/>
      <c r="K2112" s="23"/>
      <c r="L2112" s="49"/>
    </row>
    <row r="2113" customFormat="false" ht="15" hidden="true" customHeight="false" outlineLevel="1" collapsed="false">
      <c r="A2113" s="20" t="n">
        <v>8</v>
      </c>
      <c r="B2113" s="6" t="s">
        <v>260</v>
      </c>
      <c r="C2113" s="20" t="s">
        <v>261</v>
      </c>
      <c r="D2113" s="22" t="n">
        <f aca="false">Допущения!$E$47</f>
        <v>0.05</v>
      </c>
      <c r="E2113" s="23"/>
      <c r="F2113" s="23"/>
      <c r="G2113" s="23"/>
      <c r="H2113" s="23"/>
      <c r="I2113" s="23"/>
      <c r="J2113" s="23"/>
      <c r="K2113" s="23"/>
      <c r="L2113" s="49"/>
    </row>
    <row r="2114" customFormat="false" ht="15" hidden="true" customHeight="false" outlineLevel="1" collapsed="false">
      <c r="A2114" s="20" t="n">
        <v>9</v>
      </c>
      <c r="B2114" s="6" t="s">
        <v>561</v>
      </c>
      <c r="C2114" s="20" t="s">
        <v>261</v>
      </c>
      <c r="D2114" s="22" t="n">
        <f aca="false">Допущения!$E$48</f>
        <v>0.15</v>
      </c>
      <c r="E2114" s="23"/>
      <c r="F2114" s="23"/>
      <c r="G2114" s="23"/>
      <c r="H2114" s="23"/>
      <c r="I2114" s="23"/>
      <c r="J2114" s="23"/>
      <c r="K2114" s="23"/>
      <c r="L2114" s="49"/>
    </row>
    <row r="2115" customFormat="false" ht="15" hidden="true" customHeight="false" outlineLevel="1" collapsed="false">
      <c r="A2115" s="20" t="n">
        <v>10</v>
      </c>
      <c r="B2115" s="6" t="s">
        <v>274</v>
      </c>
      <c r="C2115" s="20" t="s">
        <v>261</v>
      </c>
      <c r="D2115" s="22" t="n">
        <f aca="false">Допущения!$E$51</f>
        <v>0.07</v>
      </c>
      <c r="E2115" s="23"/>
      <c r="F2115" s="23"/>
      <c r="G2115" s="23"/>
      <c r="H2115" s="23"/>
      <c r="I2115" s="23"/>
      <c r="J2115" s="23"/>
      <c r="K2115" s="23"/>
      <c r="L2115" s="49"/>
    </row>
    <row r="2116" customFormat="false" ht="15" hidden="true" customHeight="false" outlineLevel="1" collapsed="false">
      <c r="A2116" s="20" t="n">
        <v>11</v>
      </c>
      <c r="B2116" s="6" t="s">
        <v>562</v>
      </c>
      <c r="C2116" s="20" t="s">
        <v>68</v>
      </c>
      <c r="D2116" s="22" t="n">
        <f aca="false">Допущения!$E$52</f>
        <v>0.15</v>
      </c>
      <c r="E2116" s="23"/>
      <c r="F2116" s="23"/>
      <c r="G2116" s="23"/>
      <c r="H2116" s="23"/>
      <c r="I2116" s="23"/>
      <c r="J2116" s="23"/>
      <c r="K2116" s="23"/>
      <c r="L2116" s="49"/>
    </row>
    <row r="2117" customFormat="false" ht="15" hidden="true" customHeight="false" outlineLevel="1" collapsed="false">
      <c r="A2117" s="20" t="n">
        <v>12</v>
      </c>
      <c r="B2117" s="6" t="s">
        <v>563</v>
      </c>
      <c r="C2117" s="20" t="s">
        <v>68</v>
      </c>
      <c r="D2117" s="22" t="n">
        <f aca="false">Допущения!$E$53</f>
        <v>0.076</v>
      </c>
      <c r="E2117" s="23"/>
      <c r="F2117" s="23"/>
      <c r="G2117" s="23"/>
      <c r="H2117" s="23"/>
      <c r="I2117" s="23"/>
      <c r="J2117" s="23"/>
      <c r="K2117" s="23"/>
      <c r="L2117" s="49"/>
    </row>
    <row r="2118" customFormat="false" ht="15" hidden="true" customHeight="false" outlineLevel="1" collapsed="false">
      <c r="A2118" s="20" t="n">
        <v>13</v>
      </c>
      <c r="B2118" s="6" t="s">
        <v>284</v>
      </c>
      <c r="C2118" s="20" t="s">
        <v>68</v>
      </c>
      <c r="D2118" s="22" t="n">
        <f aca="false">Допущения!$E$54</f>
        <v>0.002</v>
      </c>
      <c r="E2118" s="23"/>
      <c r="F2118" s="23"/>
      <c r="G2118" s="23"/>
      <c r="H2118" s="23"/>
      <c r="I2118" s="23"/>
      <c r="J2118" s="23"/>
      <c r="K2118" s="23"/>
      <c r="L2118" s="49"/>
    </row>
    <row r="2119" customFormat="false" ht="15" hidden="true" customHeight="false" outlineLevel="1" collapsed="false">
      <c r="A2119" s="20" t="n">
        <v>14</v>
      </c>
      <c r="B2119" s="6" t="s">
        <v>564</v>
      </c>
      <c r="C2119" s="20" t="s">
        <v>55</v>
      </c>
      <c r="D2119" s="50" t="n">
        <f aca="false">Допущения!$E$55</f>
        <v>2.979</v>
      </c>
      <c r="E2119" s="23"/>
      <c r="F2119" s="23"/>
      <c r="G2119" s="23"/>
      <c r="H2119" s="23"/>
      <c r="I2119" s="23"/>
      <c r="J2119" s="23"/>
      <c r="K2119" s="23"/>
      <c r="L2119" s="49"/>
    </row>
    <row r="2120" customFormat="false" ht="15" hidden="true" customHeight="false" outlineLevel="1" collapsed="false">
      <c r="A2120" s="20" t="n">
        <v>15</v>
      </c>
      <c r="B2120" s="6" t="s">
        <v>565</v>
      </c>
      <c r="C2120" s="20" t="s">
        <v>261</v>
      </c>
      <c r="D2120" s="22" t="n">
        <f aca="false">Допущения!$E$56</f>
        <v>0.08</v>
      </c>
      <c r="E2120" s="23"/>
      <c r="F2120" s="23"/>
      <c r="G2120" s="23"/>
      <c r="H2120" s="23"/>
      <c r="I2120" s="23"/>
      <c r="J2120" s="23"/>
      <c r="K2120" s="23"/>
      <c r="L2120" s="49"/>
    </row>
    <row r="2121" customFormat="false" ht="15" hidden="true" customHeight="false" outlineLevel="1" collapsed="false">
      <c r="A2121" s="20" t="n">
        <v>16</v>
      </c>
      <c r="B2121" s="6" t="s">
        <v>566</v>
      </c>
      <c r="C2121" s="20" t="s">
        <v>71</v>
      </c>
      <c r="D2121" s="9" t="n">
        <f aca="false">Допущения!$E$58</f>
        <v>2.5</v>
      </c>
      <c r="E2121" s="23"/>
      <c r="F2121" s="23"/>
      <c r="G2121" s="23"/>
      <c r="H2121" s="23"/>
      <c r="I2121" s="23"/>
      <c r="J2121" s="23"/>
      <c r="K2121" s="23"/>
      <c r="L2121" s="49"/>
    </row>
    <row r="2122" customFormat="false" ht="15" hidden="true" customHeight="false" outlineLevel="1" collapsed="false">
      <c r="A2122" s="20" t="n">
        <v>17</v>
      </c>
      <c r="B2122" s="6" t="s">
        <v>299</v>
      </c>
      <c r="C2122" s="20" t="s">
        <v>55</v>
      </c>
      <c r="D2122" s="9" t="n">
        <f aca="false">Допущения!$E$59</f>
        <v>1</v>
      </c>
      <c r="E2122" s="23"/>
      <c r="F2122" s="23"/>
      <c r="G2122" s="23"/>
      <c r="H2122" s="23"/>
      <c r="I2122" s="23"/>
      <c r="J2122" s="23"/>
      <c r="K2122" s="23"/>
      <c r="L2122" s="49"/>
    </row>
    <row r="2123" customFormat="false" ht="15" hidden="true" customHeight="false" outlineLevel="1" collapsed="false">
      <c r="A2123" s="20" t="n">
        <v>18</v>
      </c>
      <c r="B2123" s="6" t="s">
        <v>302</v>
      </c>
      <c r="C2123" s="20" t="s">
        <v>55</v>
      </c>
      <c r="D2123" s="9" t="n">
        <f aca="false">Допущения!$E$60</f>
        <v>0.6</v>
      </c>
      <c r="E2123" s="23"/>
      <c r="F2123" s="23"/>
      <c r="G2123" s="23"/>
      <c r="H2123" s="23"/>
      <c r="I2123" s="23"/>
      <c r="J2123" s="23"/>
      <c r="K2123" s="23"/>
      <c r="L2123" s="49"/>
    </row>
    <row r="2124" customFormat="false" ht="15" hidden="true" customHeight="false" outlineLevel="1" collapsed="false">
      <c r="A2124" s="20" t="n">
        <v>19</v>
      </c>
      <c r="B2124" s="6" t="s">
        <v>567</v>
      </c>
      <c r="C2124" s="20" t="s">
        <v>55</v>
      </c>
      <c r="D2124" s="45" t="n">
        <f aca="false">Допущения!$E$61</f>
        <v>0.15</v>
      </c>
      <c r="E2124" s="23"/>
      <c r="F2124" s="23"/>
      <c r="G2124" s="23"/>
      <c r="H2124" s="23"/>
      <c r="I2124" s="23"/>
      <c r="J2124" s="23"/>
      <c r="K2124" s="23"/>
      <c r="L2124" s="49"/>
    </row>
    <row r="2125" customFormat="false" ht="15" hidden="true" customHeight="false" outlineLevel="1" collapsed="false">
      <c r="A2125" s="20" t="n">
        <v>20</v>
      </c>
      <c r="B2125" s="6" t="s">
        <v>568</v>
      </c>
      <c r="C2125" s="20" t="s">
        <v>55</v>
      </c>
      <c r="D2125" s="9" t="n">
        <f aca="false">Допущения!$E$62</f>
        <v>1</v>
      </c>
      <c r="E2125" s="23"/>
      <c r="F2125" s="23"/>
      <c r="G2125" s="23"/>
      <c r="H2125" s="23"/>
      <c r="I2125" s="23"/>
      <c r="J2125" s="23"/>
      <c r="K2125" s="23"/>
      <c r="L2125" s="49"/>
    </row>
    <row r="2126" customFormat="false" ht="15" hidden="true" customHeight="false" outlineLevel="1" collapsed="false">
      <c r="A2126" s="20" t="n">
        <v>21</v>
      </c>
      <c r="B2126" s="6" t="s">
        <v>569</v>
      </c>
      <c r="C2126" s="20" t="s">
        <v>71</v>
      </c>
      <c r="D2126" s="9" t="n">
        <f aca="false">Допущения!$E$63</f>
        <v>0.4</v>
      </c>
      <c r="E2126" s="23"/>
      <c r="F2126" s="23"/>
      <c r="G2126" s="23"/>
      <c r="H2126" s="23"/>
      <c r="I2126" s="23"/>
      <c r="J2126" s="23"/>
      <c r="K2126" s="23"/>
      <c r="L2126" s="49"/>
    </row>
    <row r="2127" customFormat="false" ht="15" hidden="true" customHeight="false" outlineLevel="1" collapsed="false">
      <c r="A2127" s="20" t="n">
        <v>22</v>
      </c>
      <c r="B2127" s="6" t="s">
        <v>314</v>
      </c>
      <c r="C2127" s="20" t="s">
        <v>55</v>
      </c>
      <c r="D2127" s="9" t="n">
        <f aca="false">Допущения!$E$64</f>
        <v>1.2</v>
      </c>
      <c r="E2127" s="23"/>
      <c r="F2127" s="23"/>
      <c r="G2127" s="23"/>
      <c r="H2127" s="23"/>
      <c r="I2127" s="23"/>
      <c r="J2127" s="23"/>
      <c r="K2127" s="23"/>
      <c r="L2127" s="49"/>
    </row>
    <row r="2128" customFormat="false" ht="15" hidden="true" customHeight="false" outlineLevel="1" collapsed="false">
      <c r="A2128" s="20" t="n">
        <v>23</v>
      </c>
      <c r="B2128" s="6" t="s">
        <v>317</v>
      </c>
      <c r="C2128" s="20" t="s">
        <v>55</v>
      </c>
      <c r="D2128" s="45" t="n">
        <f aca="false">Допущения!$E$65</f>
        <v>0.1</v>
      </c>
      <c r="E2128" s="23"/>
      <c r="F2128" s="23"/>
      <c r="G2128" s="23"/>
      <c r="H2128" s="23"/>
      <c r="I2128" s="23"/>
      <c r="J2128" s="23"/>
      <c r="K2128" s="23"/>
      <c r="L2128" s="49"/>
    </row>
    <row r="2129" customFormat="false" ht="15" hidden="true" customHeight="false" outlineLevel="1" collapsed="false">
      <c r="A2129" s="20" t="n">
        <v>24</v>
      </c>
      <c r="B2129" s="6" t="s">
        <v>320</v>
      </c>
      <c r="C2129" s="20" t="s">
        <v>71</v>
      </c>
      <c r="D2129" s="45" t="n">
        <f aca="false">Допущения!$E$66</f>
        <v>0.25</v>
      </c>
      <c r="E2129" s="23"/>
      <c r="F2129" s="23"/>
      <c r="G2129" s="23"/>
      <c r="H2129" s="23"/>
      <c r="I2129" s="23"/>
      <c r="J2129" s="23"/>
      <c r="K2129" s="23"/>
      <c r="L2129" s="49"/>
    </row>
    <row r="2130" customFormat="false" ht="15" hidden="true" customHeight="false" outlineLevel="1" collapsed="false">
      <c r="A2130" s="20" t="n">
        <v>25</v>
      </c>
      <c r="B2130" s="6" t="s">
        <v>570</v>
      </c>
      <c r="C2130" s="20" t="s">
        <v>71</v>
      </c>
      <c r="D2130" s="9" t="n">
        <f aca="false">Допущения!$E$67</f>
        <v>0.3</v>
      </c>
      <c r="E2130" s="23"/>
      <c r="F2130" s="23"/>
      <c r="G2130" s="23"/>
      <c r="H2130" s="23"/>
      <c r="I2130" s="23"/>
      <c r="J2130" s="23"/>
      <c r="K2130" s="23"/>
      <c r="L2130" s="49"/>
    </row>
    <row r="2131" customFormat="false" ht="15" hidden="true" customHeight="false" outlineLevel="1" collapsed="false">
      <c r="A2131" s="20" t="n">
        <v>26</v>
      </c>
      <c r="B2131" s="6" t="s">
        <v>326</v>
      </c>
      <c r="C2131" s="20" t="s">
        <v>261</v>
      </c>
      <c r="D2131" s="22" t="n">
        <f aca="false">Допущения!$E$68</f>
        <v>0.05</v>
      </c>
      <c r="E2131" s="23"/>
      <c r="F2131" s="23"/>
      <c r="G2131" s="23"/>
      <c r="H2131" s="23"/>
      <c r="I2131" s="23"/>
      <c r="J2131" s="23"/>
      <c r="K2131" s="23"/>
      <c r="L2131" s="49"/>
    </row>
    <row r="2132" customFormat="false" ht="15" hidden="true" customHeight="false" outlineLevel="1" collapsed="false">
      <c r="A2132" s="20" t="n">
        <v>27</v>
      </c>
      <c r="B2132" s="6" t="s">
        <v>571</v>
      </c>
      <c r="C2132" s="20" t="s">
        <v>330</v>
      </c>
      <c r="D2132" s="22" t="n">
        <f aca="false">Допущения!$E$69</f>
        <v>0.1</v>
      </c>
      <c r="E2132" s="23"/>
      <c r="F2132" s="23"/>
      <c r="G2132" s="23"/>
      <c r="H2132" s="23"/>
      <c r="I2132" s="23"/>
      <c r="J2132" s="23"/>
      <c r="K2132" s="23"/>
      <c r="L2132" s="49"/>
    </row>
    <row r="2133" customFormat="false" ht="15" hidden="true" customHeight="false" outlineLevel="1" collapsed="false">
      <c r="A2133" s="20" t="n">
        <v>28</v>
      </c>
      <c r="B2133" s="6" t="s">
        <v>572</v>
      </c>
      <c r="C2133" s="20" t="s">
        <v>68</v>
      </c>
      <c r="D2133" s="22" t="n">
        <f aca="false">Допущения!$E$71</f>
        <v>0.05</v>
      </c>
      <c r="E2133" s="23"/>
      <c r="F2133" s="23"/>
      <c r="G2133" s="23"/>
      <c r="H2133" s="23"/>
      <c r="I2133" s="23"/>
      <c r="J2133" s="23"/>
      <c r="K2133" s="23"/>
      <c r="L2133" s="49"/>
    </row>
    <row r="2134" customFormat="false" ht="15" hidden="true" customHeight="false" outlineLevel="1" collapsed="false">
      <c r="A2134" s="20" t="n">
        <v>29</v>
      </c>
      <c r="B2134" s="6" t="s">
        <v>573</v>
      </c>
      <c r="C2134" s="20" t="s">
        <v>68</v>
      </c>
      <c r="D2134" s="22" t="n">
        <f aca="false">Допущения!$E$72</f>
        <v>0.5</v>
      </c>
      <c r="E2134" s="23"/>
      <c r="F2134" s="23"/>
      <c r="G2134" s="23"/>
      <c r="H2134" s="23"/>
      <c r="I2134" s="23"/>
      <c r="J2134" s="23"/>
      <c r="K2134" s="23"/>
      <c r="L2134" s="49"/>
    </row>
    <row r="2135" customFormat="false" ht="15" hidden="true" customHeight="false" outlineLevel="1" collapsed="false">
      <c r="A2135" s="20" t="n">
        <v>30</v>
      </c>
      <c r="B2135" s="6" t="s">
        <v>574</v>
      </c>
      <c r="C2135" s="20" t="s">
        <v>575</v>
      </c>
      <c r="D2135" s="7" t="n">
        <f aca="false">Допущения!$E$73*0.8</f>
        <v>72</v>
      </c>
      <c r="E2135" s="23"/>
      <c r="F2135" s="23"/>
      <c r="G2135" s="23"/>
      <c r="H2135" s="23"/>
      <c r="I2135" s="23"/>
      <c r="J2135" s="23"/>
      <c r="K2135" s="23"/>
      <c r="L2135" s="49"/>
    </row>
    <row r="2136" customFormat="false" ht="15" hidden="true" customHeight="false" outlineLevel="1" collapsed="false">
      <c r="A2136" s="20" t="n">
        <v>31</v>
      </c>
      <c r="B2136" s="6" t="s">
        <v>345</v>
      </c>
      <c r="C2136" s="20" t="s">
        <v>68</v>
      </c>
      <c r="D2136" s="22" t="n">
        <f aca="false">Допущения!$E$74</f>
        <v>0.3</v>
      </c>
      <c r="E2136" s="23"/>
      <c r="F2136" s="23"/>
      <c r="G2136" s="23"/>
      <c r="H2136" s="23"/>
      <c r="I2136" s="23"/>
      <c r="J2136" s="23"/>
      <c r="K2136" s="23"/>
      <c r="L2136" s="49"/>
    </row>
    <row r="2137" customFormat="false" ht="15" hidden="true" customHeight="false" outlineLevel="1" collapsed="false">
      <c r="A2137" s="20" t="n">
        <v>32</v>
      </c>
      <c r="B2137" s="6" t="s">
        <v>576</v>
      </c>
      <c r="C2137" s="20" t="s">
        <v>261</v>
      </c>
      <c r="D2137" s="22" t="n">
        <f aca="false">Допущения!$E$75</f>
        <v>0.04</v>
      </c>
      <c r="E2137" s="23"/>
      <c r="F2137" s="23"/>
      <c r="G2137" s="23"/>
      <c r="H2137" s="23"/>
      <c r="I2137" s="23"/>
      <c r="J2137" s="23"/>
      <c r="K2137" s="23"/>
      <c r="L2137" s="49"/>
    </row>
    <row r="2138" customFormat="false" ht="15" hidden="true" customHeight="false" outlineLevel="1" collapsed="false">
      <c r="A2138" s="20" t="n">
        <v>33</v>
      </c>
      <c r="B2138" s="6" t="s">
        <v>577</v>
      </c>
      <c r="C2138" s="20" t="s">
        <v>68</v>
      </c>
      <c r="D2138" s="22" t="n">
        <f aca="false">Допущения!$E$76</f>
        <v>0.2</v>
      </c>
      <c r="E2138" s="23"/>
      <c r="F2138" s="23"/>
      <c r="G2138" s="23"/>
      <c r="H2138" s="23"/>
      <c r="I2138" s="23"/>
      <c r="J2138" s="23"/>
      <c r="K2138" s="23"/>
      <c r="L2138" s="49"/>
    </row>
    <row r="2139" customFormat="false" ht="15" hidden="true" customHeight="false" outlineLevel="1" collapsed="false">
      <c r="A2139" s="20" t="n">
        <v>34</v>
      </c>
      <c r="B2139" s="6" t="s">
        <v>578</v>
      </c>
      <c r="C2139" s="20" t="s">
        <v>105</v>
      </c>
      <c r="D2139" s="50" t="n">
        <f aca="false">Рынок!$E$30</f>
        <v>0.490909090909091</v>
      </c>
      <c r="E2139" s="23"/>
      <c r="F2139" s="23"/>
      <c r="G2139" s="23"/>
      <c r="H2139" s="23"/>
      <c r="I2139" s="23"/>
      <c r="J2139" s="23"/>
      <c r="K2139" s="23"/>
      <c r="L2139" s="49" t="s">
        <v>579</v>
      </c>
    </row>
    <row r="2140" customFormat="false" ht="15" hidden="true" customHeight="false" outlineLevel="1" collapsed="false">
      <c r="A2140" s="20" t="n">
        <v>35</v>
      </c>
      <c r="B2140" s="6" t="s">
        <v>580</v>
      </c>
      <c r="C2140" s="20" t="s">
        <v>105</v>
      </c>
      <c r="D2140" s="50" t="n">
        <f aca="false">Рынок!$E$31</f>
        <v>0.028125</v>
      </c>
      <c r="E2140" s="23"/>
      <c r="F2140" s="23"/>
      <c r="G2140" s="23"/>
      <c r="H2140" s="23"/>
      <c r="I2140" s="23"/>
      <c r="J2140" s="23"/>
      <c r="K2140" s="23"/>
      <c r="L2140" s="49" t="s">
        <v>579</v>
      </c>
    </row>
    <row r="2141" customFormat="false" ht="15" hidden="true" customHeight="false" outlineLevel="1" collapsed="false">
      <c r="A2141" s="20" t="n">
        <v>36</v>
      </c>
      <c r="B2141" s="6" t="s">
        <v>581</v>
      </c>
      <c r="C2141" s="20" t="s">
        <v>142</v>
      </c>
      <c r="D2141" s="7" t="n">
        <f aca="false">План!$D$18</f>
        <v>200</v>
      </c>
      <c r="E2141" s="23"/>
      <c r="F2141" s="23"/>
      <c r="G2141" s="23"/>
      <c r="H2141" s="23"/>
      <c r="I2141" s="23"/>
      <c r="J2141" s="23"/>
      <c r="K2141" s="23"/>
      <c r="L2141" s="49" t="s">
        <v>582</v>
      </c>
    </row>
    <row r="2142" customFormat="false" ht="15" hidden="true" customHeight="false" outlineLevel="1" collapsed="false">
      <c r="A2142" s="20" t="n">
        <v>37</v>
      </c>
      <c r="B2142" s="6" t="s">
        <v>583</v>
      </c>
      <c r="C2142" s="20" t="s">
        <v>142</v>
      </c>
      <c r="D2142" s="7" t="n">
        <f aca="false">План!$D$19</f>
        <v>280</v>
      </c>
      <c r="E2142" s="23"/>
      <c r="F2142" s="23"/>
      <c r="G2142" s="23"/>
      <c r="H2142" s="23"/>
      <c r="I2142" s="23"/>
      <c r="J2142" s="23"/>
      <c r="K2142" s="23"/>
      <c r="L2142" s="49" t="s">
        <v>582</v>
      </c>
    </row>
    <row r="2143" customFormat="false" ht="15" hidden="true" customHeight="false" outlineLevel="1" collapsed="false">
      <c r="A2143" s="20" t="n">
        <v>38</v>
      </c>
      <c r="B2143" s="6" t="s">
        <v>584</v>
      </c>
      <c r="C2143" s="20" t="s">
        <v>142</v>
      </c>
      <c r="D2143" s="7" t="n">
        <f aca="false">План!$D$20</f>
        <v>230</v>
      </c>
      <c r="E2143" s="23"/>
      <c r="F2143" s="23"/>
      <c r="G2143" s="23"/>
      <c r="H2143" s="23"/>
      <c r="I2143" s="23"/>
      <c r="J2143" s="23"/>
      <c r="K2143" s="23"/>
      <c r="L2143" s="49" t="s">
        <v>582</v>
      </c>
    </row>
    <row r="2144" customFormat="false" ht="15" hidden="true" customHeight="false" outlineLevel="1" collapsed="false">
      <c r="A2144" s="20" t="n">
        <v>39</v>
      </c>
      <c r="B2144" s="6" t="s">
        <v>585</v>
      </c>
      <c r="C2144" s="20" t="s">
        <v>142</v>
      </c>
      <c r="D2144" s="7" t="n">
        <f aca="false">План!$D$21</f>
        <v>220</v>
      </c>
      <c r="E2144" s="23"/>
      <c r="F2144" s="23"/>
      <c r="G2144" s="23"/>
      <c r="H2144" s="23"/>
      <c r="I2144" s="23"/>
      <c r="J2144" s="23"/>
      <c r="K2144" s="23"/>
      <c r="L2144" s="49" t="s">
        <v>582</v>
      </c>
    </row>
    <row r="2145" customFormat="false" ht="15" hidden="true" customHeight="false" outlineLevel="1" collapsed="false">
      <c r="A2145" s="20" t="n">
        <v>40</v>
      </c>
      <c r="B2145" s="6" t="s">
        <v>586</v>
      </c>
      <c r="C2145" s="20" t="s">
        <v>142</v>
      </c>
      <c r="D2145" s="7" t="n">
        <f aca="false">План!$D$22</f>
        <v>250</v>
      </c>
      <c r="E2145" s="23"/>
      <c r="F2145" s="23"/>
      <c r="G2145" s="23"/>
      <c r="H2145" s="23"/>
      <c r="I2145" s="23"/>
      <c r="J2145" s="23"/>
      <c r="K2145" s="23"/>
      <c r="L2145" s="49" t="s">
        <v>582</v>
      </c>
    </row>
    <row r="2146" customFormat="false" ht="15" hidden="true" customHeight="false" outlineLevel="1" collapsed="false">
      <c r="A2146" s="20" t="n">
        <v>41</v>
      </c>
      <c r="B2146" s="6" t="s">
        <v>587</v>
      </c>
      <c r="C2146" s="20" t="s">
        <v>142</v>
      </c>
      <c r="D2146" s="7" t="n">
        <f aca="false">План!$D$23</f>
        <v>220</v>
      </c>
      <c r="E2146" s="23"/>
      <c r="F2146" s="23"/>
      <c r="G2146" s="23"/>
      <c r="H2146" s="23"/>
      <c r="I2146" s="23"/>
      <c r="J2146" s="23"/>
      <c r="K2146" s="23"/>
      <c r="L2146" s="49" t="s">
        <v>582</v>
      </c>
    </row>
    <row r="2147" customFormat="false" ht="15" hidden="true" customHeight="false" outlineLevel="1" collapsed="false">
      <c r="A2147" s="20" t="n">
        <v>42</v>
      </c>
      <c r="B2147" s="6" t="s">
        <v>359</v>
      </c>
      <c r="C2147" s="20" t="s">
        <v>76</v>
      </c>
      <c r="D2147" s="23"/>
      <c r="E2147" s="9" t="n">
        <f aca="false">План!E16</f>
        <v>0</v>
      </c>
      <c r="F2147" s="9" t="n">
        <f aca="false">План!F16</f>
        <v>0</v>
      </c>
      <c r="G2147" s="9" t="n">
        <f aca="false">План!G16</f>
        <v>0</v>
      </c>
      <c r="H2147" s="9" t="n">
        <f aca="false">План!H16</f>
        <v>1</v>
      </c>
      <c r="I2147" s="9" t="n">
        <f aca="false">План!I16</f>
        <v>0</v>
      </c>
      <c r="J2147" s="9" t="n">
        <f aca="false">План!J16</f>
        <v>1</v>
      </c>
      <c r="K2147" s="51" t="n">
        <f aca="false">SUM(F2147:J2147)</f>
        <v>2</v>
      </c>
      <c r="L2147" s="49" t="s">
        <v>582</v>
      </c>
    </row>
    <row r="2148" customFormat="false" ht="15" hidden="true" customHeight="false" outlineLevel="1" collapsed="false">
      <c r="A2148" s="20" t="n">
        <v>43</v>
      </c>
      <c r="B2148" s="6" t="s">
        <v>361</v>
      </c>
      <c r="C2148" s="20" t="s">
        <v>76</v>
      </c>
      <c r="D2148" s="23"/>
      <c r="E2148" s="9" t="n">
        <f aca="false">План!E17</f>
        <v>0</v>
      </c>
      <c r="F2148" s="9" t="n">
        <f aca="false">План!F17</f>
        <v>0</v>
      </c>
      <c r="G2148" s="9" t="n">
        <f aca="false">План!G17</f>
        <v>1</v>
      </c>
      <c r="H2148" s="9" t="n">
        <f aca="false">План!H17</f>
        <v>2</v>
      </c>
      <c r="I2148" s="9" t="n">
        <f aca="false">План!I17</f>
        <v>2</v>
      </c>
      <c r="J2148" s="9" t="n">
        <f aca="false">План!J17</f>
        <v>3</v>
      </c>
      <c r="K2148" s="51" t="n">
        <f aca="false">SUM(F2148:J2148)</f>
        <v>8</v>
      </c>
      <c r="L2148" s="49" t="s">
        <v>582</v>
      </c>
    </row>
    <row r="2149" customFormat="false" ht="15" hidden="true" customHeight="false" outlineLevel="1" collapsed="false">
      <c r="A2149" s="20" t="n">
        <v>44</v>
      </c>
      <c r="B2149" s="6" t="s">
        <v>588</v>
      </c>
      <c r="C2149" s="20" t="s">
        <v>53</v>
      </c>
      <c r="D2149" s="23"/>
      <c r="E2149" s="9" t="n">
        <f aca="false">План!E18</f>
        <v>2</v>
      </c>
      <c r="F2149" s="9" t="n">
        <f aca="false">План!F18</f>
        <v>2</v>
      </c>
      <c r="G2149" s="9" t="n">
        <f aca="false">План!G18</f>
        <v>2</v>
      </c>
      <c r="H2149" s="9" t="n">
        <f aca="false">План!H18</f>
        <v>2</v>
      </c>
      <c r="I2149" s="9" t="n">
        <f aca="false">План!I18</f>
        <v>2</v>
      </c>
      <c r="J2149" s="9" t="n">
        <f aca="false">План!J18</f>
        <v>2</v>
      </c>
      <c r="K2149" s="23"/>
      <c r="L2149" s="49" t="s">
        <v>582</v>
      </c>
    </row>
    <row r="2150" customFormat="false" ht="15" hidden="true" customHeight="false" outlineLevel="1" collapsed="false">
      <c r="A2150" s="20" t="n">
        <v>45</v>
      </c>
      <c r="B2150" s="6" t="s">
        <v>589</v>
      </c>
      <c r="C2150" s="20" t="s">
        <v>53</v>
      </c>
      <c r="D2150" s="23"/>
      <c r="E2150" s="9" t="n">
        <f aca="false">План!E19</f>
        <v>0</v>
      </c>
      <c r="F2150" s="9" t="n">
        <f aca="false">План!F19</f>
        <v>1</v>
      </c>
      <c r="G2150" s="9" t="n">
        <f aca="false">План!G19</f>
        <v>1</v>
      </c>
      <c r="H2150" s="9" t="n">
        <f aca="false">План!H19</f>
        <v>1</v>
      </c>
      <c r="I2150" s="9" t="n">
        <f aca="false">План!I19</f>
        <v>2</v>
      </c>
      <c r="J2150" s="9" t="n">
        <f aca="false">План!J19</f>
        <v>2</v>
      </c>
      <c r="K2150" s="23"/>
      <c r="L2150" s="49" t="s">
        <v>582</v>
      </c>
    </row>
    <row r="2151" customFormat="false" ht="15" hidden="true" customHeight="false" outlineLevel="1" collapsed="false">
      <c r="A2151" s="20" t="n">
        <v>46</v>
      </c>
      <c r="B2151" s="6" t="s">
        <v>590</v>
      </c>
      <c r="C2151" s="20" t="s">
        <v>53</v>
      </c>
      <c r="D2151" s="23"/>
      <c r="E2151" s="9" t="n">
        <f aca="false">План!E20</f>
        <v>0</v>
      </c>
      <c r="F2151" s="9" t="n">
        <f aca="false">План!F20</f>
        <v>1</v>
      </c>
      <c r="G2151" s="9" t="n">
        <f aca="false">План!G20</f>
        <v>1</v>
      </c>
      <c r="H2151" s="9" t="n">
        <f aca="false">План!H20</f>
        <v>1</v>
      </c>
      <c r="I2151" s="9" t="n">
        <f aca="false">План!I20</f>
        <v>1</v>
      </c>
      <c r="J2151" s="9" t="n">
        <f aca="false">План!J20</f>
        <v>1</v>
      </c>
      <c r="K2151" s="23"/>
      <c r="L2151" s="49" t="s">
        <v>582</v>
      </c>
    </row>
    <row r="2152" customFormat="false" ht="15" hidden="true" customHeight="false" outlineLevel="1" collapsed="false">
      <c r="A2152" s="20" t="n">
        <v>47</v>
      </c>
      <c r="B2152" s="6" t="s">
        <v>591</v>
      </c>
      <c r="C2152" s="20" t="s">
        <v>53</v>
      </c>
      <c r="D2152" s="23"/>
      <c r="E2152" s="9" t="n">
        <f aca="false">План!E21</f>
        <v>0</v>
      </c>
      <c r="F2152" s="9" t="n">
        <f aca="false">План!F21</f>
        <v>0</v>
      </c>
      <c r="G2152" s="9" t="n">
        <f aca="false">План!G21</f>
        <v>1</v>
      </c>
      <c r="H2152" s="9" t="n">
        <f aca="false">План!H21</f>
        <v>1</v>
      </c>
      <c r="I2152" s="9" t="n">
        <f aca="false">План!I21</f>
        <v>1</v>
      </c>
      <c r="J2152" s="9" t="n">
        <f aca="false">План!J21</f>
        <v>1</v>
      </c>
      <c r="K2152" s="23"/>
      <c r="L2152" s="49" t="s">
        <v>582</v>
      </c>
    </row>
    <row r="2153" customFormat="false" ht="15" hidden="true" customHeight="false" outlineLevel="1" collapsed="false">
      <c r="A2153" s="20" t="n">
        <v>48</v>
      </c>
      <c r="B2153" s="6" t="s">
        <v>592</v>
      </c>
      <c r="C2153" s="20" t="s">
        <v>53</v>
      </c>
      <c r="D2153" s="23"/>
      <c r="E2153" s="9" t="n">
        <f aca="false">План!E22</f>
        <v>0</v>
      </c>
      <c r="F2153" s="9" t="n">
        <f aca="false">План!F22</f>
        <v>0</v>
      </c>
      <c r="G2153" s="9" t="n">
        <f aca="false">План!G22</f>
        <v>0</v>
      </c>
      <c r="H2153" s="9" t="n">
        <f aca="false">План!H22</f>
        <v>1</v>
      </c>
      <c r="I2153" s="9" t="n">
        <f aca="false">План!I22</f>
        <v>1</v>
      </c>
      <c r="J2153" s="9" t="n">
        <f aca="false">План!J22</f>
        <v>1</v>
      </c>
      <c r="K2153" s="23"/>
      <c r="L2153" s="49" t="s">
        <v>582</v>
      </c>
    </row>
    <row r="2154" customFormat="false" ht="15" hidden="true" customHeight="false" outlineLevel="1" collapsed="false">
      <c r="A2154" s="20" t="n">
        <v>49</v>
      </c>
      <c r="B2154" s="6" t="s">
        <v>593</v>
      </c>
      <c r="C2154" s="20" t="s">
        <v>53</v>
      </c>
      <c r="D2154" s="23"/>
      <c r="E2154" s="9" t="n">
        <f aca="false">План!E23</f>
        <v>0</v>
      </c>
      <c r="F2154" s="9" t="n">
        <f aca="false">План!F23</f>
        <v>0</v>
      </c>
      <c r="G2154" s="9" t="n">
        <f aca="false">План!G23</f>
        <v>0</v>
      </c>
      <c r="H2154" s="9" t="n">
        <f aca="false">План!H23</f>
        <v>0</v>
      </c>
      <c r="I2154" s="9" t="n">
        <f aca="false">План!I23</f>
        <v>0</v>
      </c>
      <c r="J2154" s="9" t="n">
        <f aca="false">План!J23</f>
        <v>1</v>
      </c>
      <c r="K2154" s="23"/>
      <c r="L2154" s="49" t="s">
        <v>582</v>
      </c>
    </row>
    <row r="2155" customFormat="false" ht="15" hidden="true" customHeight="false" outlineLevel="1" collapsed="false">
      <c r="A2155" s="19" t="s">
        <v>594</v>
      </c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</row>
    <row r="2156" customFormat="false" ht="15" hidden="true" customHeight="false" outlineLevel="1" collapsed="false">
      <c r="A2156" s="20" t="n">
        <v>50</v>
      </c>
      <c r="B2156" s="6" t="s">
        <v>595</v>
      </c>
      <c r="C2156" s="20"/>
      <c r="D2156" s="23"/>
      <c r="E2156" s="10" t="n">
        <f aca="false">Допущения!$D$3</f>
        <v>2026</v>
      </c>
      <c r="F2156" s="52" t="n">
        <f aca="false">E2156+1</f>
        <v>2027</v>
      </c>
      <c r="G2156" s="52" t="n">
        <f aca="false">F2156+1</f>
        <v>2028</v>
      </c>
      <c r="H2156" s="52" t="n">
        <f aca="false">G2156+1</f>
        <v>2029</v>
      </c>
      <c r="I2156" s="52" t="n">
        <f aca="false">H2156+1</f>
        <v>2030</v>
      </c>
      <c r="J2156" s="52" t="n">
        <f aca="false">I2156+1</f>
        <v>2031</v>
      </c>
      <c r="K2156" s="23"/>
      <c r="L2156" s="49" t="s">
        <v>596</v>
      </c>
    </row>
    <row r="2157" customFormat="false" ht="15" hidden="true" customHeight="false" outlineLevel="1" collapsed="false">
      <c r="A2157" s="20" t="n">
        <v>51</v>
      </c>
      <c r="B2157" s="6" t="s">
        <v>597</v>
      </c>
      <c r="C2157" s="20" t="s">
        <v>62</v>
      </c>
      <c r="D2157" s="23"/>
      <c r="E2157" s="23"/>
      <c r="F2157" s="53" t="n">
        <f aca="false">(1+$D$2113)^(F$2156-$E$2156-1)</f>
        <v>1</v>
      </c>
      <c r="G2157" s="53" t="n">
        <f aca="false">(1+$D$2113)^(G$2156-$E$2156-1)</f>
        <v>1.05</v>
      </c>
      <c r="H2157" s="53" t="n">
        <f aca="false">(1+$D$2113)^(H$2156-$E$2156-1)</f>
        <v>1.1025</v>
      </c>
      <c r="I2157" s="53" t="n">
        <f aca="false">(1+$D$2113)^(I$2156-$E$2156-1)</f>
        <v>1.157625</v>
      </c>
      <c r="J2157" s="53" t="n">
        <f aca="false">(1+$D$2113)^(J$2156-$E$2156-1)</f>
        <v>1.21550625</v>
      </c>
      <c r="K2157" s="23"/>
      <c r="L2157" s="49" t="s">
        <v>598</v>
      </c>
    </row>
    <row r="2158" customFormat="false" ht="15" hidden="true" customHeight="false" outlineLevel="1" collapsed="false">
      <c r="A2158" s="20" t="n">
        <v>52</v>
      </c>
      <c r="B2158" s="6" t="s">
        <v>599</v>
      </c>
      <c r="C2158" s="20" t="s">
        <v>62</v>
      </c>
      <c r="D2158" s="23"/>
      <c r="E2158" s="23"/>
      <c r="F2158" s="53" t="n">
        <f aca="false">(1+$D$2131)^(F$2156-$E$2156-1)</f>
        <v>1</v>
      </c>
      <c r="G2158" s="53" t="n">
        <f aca="false">(1+$D$2131)^(G$2156-$E$2156-1)</f>
        <v>1.05</v>
      </c>
      <c r="H2158" s="53" t="n">
        <f aca="false">(1+$D$2131)^(H$2156-$E$2156-1)</f>
        <v>1.1025</v>
      </c>
      <c r="I2158" s="53" t="n">
        <f aca="false">(1+$D$2131)^(I$2156-$E$2156-1)</f>
        <v>1.157625</v>
      </c>
      <c r="J2158" s="53" t="n">
        <f aca="false">(1+$D$2131)^(J$2156-$E$2156-1)</f>
        <v>1.21550625</v>
      </c>
      <c r="K2158" s="23"/>
      <c r="L2158" s="49" t="s">
        <v>600</v>
      </c>
    </row>
    <row r="2159" customFormat="false" ht="15" hidden="true" customHeight="false" outlineLevel="1" collapsed="false">
      <c r="A2159" s="20" t="n">
        <v>53</v>
      </c>
      <c r="B2159" s="6" t="s">
        <v>601</v>
      </c>
      <c r="C2159" s="20" t="s">
        <v>62</v>
      </c>
      <c r="D2159" s="23"/>
      <c r="E2159" s="23"/>
      <c r="F2159" s="53" t="n">
        <f aca="false">(1+$D$2115)^(F$2156-$E$2156-1)</f>
        <v>1</v>
      </c>
      <c r="G2159" s="53" t="n">
        <f aca="false">(1+$D$2115)^(G$2156-$E$2156-1)</f>
        <v>1.07</v>
      </c>
      <c r="H2159" s="53" t="n">
        <f aca="false">(1+$D$2115)^(H$2156-$E$2156-1)</f>
        <v>1.1449</v>
      </c>
      <c r="I2159" s="53" t="n">
        <f aca="false">(1+$D$2115)^(I$2156-$E$2156-1)</f>
        <v>1.225043</v>
      </c>
      <c r="J2159" s="53" t="n">
        <f aca="false">(1+$D$2115)^(J$2156-$E$2156-1)</f>
        <v>1.31079601</v>
      </c>
      <c r="K2159" s="23"/>
      <c r="L2159" s="49" t="s">
        <v>602</v>
      </c>
    </row>
    <row r="2160" customFormat="false" ht="15" hidden="true" customHeight="false" outlineLevel="1" collapsed="false">
      <c r="A2160" s="20" t="n">
        <v>54</v>
      </c>
      <c r="B2160" s="6" t="s">
        <v>603</v>
      </c>
      <c r="C2160" s="20" t="s">
        <v>55</v>
      </c>
      <c r="D2160" s="23"/>
      <c r="E2160" s="23"/>
      <c r="F2160" s="46" t="n">
        <f aca="false">$D$2119*(1+$D$2120)^(F$2156-$E$2156)</f>
        <v>3.21732</v>
      </c>
      <c r="G2160" s="46" t="n">
        <f aca="false">$D$2119*(1+$D$2120)^(G$2156-$E$2156)</f>
        <v>3.4747056</v>
      </c>
      <c r="H2160" s="46" t="n">
        <f aca="false">$D$2119*(1+$D$2120)^(H$2156-$E$2156)</f>
        <v>3.752682048</v>
      </c>
      <c r="I2160" s="46" t="n">
        <f aca="false">$D$2119*(1+$D$2120)^(I$2156-$E$2156)</f>
        <v>4.05289661184</v>
      </c>
      <c r="J2160" s="46" t="n">
        <f aca="false">$D$2119*(1+$D$2120)^(J$2156-$E$2156)</f>
        <v>4.3771283407872</v>
      </c>
      <c r="K2160" s="23"/>
      <c r="L2160" s="49" t="s">
        <v>604</v>
      </c>
    </row>
    <row r="2161" customFormat="false" ht="15" hidden="true" customHeight="false" outlineLevel="1" collapsed="false">
      <c r="A2161" s="19" t="s">
        <v>605</v>
      </c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</row>
    <row r="2162" customFormat="false" ht="15" hidden="true" customHeight="false" outlineLevel="1" collapsed="false">
      <c r="A2162" s="20" t="n">
        <v>55</v>
      </c>
      <c r="B2162" s="6" t="s">
        <v>606</v>
      </c>
      <c r="C2162" s="20" t="s">
        <v>76</v>
      </c>
      <c r="D2162" s="23"/>
      <c r="E2162" s="23"/>
      <c r="F2162" s="38" t="n">
        <f aca="false">IF(F$2156=$D$2106,1,0)</f>
        <v>1</v>
      </c>
      <c r="G2162" s="38" t="n">
        <f aca="false">IF(G$2156=$D$2106,1,0)</f>
        <v>0</v>
      </c>
      <c r="H2162" s="38" t="n">
        <f aca="false">IF(H$2156=$D$2106,1,0)</f>
        <v>0</v>
      </c>
      <c r="I2162" s="38" t="n">
        <f aca="false">IF(I$2156=$D$2106,1,0)</f>
        <v>0</v>
      </c>
      <c r="J2162" s="38" t="n">
        <f aca="false">IF(J$2156=$D$2106,1,0)</f>
        <v>0</v>
      </c>
      <c r="K2162" s="23"/>
      <c r="L2162" s="49" t="s">
        <v>607</v>
      </c>
    </row>
    <row r="2163" customFormat="false" ht="15" hidden="true" customHeight="false" outlineLevel="1" collapsed="false">
      <c r="A2163" s="20" t="n">
        <v>56</v>
      </c>
      <c r="B2163" s="6" t="s">
        <v>608</v>
      </c>
      <c r="C2163" s="20" t="s">
        <v>76</v>
      </c>
      <c r="D2163" s="23"/>
      <c r="E2163" s="38" t="n">
        <f aca="false">0</f>
        <v>0</v>
      </c>
      <c r="F2163" s="38" t="n">
        <f aca="false">F2162+F2147</f>
        <v>1</v>
      </c>
      <c r="G2163" s="38" t="n">
        <f aca="false">G2162+G2147</f>
        <v>0</v>
      </c>
      <c r="H2163" s="38" t="n">
        <f aca="false">H2162+H2147</f>
        <v>1</v>
      </c>
      <c r="I2163" s="38" t="n">
        <f aca="false">I2162+I2147</f>
        <v>0</v>
      </c>
      <c r="J2163" s="38" t="n">
        <f aca="false">J2162+J2147</f>
        <v>1</v>
      </c>
      <c r="K2163" s="54" t="n">
        <f aca="false">SUM(F2163:J2163)</f>
        <v>3</v>
      </c>
      <c r="L2163" s="49" t="s">
        <v>609</v>
      </c>
    </row>
    <row r="2164" customFormat="false" ht="15" hidden="true" customHeight="false" outlineLevel="1" collapsed="false">
      <c r="A2164" s="20" t="n">
        <v>57</v>
      </c>
      <c r="B2164" s="6" t="s">
        <v>610</v>
      </c>
      <c r="C2164" s="20" t="s">
        <v>76</v>
      </c>
      <c r="D2164" s="23"/>
      <c r="E2164" s="38" t="n">
        <f aca="false">0</f>
        <v>0</v>
      </c>
      <c r="F2164" s="38" t="n">
        <f aca="false">E2164+F2163</f>
        <v>1</v>
      </c>
      <c r="G2164" s="38" t="n">
        <f aca="false">F2164+G2163</f>
        <v>1</v>
      </c>
      <c r="H2164" s="38" t="n">
        <f aca="false">G2164+H2163</f>
        <v>2</v>
      </c>
      <c r="I2164" s="38" t="n">
        <f aca="false">H2164+I2163</f>
        <v>2</v>
      </c>
      <c r="J2164" s="38" t="n">
        <f aca="false">I2164+J2163</f>
        <v>3</v>
      </c>
      <c r="K2164" s="23"/>
      <c r="L2164" s="49" t="s">
        <v>611</v>
      </c>
    </row>
    <row r="2165" customFormat="false" ht="15" hidden="true" customHeight="false" outlineLevel="1" collapsed="false">
      <c r="A2165" s="20" t="n">
        <v>58</v>
      </c>
      <c r="B2165" s="6" t="s">
        <v>612</v>
      </c>
      <c r="C2165" s="20" t="s">
        <v>76</v>
      </c>
      <c r="D2165" s="23"/>
      <c r="E2165" s="38" t="n">
        <f aca="false">0</f>
        <v>0</v>
      </c>
      <c r="F2165" s="38" t="n">
        <f aca="false">E2165+F2148</f>
        <v>0</v>
      </c>
      <c r="G2165" s="38" t="n">
        <f aca="false">F2165+G2148</f>
        <v>1</v>
      </c>
      <c r="H2165" s="38" t="n">
        <f aca="false">G2165+H2148</f>
        <v>3</v>
      </c>
      <c r="I2165" s="38" t="n">
        <f aca="false">H2165+I2148</f>
        <v>5</v>
      </c>
      <c r="J2165" s="38" t="n">
        <f aca="false">I2165+J2148</f>
        <v>8</v>
      </c>
      <c r="K2165" s="23"/>
      <c r="L2165" s="49" t="s">
        <v>611</v>
      </c>
    </row>
    <row r="2166" customFormat="false" ht="15" hidden="true" customHeight="false" outlineLevel="1" collapsed="false">
      <c r="A2166" s="20" t="n">
        <v>59</v>
      </c>
      <c r="B2166" s="6" t="s">
        <v>613</v>
      </c>
      <c r="C2166" s="20" t="s">
        <v>76</v>
      </c>
      <c r="D2166" s="23"/>
      <c r="E2166" s="38" t="n">
        <f aca="false">0</f>
        <v>0</v>
      </c>
      <c r="F2166" s="38" t="n">
        <f aca="false">F2164+F2165</f>
        <v>1</v>
      </c>
      <c r="G2166" s="38" t="n">
        <f aca="false">G2164+G2165</f>
        <v>2</v>
      </c>
      <c r="H2166" s="38" t="n">
        <f aca="false">H2164+H2165</f>
        <v>5</v>
      </c>
      <c r="I2166" s="38" t="n">
        <f aca="false">I2164+I2165</f>
        <v>7</v>
      </c>
      <c r="J2166" s="38" t="n">
        <f aca="false">J2164+J2165</f>
        <v>11</v>
      </c>
      <c r="K2166" s="23"/>
      <c r="L2166" s="49" t="s">
        <v>614</v>
      </c>
    </row>
    <row r="2167" customFormat="false" ht="15" hidden="true" customHeight="false" outlineLevel="1" collapsed="false">
      <c r="A2167" s="20" t="n">
        <v>60</v>
      </c>
      <c r="B2167" s="6" t="s">
        <v>615</v>
      </c>
      <c r="C2167" s="20" t="s">
        <v>76</v>
      </c>
      <c r="D2167" s="23"/>
      <c r="E2167" s="23"/>
      <c r="F2167" s="38" t="n">
        <f aca="false">F2163+F2148</f>
        <v>1</v>
      </c>
      <c r="G2167" s="38" t="n">
        <f aca="false">G2163+G2148</f>
        <v>1</v>
      </c>
      <c r="H2167" s="38" t="n">
        <f aca="false">H2163+H2148</f>
        <v>3</v>
      </c>
      <c r="I2167" s="38" t="n">
        <f aca="false">I2163+I2148</f>
        <v>2</v>
      </c>
      <c r="J2167" s="38" t="n">
        <f aca="false">J2163+J2148</f>
        <v>4</v>
      </c>
      <c r="K2167" s="54" t="n">
        <f aca="false">SUM(F2167:J2167)</f>
        <v>11</v>
      </c>
      <c r="L2167" s="49"/>
    </row>
    <row r="2168" customFormat="false" ht="15" hidden="true" customHeight="false" outlineLevel="1" collapsed="false">
      <c r="A2168" s="19" t="s">
        <v>616</v>
      </c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</row>
    <row r="2169" customFormat="false" ht="15" hidden="true" customHeight="false" outlineLevel="1" collapsed="false">
      <c r="A2169" s="20" t="n">
        <v>61</v>
      </c>
      <c r="B2169" s="6" t="s">
        <v>617</v>
      </c>
      <c r="C2169" s="20" t="s">
        <v>71</v>
      </c>
      <c r="D2169" s="23"/>
      <c r="E2169" s="23"/>
      <c r="F2169" s="40" t="n">
        <f aca="false">IF(F$2156&gt;$D$2106,($D$2108+$D$2107*$D$2109)*(1+$D$2114)^(F$2156-$D$2106-1)*F2157,0)</f>
        <v>0</v>
      </c>
      <c r="G2169" s="40" t="n">
        <f aca="false">IF(G$2156&gt;$D$2106,($D$2108+$D$2107*$D$2109)*(1+$D$2114)^(G$2156-$D$2106-1)*G2157,0)</f>
        <v>15.75</v>
      </c>
      <c r="H2169" s="40" t="n">
        <f aca="false">IF(H$2156&gt;$D$2106,($D$2108+$D$2107*$D$2109)*(1+$D$2114)^(H$2156-$D$2106-1)*H2157,0)</f>
        <v>19.018125</v>
      </c>
      <c r="I2169" s="40" t="n">
        <f aca="false">IF(I$2156&gt;$D$2106,($D$2108+$D$2107*$D$2109)*(1+$D$2114)^(I$2156-$D$2106-1)*I2157,0)</f>
        <v>22.9643859375</v>
      </c>
      <c r="J2169" s="40" t="n">
        <f aca="false">IF(J$2156&gt;$D$2106,($D$2108+$D$2107*$D$2109)*(1+$D$2114)^(J$2156-$D$2106-1)*J2157,0)</f>
        <v>27.7294960195313</v>
      </c>
      <c r="K2169" s="51" t="n">
        <f aca="false">SUM(F2169:J2169)</f>
        <v>85.4620069570313</v>
      </c>
      <c r="L2169" s="49" t="s">
        <v>618</v>
      </c>
    </row>
    <row r="2170" customFormat="false" ht="15" hidden="true" customHeight="false" outlineLevel="1" collapsed="false">
      <c r="A2170" s="20" t="n">
        <v>62</v>
      </c>
      <c r="B2170" s="6" t="s">
        <v>619</v>
      </c>
      <c r="C2170" s="20" t="s">
        <v>71</v>
      </c>
      <c r="D2170" s="23"/>
      <c r="E2170" s="23"/>
      <c r="F2170" s="40" t="n">
        <f aca="false">($D$2108+$D$2139*$D$2109)*F2157*SUMPRODUCT($E$2147:E$2147,(1+$D$2114)^(F$2156-$E$2156:E$2156-1))</f>
        <v>0</v>
      </c>
      <c r="G2170" s="40" t="n">
        <f aca="false">($D$2108+$D$2139*$D$2109)*G2157*SUMPRODUCT($E$2147:F$2147,(1+$D$2114)^(G$2156-$E$2156:F$2156-1))</f>
        <v>0</v>
      </c>
      <c r="H2170" s="40" t="n">
        <f aca="false">($D$2108+$D$2139*$D$2109)*H2157*SUMPRODUCT($E$2147:G$2147,(1+$D$2114)^(H$2156-$E$2156:G$2156-1))</f>
        <v>0</v>
      </c>
      <c r="I2170" s="40" t="n">
        <f aca="false">($D$2108+$D$2139*$D$2109)*I2157*SUMPRODUCT($E$2147:H$2147,(1+$D$2114)^(I$2156-$E$2156:H$2156-1))</f>
        <v>9.78719318181818</v>
      </c>
      <c r="J2170" s="40" t="n">
        <f aca="false">($D$2108+$D$2139*$D$2109)*J2157*SUMPRODUCT($E$2147:I$2147,(1+$D$2114)^(J$2156-$E$2156:I$2156-1))</f>
        <v>11.8180357670455</v>
      </c>
      <c r="K2170" s="51" t="n">
        <f aca="false">SUM(F2170:J2170)</f>
        <v>21.6052289488636</v>
      </c>
      <c r="L2170" s="49" t="s">
        <v>620</v>
      </c>
    </row>
    <row r="2171" customFormat="false" ht="15" hidden="true" customHeight="false" outlineLevel="1" collapsed="false">
      <c r="A2171" s="20" t="n">
        <v>63</v>
      </c>
      <c r="B2171" s="6" t="s">
        <v>621</v>
      </c>
      <c r="C2171" s="20" t="s">
        <v>71</v>
      </c>
      <c r="D2171" s="23"/>
      <c r="E2171" s="23"/>
      <c r="F2171" s="40" t="n">
        <f aca="false">($D$2110+$D$2140*$D$2109)*F2157*SUMPRODUCT($E$2148:E$2148,(1+$D$2114)^(F$2156-$E$2156:E$2156-1))</f>
        <v>0</v>
      </c>
      <c r="G2171" s="40" t="n">
        <f aca="false">($D$2110+$D$2140*$D$2109)*G2157*SUMPRODUCT($E$2148:F$2148,(1+$D$2114)^(G$2156-$E$2156:F$2156-1))</f>
        <v>0</v>
      </c>
      <c r="H2171" s="40" t="n">
        <f aca="false">($D$2110+$D$2140*$D$2109)*H2157*SUMPRODUCT($E$2148:G$2148,(1+$D$2114)^(H$2156-$E$2156:G$2156-1))</f>
        <v>1.8087890625</v>
      </c>
      <c r="I2171" s="40" t="n">
        <f aca="false">($D$2110+$D$2140*$D$2109)*I2157*SUMPRODUCT($E$2148:H$2148,(1+$D$2114)^(I$2156-$E$2156:H$2156-1))</f>
        <v>5.98256982421875</v>
      </c>
      <c r="J2171" s="40" t="n">
        <f aca="false">($D$2110+$D$2140*$D$2109)*J2157*SUMPRODUCT($E$2148:I$2148,(1+$D$2114)^(J$2156-$E$2156:I$2156-1))</f>
        <v>11.2123329455566</v>
      </c>
      <c r="K2171" s="51" t="n">
        <f aca="false">SUM(F2171:J2171)</f>
        <v>19.0036918322754</v>
      </c>
      <c r="L2171" s="49" t="s">
        <v>622</v>
      </c>
    </row>
    <row r="2172" customFormat="false" ht="15" hidden="true" customHeight="false" outlineLevel="1" collapsed="false">
      <c r="A2172" s="20" t="n">
        <v>64</v>
      </c>
      <c r="B2172" s="6" t="s">
        <v>623</v>
      </c>
      <c r="C2172" s="20" t="s">
        <v>71</v>
      </c>
      <c r="D2172" s="23"/>
      <c r="E2172" s="23"/>
      <c r="F2172" s="40" t="n">
        <f aca="false">(F2163*$D$2111+F2148*$D$2112)*F2157</f>
        <v>8</v>
      </c>
      <c r="G2172" s="40" t="n">
        <f aca="false">(G2163*$D$2111+G2148*$D$2112)*G2157</f>
        <v>2.1</v>
      </c>
      <c r="H2172" s="40" t="n">
        <f aca="false">(H2163*$D$2111+H2148*$D$2112)*H2157</f>
        <v>13.23</v>
      </c>
      <c r="I2172" s="40" t="n">
        <f aca="false">(I2163*$D$2111+I2148*$D$2112)*I2157</f>
        <v>4.6305</v>
      </c>
      <c r="J2172" s="40" t="n">
        <f aca="false">(J2163*$D$2111+J2148*$D$2112)*J2157</f>
        <v>17.0170875</v>
      </c>
      <c r="K2172" s="51" t="n">
        <f aca="false">SUM(F2172:J2172)</f>
        <v>44.9775875</v>
      </c>
      <c r="L2172" s="49" t="s">
        <v>624</v>
      </c>
    </row>
    <row r="2173" customFormat="false" ht="15" hidden="true" customHeight="false" outlineLevel="1" collapsed="false">
      <c r="A2173" s="20" t="n">
        <v>65</v>
      </c>
      <c r="B2173" s="6" t="s">
        <v>625</v>
      </c>
      <c r="C2173" s="20" t="s">
        <v>71</v>
      </c>
      <c r="D2173" s="23"/>
      <c r="E2173" s="23"/>
      <c r="F2173" s="40" t="n">
        <f aca="false">F2169+F2170+F2171</f>
        <v>0</v>
      </c>
      <c r="G2173" s="40" t="n">
        <f aca="false">G2169+G2170+G2171</f>
        <v>15.75</v>
      </c>
      <c r="H2173" s="40" t="n">
        <f aca="false">H2169+H2170+H2171</f>
        <v>20.8269140625</v>
      </c>
      <c r="I2173" s="40" t="n">
        <f aca="false">I2169+I2170+I2171</f>
        <v>38.7341489435369</v>
      </c>
      <c r="J2173" s="40" t="n">
        <f aca="false">J2169+J2170+J2171</f>
        <v>50.7598647321333</v>
      </c>
      <c r="K2173" s="51" t="n">
        <f aca="false">SUM(F2173:J2173)</f>
        <v>126.07092773817</v>
      </c>
      <c r="L2173" s="49"/>
    </row>
    <row r="2174" customFormat="false" ht="15" hidden="true" customHeight="false" outlineLevel="1" collapsed="false">
      <c r="A2174" s="20" t="n">
        <v>66</v>
      </c>
      <c r="B2174" s="6" t="s">
        <v>91</v>
      </c>
      <c r="C2174" s="20" t="s">
        <v>71</v>
      </c>
      <c r="D2174" s="23"/>
      <c r="E2174" s="23"/>
      <c r="F2174" s="40" t="n">
        <f aca="false">F2173+F2172</f>
        <v>8</v>
      </c>
      <c r="G2174" s="40" t="n">
        <f aca="false">G2173+G2172</f>
        <v>17.85</v>
      </c>
      <c r="H2174" s="40" t="n">
        <f aca="false">H2173+H2172</f>
        <v>34.0569140625</v>
      </c>
      <c r="I2174" s="40" t="n">
        <f aca="false">I2173+I2172</f>
        <v>43.3646489435369</v>
      </c>
      <c r="J2174" s="40" t="n">
        <f aca="false">J2173+J2172</f>
        <v>67.7769522321333</v>
      </c>
      <c r="K2174" s="51" t="n">
        <f aca="false">SUM(F2174:J2174)</f>
        <v>171.04851523817</v>
      </c>
      <c r="L2174" s="49" t="s">
        <v>626</v>
      </c>
    </row>
    <row r="2175" customFormat="false" ht="15" hidden="true" customHeight="false" outlineLevel="1" collapsed="false">
      <c r="A2175" s="20" t="n">
        <v>67</v>
      </c>
      <c r="B2175" s="6" t="s">
        <v>627</v>
      </c>
      <c r="C2175" s="20" t="s">
        <v>55</v>
      </c>
      <c r="D2175" s="23"/>
      <c r="E2175" s="23"/>
      <c r="F2175" s="40" t="n">
        <f aca="false">IF(F$2156&gt;=$D$2106,($D$2108+$D$2107*$D$2109)*(1+$D$2114)^(F$2156-$D$2106)*F2157,0)+($D$2108+$D$2139*$D$2109)*F2157*SUMPRODUCT($E$2147:F$2147,(1+$D$2114)^(F$2156-$E$2156:F$2156))+($D$2110+$D$2140*$D$2109)*F2157*SUMPRODUCT($E$2148:F$2148,(1+$D$2114)^(F$2156-$E$2156:F$2156))</f>
        <v>15</v>
      </c>
      <c r="G2175" s="40" t="n">
        <f aca="false">IF(G$2156&gt;=$D$2106,($D$2108+$D$2107*$D$2109)*(1+$D$2114)^(G$2156-$D$2106)*G2157,0)+($D$2108+$D$2139*$D$2109)*G2157*SUMPRODUCT($E$2147:G$2147,(1+$D$2114)^(G$2156-$E$2156:G$2156))+($D$2110+$D$2140*$D$2109)*G2157*SUMPRODUCT($E$2148:G$2148,(1+$D$2114)^(G$2156-$E$2156:G$2156))</f>
        <v>19.83515625</v>
      </c>
      <c r="H2175" s="40" t="n">
        <f aca="false">IF(H$2156&gt;=$D$2106,($D$2108+$D$2107*$D$2109)*(1+$D$2114)^(H$2156-$D$2106)*H2157,0)+($D$2108+$D$2139*$D$2109)*H2157*SUMPRODUCT($E$2147:H$2147,(1+$D$2114)^(H$2156-$E$2156:H$2156))+($D$2110+$D$2140*$D$2109)*H2157*SUMPRODUCT($E$2148:H$2148,(1+$D$2114)^(H$2156-$E$2156:H$2156))</f>
        <v>36.8896656605114</v>
      </c>
      <c r="I2175" s="40" t="n">
        <f aca="false">IF(I$2156&gt;=$D$2106,($D$2108+$D$2107*$D$2109)*(1+$D$2114)^(I$2156-$D$2106)*I2157,0)+($D$2108+$D$2139*$D$2109)*I2157*SUMPRODUCT($E$2147:I$2147,(1+$D$2114)^(I$2156-$E$2156:I$2156))+($D$2110+$D$2140*$D$2109)*I2157*SUMPRODUCT($E$2148:I$2148,(1+$D$2114)^(I$2156-$E$2156:I$2156))</f>
        <v>48.3427283163175</v>
      </c>
      <c r="J2175" s="40" t="n">
        <f aca="false">IF(J$2156&gt;=$D$2106,($D$2108+$D$2107*$D$2109)*(1+$D$2114)^(J$2156-$D$2106)*J2157,0)+($D$2108+$D$2139*$D$2109)*J2157*SUMPRODUCT($E$2147:J$2147,(1+$D$2114)^(J$2156-$E$2156:J$2156))+($D$2110+$D$2140*$D$2109)*J2157*SUMPRODUCT($E$2148:J$2148,(1+$D$2114)^(J$2156-$E$2156:J$2156))</f>
        <v>74.6329671070812</v>
      </c>
      <c r="K2175" s="23"/>
      <c r="L2175" s="49" t="s">
        <v>628</v>
      </c>
    </row>
    <row r="2176" customFormat="false" ht="15" hidden="true" customHeight="false" outlineLevel="1" collapsed="false">
      <c r="A2176" s="19" t="s">
        <v>629</v>
      </c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</row>
    <row r="2177" customFormat="false" ht="15" hidden="true" customHeight="false" outlineLevel="1" collapsed="false">
      <c r="A2177" s="20" t="n">
        <v>68</v>
      </c>
      <c r="B2177" s="6" t="s">
        <v>630</v>
      </c>
      <c r="C2177" s="20" t="s">
        <v>53</v>
      </c>
      <c r="D2177" s="23"/>
      <c r="E2177" s="40" t="n">
        <f aca="false">E2149+E2150+E2151+E2152+E2153+E2154</f>
        <v>2</v>
      </c>
      <c r="F2177" s="40" t="n">
        <f aca="false">F2149+F2150+F2151+F2152+F2153+F2154</f>
        <v>4</v>
      </c>
      <c r="G2177" s="40" t="n">
        <f aca="false">G2149+G2150+G2151+G2152+G2153+G2154</f>
        <v>5</v>
      </c>
      <c r="H2177" s="40" t="n">
        <f aca="false">H2149+H2150+H2151+H2152+H2153+H2154</f>
        <v>6</v>
      </c>
      <c r="I2177" s="40" t="n">
        <f aca="false">I2149+I2150+I2151+I2152+I2153+I2154</f>
        <v>7</v>
      </c>
      <c r="J2177" s="40" t="n">
        <f aca="false">J2149+J2150+J2151+J2152+J2153+J2154</f>
        <v>8</v>
      </c>
      <c r="K2177" s="23"/>
      <c r="L2177" s="49" t="s">
        <v>631</v>
      </c>
    </row>
    <row r="2178" customFormat="false" ht="15" hidden="true" customHeight="false" outlineLevel="1" collapsed="false">
      <c r="A2178" s="20" t="n">
        <v>69</v>
      </c>
      <c r="B2178" s="6" t="s">
        <v>632</v>
      </c>
      <c r="C2178" s="20" t="s">
        <v>53</v>
      </c>
      <c r="D2178" s="23"/>
      <c r="E2178" s="23"/>
      <c r="F2178" s="40" t="n">
        <f aca="false">MAX(0,F2177-E2177)</f>
        <v>2</v>
      </c>
      <c r="G2178" s="40" t="n">
        <f aca="false">MAX(0,G2177-F2177)</f>
        <v>1</v>
      </c>
      <c r="H2178" s="40" t="n">
        <f aca="false">MAX(0,H2177-G2177)</f>
        <v>1</v>
      </c>
      <c r="I2178" s="40" t="n">
        <f aca="false">MAX(0,I2177-H2177)</f>
        <v>1</v>
      </c>
      <c r="J2178" s="40" t="n">
        <f aca="false">MAX(0,J2177-I2177)</f>
        <v>1</v>
      </c>
      <c r="K2178" s="23"/>
      <c r="L2178" s="49" t="s">
        <v>633</v>
      </c>
    </row>
    <row r="2179" customFormat="false" ht="15" hidden="true" customHeight="false" outlineLevel="1" collapsed="false">
      <c r="A2179" s="20" t="n">
        <v>70</v>
      </c>
      <c r="B2179" s="6" t="s">
        <v>634</v>
      </c>
      <c r="C2179" s="20" t="s">
        <v>71</v>
      </c>
      <c r="D2179" s="23"/>
      <c r="E2179" s="23"/>
      <c r="F2179" s="41" t="n">
        <f aca="false">$D$2141*12/1000*F2159</f>
        <v>2.4</v>
      </c>
      <c r="G2179" s="41" t="n">
        <f aca="false">$D$2141*12/1000*G2159</f>
        <v>2.568</v>
      </c>
      <c r="H2179" s="41" t="n">
        <f aca="false">$D$2141*12/1000*H2159</f>
        <v>2.74776</v>
      </c>
      <c r="I2179" s="41" t="n">
        <f aca="false">$D$2141*12/1000*I2159</f>
        <v>2.9401032</v>
      </c>
      <c r="J2179" s="41" t="n">
        <f aca="false">$D$2141*12/1000*J2159</f>
        <v>3.145910424</v>
      </c>
      <c r="K2179" s="23"/>
      <c r="L2179" s="49" t="s">
        <v>635</v>
      </c>
    </row>
    <row r="2180" customFormat="false" ht="15" hidden="true" customHeight="false" outlineLevel="1" collapsed="false">
      <c r="A2180" s="20" t="n">
        <v>71</v>
      </c>
      <c r="B2180" s="6" t="s">
        <v>636</v>
      </c>
      <c r="C2180" s="20" t="s">
        <v>71</v>
      </c>
      <c r="D2180" s="23"/>
      <c r="E2180" s="23"/>
      <c r="F2180" s="41" t="n">
        <f aca="false">$D$2142*12/1000*F2159</f>
        <v>3.36</v>
      </c>
      <c r="G2180" s="41" t="n">
        <f aca="false">$D$2142*12/1000*G2159</f>
        <v>3.5952</v>
      </c>
      <c r="H2180" s="41" t="n">
        <f aca="false">$D$2142*12/1000*H2159</f>
        <v>3.846864</v>
      </c>
      <c r="I2180" s="41" t="n">
        <f aca="false">$D$2142*12/1000*I2159</f>
        <v>4.11614448</v>
      </c>
      <c r="J2180" s="41" t="n">
        <f aca="false">$D$2142*12/1000*J2159</f>
        <v>4.4042745936</v>
      </c>
      <c r="K2180" s="23"/>
      <c r="L2180" s="49" t="s">
        <v>635</v>
      </c>
    </row>
    <row r="2181" customFormat="false" ht="15" hidden="true" customHeight="false" outlineLevel="1" collapsed="false">
      <c r="A2181" s="20" t="n">
        <v>72</v>
      </c>
      <c r="B2181" s="6" t="s">
        <v>637</v>
      </c>
      <c r="C2181" s="20" t="s">
        <v>71</v>
      </c>
      <c r="D2181" s="23"/>
      <c r="E2181" s="23"/>
      <c r="F2181" s="41" t="n">
        <f aca="false">$D$2143*12/1000*F2159</f>
        <v>2.76</v>
      </c>
      <c r="G2181" s="41" t="n">
        <f aca="false">$D$2143*12/1000*G2159</f>
        <v>2.9532</v>
      </c>
      <c r="H2181" s="41" t="n">
        <f aca="false">$D$2143*12/1000*H2159</f>
        <v>3.159924</v>
      </c>
      <c r="I2181" s="41" t="n">
        <f aca="false">$D$2143*12/1000*I2159</f>
        <v>3.38111868</v>
      </c>
      <c r="J2181" s="41" t="n">
        <f aca="false">$D$2143*12/1000*J2159</f>
        <v>3.6177969876</v>
      </c>
      <c r="K2181" s="23"/>
      <c r="L2181" s="49" t="s">
        <v>635</v>
      </c>
    </row>
    <row r="2182" customFormat="false" ht="15" hidden="true" customHeight="false" outlineLevel="1" collapsed="false">
      <c r="A2182" s="20" t="n">
        <v>73</v>
      </c>
      <c r="B2182" s="6" t="s">
        <v>638</v>
      </c>
      <c r="C2182" s="20" t="s">
        <v>71</v>
      </c>
      <c r="D2182" s="23"/>
      <c r="E2182" s="23"/>
      <c r="F2182" s="41" t="n">
        <f aca="false">$D$2144*12/1000*F2159</f>
        <v>2.64</v>
      </c>
      <c r="G2182" s="41" t="n">
        <f aca="false">$D$2144*12/1000*G2159</f>
        <v>2.8248</v>
      </c>
      <c r="H2182" s="41" t="n">
        <f aca="false">$D$2144*12/1000*H2159</f>
        <v>3.022536</v>
      </c>
      <c r="I2182" s="41" t="n">
        <f aca="false">$D$2144*12/1000*I2159</f>
        <v>3.23411352</v>
      </c>
      <c r="J2182" s="41" t="n">
        <f aca="false">$D$2144*12/1000*J2159</f>
        <v>3.4605014664</v>
      </c>
      <c r="K2182" s="23"/>
      <c r="L2182" s="49" t="s">
        <v>635</v>
      </c>
    </row>
    <row r="2183" customFormat="false" ht="15" hidden="true" customHeight="false" outlineLevel="1" collapsed="false">
      <c r="A2183" s="20" t="n">
        <v>74</v>
      </c>
      <c r="B2183" s="6" t="s">
        <v>639</v>
      </c>
      <c r="C2183" s="20" t="s">
        <v>71</v>
      </c>
      <c r="D2183" s="23"/>
      <c r="E2183" s="23"/>
      <c r="F2183" s="41" t="n">
        <f aca="false">$D$2145*12/1000*F2159</f>
        <v>3</v>
      </c>
      <c r="G2183" s="41" t="n">
        <f aca="false">$D$2145*12/1000*G2159</f>
        <v>3.21</v>
      </c>
      <c r="H2183" s="41" t="n">
        <f aca="false">$D$2145*12/1000*H2159</f>
        <v>3.4347</v>
      </c>
      <c r="I2183" s="41" t="n">
        <f aca="false">$D$2145*12/1000*I2159</f>
        <v>3.675129</v>
      </c>
      <c r="J2183" s="41" t="n">
        <f aca="false">$D$2145*12/1000*J2159</f>
        <v>3.93238803</v>
      </c>
      <c r="K2183" s="23"/>
      <c r="L2183" s="49" t="s">
        <v>635</v>
      </c>
    </row>
    <row r="2184" customFormat="false" ht="15" hidden="true" customHeight="false" outlineLevel="1" collapsed="false">
      <c r="A2184" s="20" t="n">
        <v>75</v>
      </c>
      <c r="B2184" s="6" t="s">
        <v>640</v>
      </c>
      <c r="C2184" s="20" t="s">
        <v>71</v>
      </c>
      <c r="D2184" s="23"/>
      <c r="E2184" s="23"/>
      <c r="F2184" s="41" t="n">
        <f aca="false">$D$2146*12/1000*F2159</f>
        <v>2.64</v>
      </c>
      <c r="G2184" s="41" t="n">
        <f aca="false">$D$2146*12/1000*G2159</f>
        <v>2.8248</v>
      </c>
      <c r="H2184" s="41" t="n">
        <f aca="false">$D$2146*12/1000*H2159</f>
        <v>3.022536</v>
      </c>
      <c r="I2184" s="41" t="n">
        <f aca="false">$D$2146*12/1000*I2159</f>
        <v>3.23411352</v>
      </c>
      <c r="J2184" s="41" t="n">
        <f aca="false">$D$2146*12/1000*J2159</f>
        <v>3.4605014664</v>
      </c>
      <c r="K2184" s="23"/>
      <c r="L2184" s="49" t="s">
        <v>635</v>
      </c>
    </row>
    <row r="2185" customFormat="false" ht="15" hidden="true" customHeight="false" outlineLevel="1" collapsed="false">
      <c r="A2185" s="20" t="n">
        <v>76</v>
      </c>
      <c r="B2185" s="6" t="s">
        <v>641</v>
      </c>
      <c r="C2185" s="20" t="s">
        <v>71</v>
      </c>
      <c r="D2185" s="23"/>
      <c r="E2185" s="23"/>
      <c r="F2185" s="40" t="n">
        <f aca="false">F2149*F2179</f>
        <v>4.8</v>
      </c>
      <c r="G2185" s="40" t="n">
        <f aca="false">G2149*G2179</f>
        <v>5.136</v>
      </c>
      <c r="H2185" s="40" t="n">
        <f aca="false">H2149*H2179</f>
        <v>5.49552</v>
      </c>
      <c r="I2185" s="40" t="n">
        <f aca="false">I2149*I2179</f>
        <v>5.8802064</v>
      </c>
      <c r="J2185" s="40" t="n">
        <f aca="false">J2149*J2179</f>
        <v>6.291820848</v>
      </c>
      <c r="K2185" s="51" t="n">
        <f aca="false">SUM(F2185:J2185)</f>
        <v>27.603547248</v>
      </c>
      <c r="L2185" s="49" t="s">
        <v>642</v>
      </c>
    </row>
    <row r="2186" customFormat="false" ht="15" hidden="true" customHeight="false" outlineLevel="1" collapsed="false">
      <c r="A2186" s="20" t="n">
        <v>77</v>
      </c>
      <c r="B2186" s="6" t="s">
        <v>643</v>
      </c>
      <c r="C2186" s="20" t="s">
        <v>71</v>
      </c>
      <c r="D2186" s="23"/>
      <c r="E2186" s="23"/>
      <c r="F2186" s="40" t="n">
        <f aca="false">F2150*F2180</f>
        <v>3.36</v>
      </c>
      <c r="G2186" s="40" t="n">
        <f aca="false">G2150*G2180</f>
        <v>3.5952</v>
      </c>
      <c r="H2186" s="40" t="n">
        <f aca="false">H2150*H2180</f>
        <v>3.846864</v>
      </c>
      <c r="I2186" s="40" t="n">
        <f aca="false">I2150*I2180</f>
        <v>8.23228896</v>
      </c>
      <c r="J2186" s="40" t="n">
        <f aca="false">J2150*J2180</f>
        <v>8.8085491872</v>
      </c>
      <c r="K2186" s="51" t="n">
        <f aca="false">SUM(F2186:J2186)</f>
        <v>27.8429021472</v>
      </c>
      <c r="L2186" s="49" t="s">
        <v>642</v>
      </c>
    </row>
    <row r="2187" customFormat="false" ht="15" hidden="true" customHeight="false" outlineLevel="1" collapsed="false">
      <c r="A2187" s="20" t="n">
        <v>78</v>
      </c>
      <c r="B2187" s="6" t="s">
        <v>644</v>
      </c>
      <c r="C2187" s="20" t="s">
        <v>71</v>
      </c>
      <c r="D2187" s="23"/>
      <c r="E2187" s="23"/>
      <c r="F2187" s="40" t="n">
        <f aca="false">F2151*F2181</f>
        <v>2.76</v>
      </c>
      <c r="G2187" s="40" t="n">
        <f aca="false">G2151*G2181</f>
        <v>2.9532</v>
      </c>
      <c r="H2187" s="40" t="n">
        <f aca="false">H2151*H2181</f>
        <v>3.159924</v>
      </c>
      <c r="I2187" s="40" t="n">
        <f aca="false">I2151*I2181</f>
        <v>3.38111868</v>
      </c>
      <c r="J2187" s="40" t="n">
        <f aca="false">J2151*J2181</f>
        <v>3.6177969876</v>
      </c>
      <c r="K2187" s="51" t="n">
        <f aca="false">SUM(F2187:J2187)</f>
        <v>15.8720396676</v>
      </c>
      <c r="L2187" s="49" t="s">
        <v>642</v>
      </c>
    </row>
    <row r="2188" customFormat="false" ht="15" hidden="true" customHeight="false" outlineLevel="1" collapsed="false">
      <c r="A2188" s="20" t="n">
        <v>79</v>
      </c>
      <c r="B2188" s="6" t="s">
        <v>645</v>
      </c>
      <c r="C2188" s="20" t="s">
        <v>71</v>
      </c>
      <c r="D2188" s="23"/>
      <c r="E2188" s="23"/>
      <c r="F2188" s="40" t="n">
        <f aca="false">F2152*F2182</f>
        <v>0</v>
      </c>
      <c r="G2188" s="40" t="n">
        <f aca="false">G2152*G2182</f>
        <v>2.8248</v>
      </c>
      <c r="H2188" s="40" t="n">
        <f aca="false">H2152*H2182</f>
        <v>3.022536</v>
      </c>
      <c r="I2188" s="40" t="n">
        <f aca="false">I2152*I2182</f>
        <v>3.23411352</v>
      </c>
      <c r="J2188" s="40" t="n">
        <f aca="false">J2152*J2182</f>
        <v>3.4605014664</v>
      </c>
      <c r="K2188" s="51" t="n">
        <f aca="false">SUM(F2188:J2188)</f>
        <v>12.5419509864</v>
      </c>
      <c r="L2188" s="49" t="s">
        <v>642</v>
      </c>
    </row>
    <row r="2189" customFormat="false" ht="15" hidden="true" customHeight="false" outlineLevel="1" collapsed="false">
      <c r="A2189" s="20" t="n">
        <v>80</v>
      </c>
      <c r="B2189" s="6" t="s">
        <v>646</v>
      </c>
      <c r="C2189" s="20" t="s">
        <v>71</v>
      </c>
      <c r="D2189" s="23"/>
      <c r="E2189" s="23"/>
      <c r="F2189" s="40" t="n">
        <f aca="false">F2153*F2183</f>
        <v>0</v>
      </c>
      <c r="G2189" s="40" t="n">
        <f aca="false">G2153*G2183</f>
        <v>0</v>
      </c>
      <c r="H2189" s="40" t="n">
        <f aca="false">H2153*H2183</f>
        <v>3.4347</v>
      </c>
      <c r="I2189" s="40" t="n">
        <f aca="false">I2153*I2183</f>
        <v>3.675129</v>
      </c>
      <c r="J2189" s="40" t="n">
        <f aca="false">J2153*J2183</f>
        <v>3.93238803</v>
      </c>
      <c r="K2189" s="51" t="n">
        <f aca="false">SUM(F2189:J2189)</f>
        <v>11.04221703</v>
      </c>
      <c r="L2189" s="49" t="s">
        <v>642</v>
      </c>
    </row>
    <row r="2190" customFormat="false" ht="15" hidden="true" customHeight="false" outlineLevel="1" collapsed="false">
      <c r="A2190" s="20" t="n">
        <v>81</v>
      </c>
      <c r="B2190" s="6" t="s">
        <v>647</v>
      </c>
      <c r="C2190" s="20" t="s">
        <v>71</v>
      </c>
      <c r="D2190" s="23"/>
      <c r="E2190" s="23"/>
      <c r="F2190" s="40" t="n">
        <f aca="false">F2154*F2184</f>
        <v>0</v>
      </c>
      <c r="G2190" s="40" t="n">
        <f aca="false">G2154*G2184</f>
        <v>0</v>
      </c>
      <c r="H2190" s="40" t="n">
        <f aca="false">H2154*H2184</f>
        <v>0</v>
      </c>
      <c r="I2190" s="40" t="n">
        <f aca="false">I2154*I2184</f>
        <v>0</v>
      </c>
      <c r="J2190" s="40" t="n">
        <f aca="false">J2154*J2184</f>
        <v>3.4605014664</v>
      </c>
      <c r="K2190" s="51" t="n">
        <f aca="false">SUM(F2190:J2190)</f>
        <v>3.4605014664</v>
      </c>
      <c r="L2190" s="49" t="s">
        <v>642</v>
      </c>
    </row>
    <row r="2191" customFormat="false" ht="15" hidden="true" customHeight="false" outlineLevel="1" collapsed="false">
      <c r="A2191" s="20" t="n">
        <v>82</v>
      </c>
      <c r="B2191" s="6" t="s">
        <v>648</v>
      </c>
      <c r="C2191" s="20" t="s">
        <v>71</v>
      </c>
      <c r="D2191" s="23"/>
      <c r="E2191" s="23"/>
      <c r="F2191" s="40" t="n">
        <f aca="false">F2185+F2186+F2187+F2188+F2189+F2190</f>
        <v>10.92</v>
      </c>
      <c r="G2191" s="40" t="n">
        <f aca="false">G2185+G2186+G2187+G2188+G2189+G2190</f>
        <v>14.5092</v>
      </c>
      <c r="H2191" s="40" t="n">
        <f aca="false">H2185+H2186+H2187+H2188+H2189+H2190</f>
        <v>18.959544</v>
      </c>
      <c r="I2191" s="40" t="n">
        <f aca="false">I2185+I2186+I2187+I2188+I2189+I2190</f>
        <v>24.40285656</v>
      </c>
      <c r="J2191" s="40" t="n">
        <f aca="false">J2185+J2186+J2187+J2188+J2189+J2190</f>
        <v>29.5715579856</v>
      </c>
      <c r="K2191" s="51" t="n">
        <f aca="false">SUM(F2191:J2191)</f>
        <v>98.3631585456</v>
      </c>
      <c r="L2191" s="49"/>
    </row>
    <row r="2192" customFormat="false" ht="15" hidden="true" customHeight="false" outlineLevel="1" collapsed="false">
      <c r="A2192" s="20" t="n">
        <v>83</v>
      </c>
      <c r="B2192" s="6" t="s">
        <v>649</v>
      </c>
      <c r="C2192" s="20" t="s">
        <v>71</v>
      </c>
      <c r="D2192" s="23"/>
      <c r="E2192" s="23"/>
      <c r="F2192" s="40" t="n">
        <f aca="false">F2149*(MIN(F2179,F2160)*$D$2116+MAX(0,F2179-F2160)*$D$2117+F2179*$D$2118)+F2150*(MIN(F2180,F2160)*$D$2116+MAX(0,F2180-F2160)*$D$2117+F2180*$D$2118)+F2151*(MIN(F2181,F2160)*$D$2116+MAX(0,F2181-F2160)*$D$2117+F2181*$D$2118)+F2152*(MIN(F2182,F2160)*$D$2116+MAX(0,F2182-F2160)*$D$2117+F2182*$D$2118)+F2153*(MIN(F2183,F2160)*$D$2116+MAX(0,F2183-F2160)*$D$2117+F2183*$D$2118)+F2154*(MIN(F2184,F2160)*$D$2116+MAX(0,F2184-F2160)*$D$2117+F2184*$D$2118)</f>
        <v>1.64928168</v>
      </c>
      <c r="G2192" s="40" t="n">
        <f aca="false">G2149*(MIN(G2179,G2160)*$D$2116+MAX(0,G2179-G2160)*$D$2117+G2179*$D$2118)+G2150*(MIN(G2180,G2160)*$D$2116+MAX(0,G2180-G2160)*$D$2117+G2180*$D$2118)+G2151*(MIN(G2181,G2160)*$D$2116+MAX(0,G2181-G2160)*$D$2117+G2181*$D$2118)+G2152*(MIN(G2182,G2160)*$D$2116+MAX(0,G2182-G2160)*$D$2117+G2182*$D$2118)+G2153*(MIN(G2183,G2160)*$D$2116+MAX(0,G2183-G2160)*$D$2117+G2183*$D$2118)+G2154*(MIN(G2184,G2160)*$D$2116+MAX(0,G2184-G2160)*$D$2117+G2184*$D$2118)</f>
        <v>2.1964818144</v>
      </c>
      <c r="H2192" s="40" t="n">
        <f aca="false">H2149*(MIN(H2179,H2160)*$D$2116+MAX(0,H2179-H2160)*$D$2117+H2179*$D$2118)+H2150*(MIN(H2180,H2160)*$D$2116+MAX(0,H2180-H2160)*$D$2117+H2180*$D$2118)+H2151*(MIN(H2181,H2160)*$D$2116+MAX(0,H2181-H2160)*$D$2117+H2181*$D$2118)+H2152*(MIN(H2182,H2160)*$D$2116+MAX(0,H2182-H2160)*$D$2117+H2182*$D$2118)+H2153*(MIN(H2183,H2160)*$D$2116+MAX(0,H2183-H2160)*$D$2117+H2183*$D$2118)+H2154*(MIN(H2184,H2160)*$D$2116+MAX(0,H2184-H2160)*$D$2117+H2184*$D$2118)</f>
        <v>2.874881223552</v>
      </c>
      <c r="I2192" s="40" t="n">
        <f aca="false">I2149*(MIN(I2179,I2160)*$D$2116+MAX(0,I2179-I2160)*$D$2117+I2179*$D$2118)+I2150*(MIN(I2180,I2160)*$D$2116+MAX(0,I2180-I2160)*$D$2117+I2180*$D$2118)+I2151*(MIN(I2181,I2160)*$D$2116+MAX(0,I2181-I2160)*$D$2117+I2181*$D$2118)+I2152*(MIN(I2182,I2160)*$D$2116+MAX(0,I2182-I2160)*$D$2117+I2182*$D$2118)+I2153*(MIN(I2183,I2160)*$D$2116+MAX(0,I2183-I2160)*$D$2117+I2183*$D$2118)+I2154*(MIN(I2184,I2160)*$D$2116+MAX(0,I2184-I2160)*$D$2117+I2184*$D$2118)</f>
        <v>3.69987351263232</v>
      </c>
      <c r="J2192" s="40" t="n">
        <f aca="false">J2149*(MIN(J2179,J2160)*$D$2116+MAX(0,J2179-J2160)*$D$2117+J2179*$D$2118)+J2150*(MIN(J2180,J2160)*$D$2116+MAX(0,J2180-J2160)*$D$2117+J2180*$D$2118)+J2151*(MIN(J2181,J2160)*$D$2116+MAX(0,J2181-J2160)*$D$2117+J2181*$D$2118)+J2152*(MIN(J2182,J2160)*$D$2116+MAX(0,J2182-J2160)*$D$2117+J2182*$D$2118)+J2153*(MIN(J2183,J2160)*$D$2116+MAX(0,J2183-J2160)*$D$2117+J2183*$D$2118)+J2154*(MIN(J2184,J2160)*$D$2116+MAX(0,J2184-J2160)*$D$2117+J2184*$D$2118)</f>
        <v>4.49085916839491</v>
      </c>
      <c r="K2192" s="51" t="n">
        <f aca="false">SUM(F2192:J2192)</f>
        <v>14.9113773989792</v>
      </c>
      <c r="L2192" s="49" t="s">
        <v>650</v>
      </c>
    </row>
    <row r="2193" customFormat="false" ht="15" hidden="true" customHeight="false" outlineLevel="1" collapsed="false">
      <c r="A2193" s="20" t="n">
        <v>84</v>
      </c>
      <c r="B2193" s="6" t="s">
        <v>651</v>
      </c>
      <c r="C2193" s="20"/>
      <c r="D2193" s="23"/>
      <c r="E2193" s="23"/>
      <c r="F2193" s="38" t="n">
        <f aca="false">IF(AND(F2166&gt;0,E2166=0),1,0)</f>
        <v>1</v>
      </c>
      <c r="G2193" s="38" t="n">
        <f aca="false">IF(AND(G2166&gt;0,F2166=0),1,0)</f>
        <v>0</v>
      </c>
      <c r="H2193" s="38" t="n">
        <f aca="false">IF(AND(H2166&gt;0,G2166=0),1,0)</f>
        <v>0</v>
      </c>
      <c r="I2193" s="38" t="n">
        <f aca="false">IF(AND(I2166&gt;0,H2166=0),1,0)</f>
        <v>0</v>
      </c>
      <c r="J2193" s="38" t="n">
        <f aca="false">IF(AND(J2166&gt;0,I2166=0),1,0)</f>
        <v>0</v>
      </c>
      <c r="K2193" s="23"/>
      <c r="L2193" s="49"/>
    </row>
    <row r="2194" customFormat="false" ht="15" hidden="true" customHeight="false" outlineLevel="1" collapsed="false">
      <c r="A2194" s="20" t="n">
        <v>85</v>
      </c>
      <c r="B2194" s="6" t="s">
        <v>652</v>
      </c>
      <c r="C2194" s="20" t="s">
        <v>71</v>
      </c>
      <c r="D2194" s="23"/>
      <c r="E2194" s="23"/>
      <c r="F2194" s="40" t="n">
        <f aca="false">(F2193*$D$2121+IF(E2166&gt;0,1,0)*$D$2122)*F2158</f>
        <v>2.5</v>
      </c>
      <c r="G2194" s="40" t="n">
        <f aca="false">(G2193*$D$2121+IF(F2166&gt;0,1,0)*$D$2122)*G2158</f>
        <v>1.05</v>
      </c>
      <c r="H2194" s="40" t="n">
        <f aca="false">(H2193*$D$2121+IF(G2166&gt;0,1,0)*$D$2122)*H2158</f>
        <v>1.1025</v>
      </c>
      <c r="I2194" s="40" t="n">
        <f aca="false">(I2193*$D$2121+IF(H2166&gt;0,1,0)*$D$2122)*I2158</f>
        <v>1.157625</v>
      </c>
      <c r="J2194" s="40" t="n">
        <f aca="false">(J2193*$D$2121+IF(I2166&gt;0,1,0)*$D$2122)*J2158</f>
        <v>1.21550625</v>
      </c>
      <c r="K2194" s="51" t="n">
        <f aca="false">SUM(F2194:J2194)</f>
        <v>7.02563125</v>
      </c>
      <c r="L2194" s="49" t="s">
        <v>653</v>
      </c>
    </row>
    <row r="2195" customFormat="false" ht="15" hidden="true" customHeight="false" outlineLevel="1" collapsed="false">
      <c r="A2195" s="20" t="n">
        <v>86</v>
      </c>
      <c r="B2195" s="6" t="s">
        <v>302</v>
      </c>
      <c r="C2195" s="20" t="s">
        <v>71</v>
      </c>
      <c r="D2195" s="23"/>
      <c r="E2195" s="23"/>
      <c r="F2195" s="40" t="n">
        <f aca="false">$D$2123*F2158</f>
        <v>0.6</v>
      </c>
      <c r="G2195" s="40" t="n">
        <f aca="false">$D$2123*G2158</f>
        <v>0.63</v>
      </c>
      <c r="H2195" s="40" t="n">
        <f aca="false">$D$2123*H2158</f>
        <v>0.6615</v>
      </c>
      <c r="I2195" s="40" t="n">
        <f aca="false">$D$2123*I2158</f>
        <v>0.694575</v>
      </c>
      <c r="J2195" s="40" t="n">
        <f aca="false">$D$2123*J2158</f>
        <v>0.72930375</v>
      </c>
      <c r="K2195" s="51" t="n">
        <f aca="false">SUM(F2195:J2195)</f>
        <v>3.31537875</v>
      </c>
      <c r="L2195" s="49"/>
    </row>
    <row r="2196" customFormat="false" ht="15" hidden="true" customHeight="false" outlineLevel="1" collapsed="false">
      <c r="A2196" s="20" t="n">
        <v>87</v>
      </c>
      <c r="B2196" s="6" t="s">
        <v>654</v>
      </c>
      <c r="C2196" s="20" t="s">
        <v>71</v>
      </c>
      <c r="D2196" s="23"/>
      <c r="E2196" s="23"/>
      <c r="F2196" s="40" t="n">
        <f aca="false">$D$2124*F2177*F2158</f>
        <v>0.6</v>
      </c>
      <c r="G2196" s="40" t="n">
        <f aca="false">$D$2124*G2177*G2158</f>
        <v>0.7875</v>
      </c>
      <c r="H2196" s="40" t="n">
        <f aca="false">$D$2124*H2177*H2158</f>
        <v>0.99225</v>
      </c>
      <c r="I2196" s="40" t="n">
        <f aca="false">$D$2124*I2177*I2158</f>
        <v>1.21550625</v>
      </c>
      <c r="J2196" s="40" t="n">
        <f aca="false">$D$2124*J2177*J2158</f>
        <v>1.4586075</v>
      </c>
      <c r="K2196" s="51" t="n">
        <f aca="false">SUM(F2196:J2196)</f>
        <v>5.05386375</v>
      </c>
      <c r="L2196" s="49" t="s">
        <v>655</v>
      </c>
    </row>
    <row r="2197" customFormat="false" ht="15" hidden="true" customHeight="false" outlineLevel="1" collapsed="false">
      <c r="A2197" s="20" t="n">
        <v>88</v>
      </c>
      <c r="B2197" s="6" t="s">
        <v>656</v>
      </c>
      <c r="C2197" s="20" t="s">
        <v>71</v>
      </c>
      <c r="D2197" s="23"/>
      <c r="E2197" s="23"/>
      <c r="F2197" s="40" t="n">
        <f aca="false">($D$2125+$D$2126*F2167)*F2158</f>
        <v>1.4</v>
      </c>
      <c r="G2197" s="40" t="n">
        <f aca="false">($D$2125+$D$2126*G2167)*G2158</f>
        <v>1.47</v>
      </c>
      <c r="H2197" s="40" t="n">
        <f aca="false">($D$2125+$D$2126*H2167)*H2158</f>
        <v>2.4255</v>
      </c>
      <c r="I2197" s="40" t="n">
        <f aca="false">($D$2125+$D$2126*I2167)*I2158</f>
        <v>2.083725</v>
      </c>
      <c r="J2197" s="40" t="n">
        <f aca="false">($D$2125+$D$2126*J2167)*J2158</f>
        <v>3.16031625</v>
      </c>
      <c r="K2197" s="51" t="n">
        <f aca="false">SUM(F2197:J2197)</f>
        <v>10.53954125</v>
      </c>
      <c r="L2197" s="49" t="s">
        <v>657</v>
      </c>
    </row>
    <row r="2198" customFormat="false" ht="15" hidden="true" customHeight="false" outlineLevel="1" collapsed="false">
      <c r="A2198" s="20" t="n">
        <v>89</v>
      </c>
      <c r="B2198" s="6" t="s">
        <v>658</v>
      </c>
      <c r="C2198" s="20" t="s">
        <v>71</v>
      </c>
      <c r="D2198" s="23"/>
      <c r="E2198" s="23"/>
      <c r="F2198" s="40" t="n">
        <f aca="false">($D$2127+$D$2128*F2177)*F2158</f>
        <v>1.6</v>
      </c>
      <c r="G2198" s="40" t="n">
        <f aca="false">($D$2127+$D$2128*G2177)*G2158</f>
        <v>1.785</v>
      </c>
      <c r="H2198" s="40" t="n">
        <f aca="false">($D$2127+$D$2128*H2177)*H2158</f>
        <v>1.9845</v>
      </c>
      <c r="I2198" s="40" t="n">
        <f aca="false">($D$2127+$D$2128*I2177)*I2158</f>
        <v>2.1994875</v>
      </c>
      <c r="J2198" s="40" t="n">
        <f aca="false">($D$2127+$D$2128*J2177)*J2158</f>
        <v>2.4310125</v>
      </c>
      <c r="K2198" s="51" t="n">
        <f aca="false">SUM(F2198:J2198)</f>
        <v>10</v>
      </c>
      <c r="L2198" s="49" t="s">
        <v>659</v>
      </c>
    </row>
    <row r="2199" customFormat="false" ht="15" hidden="true" customHeight="false" outlineLevel="1" collapsed="false">
      <c r="A2199" s="20" t="n">
        <v>90</v>
      </c>
      <c r="B2199" s="6" t="s">
        <v>660</v>
      </c>
      <c r="C2199" s="20" t="s">
        <v>71</v>
      </c>
      <c r="D2199" s="23"/>
      <c r="E2199" s="23"/>
      <c r="F2199" s="40" t="n">
        <f aca="false">$D$2129*F2178*F2158</f>
        <v>0.5</v>
      </c>
      <c r="G2199" s="40" t="n">
        <f aca="false">$D$2129*G2178*G2158</f>
        <v>0.2625</v>
      </c>
      <c r="H2199" s="40" t="n">
        <f aca="false">$D$2129*H2178*H2158</f>
        <v>0.275625</v>
      </c>
      <c r="I2199" s="40" t="n">
        <f aca="false">$D$2129*I2178*I2158</f>
        <v>0.28940625</v>
      </c>
      <c r="J2199" s="40" t="n">
        <f aca="false">$D$2129*J2178*J2158</f>
        <v>0.3038765625</v>
      </c>
      <c r="K2199" s="51" t="n">
        <f aca="false">SUM(F2199:J2199)</f>
        <v>1.6314078125</v>
      </c>
      <c r="L2199" s="49" t="s">
        <v>661</v>
      </c>
    </row>
    <row r="2200" customFormat="false" ht="15" hidden="true" customHeight="false" outlineLevel="1" collapsed="false">
      <c r="A2200" s="20" t="n">
        <v>91</v>
      </c>
      <c r="B2200" s="6" t="s">
        <v>570</v>
      </c>
      <c r="C2200" s="20" t="s">
        <v>71</v>
      </c>
      <c r="D2200" s="23"/>
      <c r="E2200" s="23"/>
      <c r="F2200" s="40" t="n">
        <f aca="false">IF(F$2156=$F$2156,$D$2130,0)</f>
        <v>0.3</v>
      </c>
      <c r="G2200" s="40" t="n">
        <f aca="false">IF(G$2156=$F$2156,$D$2130,0)</f>
        <v>0</v>
      </c>
      <c r="H2200" s="40" t="n">
        <f aca="false">IF(H$2156=$F$2156,$D$2130,0)</f>
        <v>0</v>
      </c>
      <c r="I2200" s="40" t="n">
        <f aca="false">IF(I$2156=$F$2156,$D$2130,0)</f>
        <v>0</v>
      </c>
      <c r="J2200" s="40" t="n">
        <f aca="false">IF(J$2156=$F$2156,$D$2130,0)</f>
        <v>0</v>
      </c>
      <c r="K2200" s="51" t="n">
        <f aca="false">SUM(F2200:J2200)</f>
        <v>0.3</v>
      </c>
      <c r="L2200" s="49" t="s">
        <v>662</v>
      </c>
    </row>
    <row r="2201" customFormat="false" ht="15" hidden="true" customHeight="false" outlineLevel="1" collapsed="false">
      <c r="A2201" s="20" t="n">
        <v>92</v>
      </c>
      <c r="B2201" s="6" t="s">
        <v>663</v>
      </c>
      <c r="C2201" s="20" t="s">
        <v>71</v>
      </c>
      <c r="D2201" s="23"/>
      <c r="E2201" s="23"/>
      <c r="F2201" s="40" t="n">
        <f aca="false">F2191+F2192+F2194+F2195+F2196+F2197+F2198+F2199+F2200</f>
        <v>20.06928168</v>
      </c>
      <c r="G2201" s="40" t="n">
        <f aca="false">G2191+G2192+G2194+G2195+G2196+G2197+G2198+G2199+G2200</f>
        <v>22.6906818144</v>
      </c>
      <c r="H2201" s="40" t="n">
        <f aca="false">H2191+H2192+H2194+H2195+H2196+H2197+H2198+H2199+H2200</f>
        <v>29.276300223552</v>
      </c>
      <c r="I2201" s="40" t="n">
        <f aca="false">I2191+I2192+I2194+I2195+I2196+I2197+I2198+I2199+I2200</f>
        <v>35.7430550726323</v>
      </c>
      <c r="J2201" s="40" t="n">
        <f aca="false">J2191+J2192+J2194+J2195+J2196+J2197+J2198+J2199+J2200</f>
        <v>43.3610399664949</v>
      </c>
      <c r="K2201" s="51" t="n">
        <f aca="false">SUM(F2201:J2201)</f>
        <v>151.140358757079</v>
      </c>
      <c r="L2201" s="49"/>
    </row>
    <row r="2202" customFormat="false" ht="15" hidden="true" customHeight="false" outlineLevel="1" collapsed="false">
      <c r="A2202" s="20" t="n">
        <v>93</v>
      </c>
      <c r="B2202" s="6" t="s">
        <v>329</v>
      </c>
      <c r="C2202" s="20" t="s">
        <v>71</v>
      </c>
      <c r="D2202" s="23"/>
      <c r="E2202" s="23"/>
      <c r="F2202" s="40" t="n">
        <f aca="false">F2201*$D$2132</f>
        <v>2.006928168</v>
      </c>
      <c r="G2202" s="40" t="n">
        <f aca="false">G2201*$D$2132</f>
        <v>2.26906818144</v>
      </c>
      <c r="H2202" s="40" t="n">
        <f aca="false">H2201*$D$2132</f>
        <v>2.9276300223552</v>
      </c>
      <c r="I2202" s="40" t="n">
        <f aca="false">I2201*$D$2132</f>
        <v>3.57430550726323</v>
      </c>
      <c r="J2202" s="40" t="n">
        <f aca="false">J2201*$D$2132</f>
        <v>4.33610399664949</v>
      </c>
      <c r="K2202" s="51" t="n">
        <f aca="false">SUM(F2202:J2202)</f>
        <v>15.1140358757079</v>
      </c>
      <c r="L2202" s="49"/>
    </row>
    <row r="2203" customFormat="false" ht="15" hidden="true" customHeight="false" outlineLevel="1" collapsed="false">
      <c r="A2203" s="20" t="n">
        <v>94</v>
      </c>
      <c r="B2203" s="6" t="s">
        <v>664</v>
      </c>
      <c r="C2203" s="20" t="s">
        <v>71</v>
      </c>
      <c r="D2203" s="23"/>
      <c r="E2203" s="23"/>
      <c r="F2203" s="40" t="n">
        <f aca="false">F2201+F2202</f>
        <v>22.076209848</v>
      </c>
      <c r="G2203" s="40" t="n">
        <f aca="false">G2201+G2202</f>
        <v>24.95974999584</v>
      </c>
      <c r="H2203" s="40" t="n">
        <f aca="false">H2201+H2202</f>
        <v>32.2039302459072</v>
      </c>
      <c r="I2203" s="40" t="n">
        <f aca="false">I2201+I2202</f>
        <v>39.3173605798956</v>
      </c>
      <c r="J2203" s="40" t="n">
        <f aca="false">J2201+J2202</f>
        <v>47.6971439631444</v>
      </c>
      <c r="K2203" s="51" t="n">
        <f aca="false">SUM(F2203:J2203)</f>
        <v>166.254394632787</v>
      </c>
      <c r="L2203" s="49"/>
    </row>
    <row r="2204" customFormat="false" ht="15" hidden="true" customHeight="false" outlineLevel="1" collapsed="false">
      <c r="A2204" s="19" t="s">
        <v>665</v>
      </c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</row>
    <row r="2205" customFormat="false" ht="15" hidden="true" customHeight="false" outlineLevel="1" collapsed="false">
      <c r="A2205" s="20" t="n">
        <v>95</v>
      </c>
      <c r="B2205" s="6" t="s">
        <v>666</v>
      </c>
      <c r="C2205" s="20" t="s">
        <v>71</v>
      </c>
      <c r="D2205" s="23"/>
      <c r="E2205" s="23"/>
      <c r="F2205" s="40" t="n">
        <f aca="false">F2174-F2203</f>
        <v>-14.076209848</v>
      </c>
      <c r="G2205" s="40" t="n">
        <f aca="false">G2174-G2203</f>
        <v>-7.10974999584</v>
      </c>
      <c r="H2205" s="40" t="n">
        <f aca="false">H2174-H2203</f>
        <v>1.8529838165928</v>
      </c>
      <c r="I2205" s="40" t="n">
        <f aca="false">I2174-I2203</f>
        <v>4.04728836364139</v>
      </c>
      <c r="J2205" s="40" t="n">
        <f aca="false">J2174-J2203</f>
        <v>20.0798082689889</v>
      </c>
      <c r="K2205" s="51" t="n">
        <f aca="false">SUM(F2205:J2205)</f>
        <v>4.79412060538312</v>
      </c>
      <c r="L2205" s="49" t="s">
        <v>667</v>
      </c>
    </row>
    <row r="2206" customFormat="false" ht="15" hidden="true" customHeight="false" outlineLevel="1" collapsed="false">
      <c r="A2206" s="20" t="n">
        <v>96</v>
      </c>
      <c r="B2206" s="6" t="s">
        <v>668</v>
      </c>
      <c r="C2206" s="20" t="s">
        <v>68</v>
      </c>
      <c r="D2206" s="23"/>
      <c r="E2206" s="23"/>
      <c r="F2206" s="44" t="n">
        <f aca="false">IF(F2174&gt;0,F2205/F2174,0)</f>
        <v>-1.759526231</v>
      </c>
      <c r="G2206" s="44" t="n">
        <f aca="false">IF(G2174&gt;0,G2205/G2174,0)</f>
        <v>-0.398305321895798</v>
      </c>
      <c r="H2206" s="44" t="n">
        <f aca="false">IF(H2174&gt;0,H2205/H2174,0)</f>
        <v>0.0544084473770075</v>
      </c>
      <c r="I2206" s="44" t="n">
        <f aca="false">IF(I2174&gt;0,I2205/I2174,0)</f>
        <v>0.0933315145456653</v>
      </c>
      <c r="J2206" s="44" t="n">
        <f aca="false">IF(J2174&gt;0,J2205/J2174,0)</f>
        <v>0.296263074801835</v>
      </c>
      <c r="K2206" s="23"/>
      <c r="L2206" s="49"/>
    </row>
    <row r="2207" customFormat="false" ht="15" hidden="true" customHeight="false" outlineLevel="1" collapsed="false">
      <c r="A2207" s="20" t="n">
        <v>97</v>
      </c>
      <c r="B2207" s="6" t="s">
        <v>669</v>
      </c>
      <c r="C2207" s="20" t="s">
        <v>71</v>
      </c>
      <c r="D2207" s="23"/>
      <c r="E2207" s="23"/>
      <c r="F2207" s="40" t="n">
        <f aca="false">E2211</f>
        <v>0</v>
      </c>
      <c r="G2207" s="40" t="n">
        <f aca="false">F2211</f>
        <v>14.076209848</v>
      </c>
      <c r="H2207" s="40" t="n">
        <f aca="false">G2211</f>
        <v>21.18595984384</v>
      </c>
      <c r="I2207" s="40" t="n">
        <f aca="false">H2211</f>
        <v>20.2594679355436</v>
      </c>
      <c r="J2207" s="40" t="n">
        <f aca="false">I2211</f>
        <v>18.2358237537229</v>
      </c>
      <c r="K2207" s="23"/>
      <c r="L2207" s="49"/>
    </row>
    <row r="2208" customFormat="false" ht="15" hidden="true" customHeight="false" outlineLevel="1" collapsed="false">
      <c r="A2208" s="20" t="n">
        <v>98</v>
      </c>
      <c r="B2208" s="6" t="s">
        <v>670</v>
      </c>
      <c r="C2208" s="20" t="s">
        <v>71</v>
      </c>
      <c r="D2208" s="23"/>
      <c r="E2208" s="23"/>
      <c r="F2208" s="40" t="n">
        <f aca="false">MIN(F2207,MAX(0,F2205)*$D$2134)</f>
        <v>0</v>
      </c>
      <c r="G2208" s="40" t="n">
        <f aca="false">MIN(G2207,MAX(0,G2205)*$D$2134)</f>
        <v>0</v>
      </c>
      <c r="H2208" s="40" t="n">
        <f aca="false">MIN(H2207,MAX(0,H2205)*$D$2134)</f>
        <v>0.926491908296399</v>
      </c>
      <c r="I2208" s="40" t="n">
        <f aca="false">MIN(I2207,MAX(0,I2205)*$D$2134)</f>
        <v>2.02364418182069</v>
      </c>
      <c r="J2208" s="40" t="n">
        <f aca="false">MIN(J2207,MAX(0,J2205)*$D$2134)</f>
        <v>10.0399041344945</v>
      </c>
      <c r="K2208" s="23"/>
      <c r="L2208" s="49" t="s">
        <v>671</v>
      </c>
    </row>
    <row r="2209" customFormat="false" ht="15" hidden="true" customHeight="false" outlineLevel="1" collapsed="false">
      <c r="A2209" s="20" t="n">
        <v>99</v>
      </c>
      <c r="B2209" s="6" t="s">
        <v>672</v>
      </c>
      <c r="C2209" s="20" t="s">
        <v>71</v>
      </c>
      <c r="D2209" s="23"/>
      <c r="E2209" s="23"/>
      <c r="F2209" s="40" t="n">
        <f aca="false">MAX(0,F2205)-F2208</f>
        <v>0</v>
      </c>
      <c r="G2209" s="40" t="n">
        <f aca="false">MAX(0,G2205)-G2208</f>
        <v>0</v>
      </c>
      <c r="H2209" s="40" t="n">
        <f aca="false">MAX(0,H2205)-H2208</f>
        <v>0.926491908296399</v>
      </c>
      <c r="I2209" s="40" t="n">
        <f aca="false">MAX(0,I2205)-I2208</f>
        <v>2.02364418182069</v>
      </c>
      <c r="J2209" s="40" t="n">
        <f aca="false">MAX(0,J2205)-J2208</f>
        <v>10.0399041344945</v>
      </c>
      <c r="K2209" s="23"/>
      <c r="L2209" s="49"/>
    </row>
    <row r="2210" customFormat="false" ht="15" hidden="true" customHeight="false" outlineLevel="1" collapsed="false">
      <c r="A2210" s="20" t="n">
        <v>100</v>
      </c>
      <c r="B2210" s="6" t="s">
        <v>572</v>
      </c>
      <c r="C2210" s="20" t="s">
        <v>71</v>
      </c>
      <c r="D2210" s="23"/>
      <c r="E2210" s="23"/>
      <c r="F2210" s="40" t="n">
        <f aca="false">F2209*$D$2133</f>
        <v>0</v>
      </c>
      <c r="G2210" s="40" t="n">
        <f aca="false">G2209*$D$2133</f>
        <v>0</v>
      </c>
      <c r="H2210" s="40" t="n">
        <f aca="false">H2209*$D$2133</f>
        <v>0.0463245954148199</v>
      </c>
      <c r="I2210" s="40" t="n">
        <f aca="false">I2209*$D$2133</f>
        <v>0.101182209091035</v>
      </c>
      <c r="J2210" s="40" t="n">
        <f aca="false">J2209*$D$2133</f>
        <v>0.501995206724723</v>
      </c>
      <c r="K2210" s="51" t="n">
        <f aca="false">SUM(F2210:J2210)</f>
        <v>0.649502011230578</v>
      </c>
      <c r="L2210" s="49"/>
    </row>
    <row r="2211" customFormat="false" ht="15" hidden="true" customHeight="false" outlineLevel="1" collapsed="false">
      <c r="A2211" s="20" t="n">
        <v>101</v>
      </c>
      <c r="B2211" s="6" t="s">
        <v>673</v>
      </c>
      <c r="C2211" s="20" t="s">
        <v>71</v>
      </c>
      <c r="D2211" s="23"/>
      <c r="E2211" s="40" t="n">
        <f aca="false">0</f>
        <v>0</v>
      </c>
      <c r="F2211" s="40" t="n">
        <f aca="false">F2207-F2208+MAX(0,-F2205)</f>
        <v>14.076209848</v>
      </c>
      <c r="G2211" s="40" t="n">
        <f aca="false">G2207-G2208+MAX(0,-G2205)</f>
        <v>21.18595984384</v>
      </c>
      <c r="H2211" s="40" t="n">
        <f aca="false">H2207-H2208+MAX(0,-H2205)</f>
        <v>20.2594679355436</v>
      </c>
      <c r="I2211" s="40" t="n">
        <f aca="false">I2207-I2208+MAX(0,-I2205)</f>
        <v>18.2358237537229</v>
      </c>
      <c r="J2211" s="40" t="n">
        <f aca="false">J2207-J2208+MAX(0,-J2205)</f>
        <v>8.19591961922844</v>
      </c>
      <c r="K2211" s="23"/>
      <c r="L2211" s="49"/>
    </row>
    <row r="2212" customFormat="false" ht="15" hidden="true" customHeight="false" outlineLevel="1" collapsed="false">
      <c r="A2212" s="20" t="n">
        <v>102</v>
      </c>
      <c r="B2212" s="6" t="s">
        <v>674</v>
      </c>
      <c r="C2212" s="20" t="s">
        <v>71</v>
      </c>
      <c r="D2212" s="23"/>
      <c r="E2212" s="23"/>
      <c r="F2212" s="40" t="n">
        <f aca="false">F2205-F2210</f>
        <v>-14.076209848</v>
      </c>
      <c r="G2212" s="40" t="n">
        <f aca="false">G2205-G2210</f>
        <v>-7.10974999584</v>
      </c>
      <c r="H2212" s="40" t="n">
        <f aca="false">H2205-H2210</f>
        <v>1.80665922117798</v>
      </c>
      <c r="I2212" s="40" t="n">
        <f aca="false">I2205-I2210</f>
        <v>3.94610615455035</v>
      </c>
      <c r="J2212" s="40" t="n">
        <f aca="false">J2205-J2210</f>
        <v>19.5778130622642</v>
      </c>
      <c r="K2212" s="51" t="n">
        <f aca="false">SUM(F2212:J2212)</f>
        <v>4.14461859415254</v>
      </c>
      <c r="L2212" s="49"/>
    </row>
    <row r="2213" customFormat="false" ht="15" hidden="true" customHeight="false" outlineLevel="1" collapsed="false">
      <c r="A2213" s="19" t="s">
        <v>675</v>
      </c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</row>
    <row r="2214" customFormat="false" ht="15" hidden="true" customHeight="false" outlineLevel="1" collapsed="false">
      <c r="A2214" s="20" t="n">
        <v>103</v>
      </c>
      <c r="B2214" s="6" t="s">
        <v>676</v>
      </c>
      <c r="C2214" s="20" t="s">
        <v>71</v>
      </c>
      <c r="D2214" s="23"/>
      <c r="E2214" s="40" t="n">
        <f aca="false">0</f>
        <v>0</v>
      </c>
      <c r="F2214" s="40" t="n">
        <f aca="false">F2174*$D$2135/365</f>
        <v>1.57808219178082</v>
      </c>
      <c r="G2214" s="40" t="n">
        <f aca="false">G2174*$D$2135/365</f>
        <v>3.52109589041096</v>
      </c>
      <c r="H2214" s="40" t="n">
        <f aca="false">H2174*$D$2135/365</f>
        <v>6.71807619863014</v>
      </c>
      <c r="I2214" s="40" t="n">
        <f aca="false">I2174*$D$2135/365</f>
        <v>8.55412253132784</v>
      </c>
      <c r="J2214" s="40" t="n">
        <f aca="false">J2174*$D$2135/365</f>
        <v>13.3697001663386</v>
      </c>
      <c r="K2214" s="23"/>
      <c r="L2214" s="49" t="s">
        <v>677</v>
      </c>
    </row>
    <row r="2215" customFormat="false" ht="15" hidden="true" customHeight="false" outlineLevel="1" collapsed="false">
      <c r="A2215" s="20" t="n">
        <v>104</v>
      </c>
      <c r="B2215" s="6" t="s">
        <v>678</v>
      </c>
      <c r="C2215" s="20" t="s">
        <v>71</v>
      </c>
      <c r="D2215" s="23"/>
      <c r="E2215" s="23"/>
      <c r="F2215" s="40" t="n">
        <f aca="false">F2214-E2214</f>
        <v>1.57808219178082</v>
      </c>
      <c r="G2215" s="40" t="n">
        <f aca="false">G2214-F2214</f>
        <v>1.94301369863014</v>
      </c>
      <c r="H2215" s="40" t="n">
        <f aca="false">H2214-G2214</f>
        <v>3.19698030821918</v>
      </c>
      <c r="I2215" s="40" t="n">
        <f aca="false">I2214-H2214</f>
        <v>1.8360463326977</v>
      </c>
      <c r="J2215" s="40" t="n">
        <f aca="false">J2214-I2214</f>
        <v>4.8155776350108</v>
      </c>
      <c r="K2215" s="51" t="n">
        <f aca="false">SUM(F2215:J2215)</f>
        <v>13.3697001663386</v>
      </c>
      <c r="L2215" s="49"/>
    </row>
    <row r="2216" customFormat="false" ht="15" hidden="true" customHeight="false" outlineLevel="1" collapsed="false">
      <c r="A2216" s="20" t="n">
        <v>105</v>
      </c>
      <c r="B2216" s="6" t="s">
        <v>679</v>
      </c>
      <c r="C2216" s="20" t="s">
        <v>71</v>
      </c>
      <c r="D2216" s="23"/>
      <c r="E2216" s="23"/>
      <c r="F2216" s="40" t="n">
        <f aca="false">F2212-F2215</f>
        <v>-15.6542920397808</v>
      </c>
      <c r="G2216" s="40" t="n">
        <f aca="false">G2212-G2215</f>
        <v>-9.05276369447014</v>
      </c>
      <c r="H2216" s="40" t="n">
        <f aca="false">H2212-H2215</f>
        <v>-1.3903210870412</v>
      </c>
      <c r="I2216" s="40" t="n">
        <f aca="false">I2212-I2215</f>
        <v>2.11005982185265</v>
      </c>
      <c r="J2216" s="40" t="n">
        <f aca="false">J2212-J2215</f>
        <v>14.7622354272534</v>
      </c>
      <c r="K2216" s="51" t="n">
        <f aca="false">SUM(F2216:J2216)</f>
        <v>-9.22508157218609</v>
      </c>
      <c r="L2216" s="49" t="s">
        <v>680</v>
      </c>
    </row>
    <row r="2217" customFormat="false" ht="15" hidden="true" customHeight="false" outlineLevel="1" collapsed="false">
      <c r="A2217" s="20" t="n">
        <v>106</v>
      </c>
      <c r="B2217" s="6" t="s">
        <v>93</v>
      </c>
      <c r="C2217" s="20" t="s">
        <v>71</v>
      </c>
      <c r="D2217" s="23"/>
      <c r="E2217" s="40" t="n">
        <f aca="false">0</f>
        <v>0</v>
      </c>
      <c r="F2217" s="40" t="n">
        <f aca="false">E2217+F2216</f>
        <v>-15.6542920397808</v>
      </c>
      <c r="G2217" s="40" t="n">
        <f aca="false">F2217+G2216</f>
        <v>-24.707055734251</v>
      </c>
      <c r="H2217" s="40" t="n">
        <f aca="false">G2217+H2216</f>
        <v>-26.0973768212922</v>
      </c>
      <c r="I2217" s="40" t="n">
        <f aca="false">H2217+I2216</f>
        <v>-23.9873169994395</v>
      </c>
      <c r="J2217" s="40" t="n">
        <f aca="false">I2217+J2216</f>
        <v>-9.22508157218609</v>
      </c>
      <c r="K2217" s="23"/>
      <c r="L2217" s="49" t="s">
        <v>681</v>
      </c>
    </row>
    <row r="2218" customFormat="false" ht="15" hidden="true" customHeight="false" outlineLevel="1" collapsed="false">
      <c r="A2218" s="20" t="n">
        <v>107</v>
      </c>
      <c r="B2218" s="6" t="s">
        <v>682</v>
      </c>
      <c r="C2218" s="20"/>
      <c r="D2218" s="23"/>
      <c r="E2218" s="23"/>
      <c r="F2218" s="53" t="n">
        <f aca="false">1/(1+$D$2136)^(F$2156-$E$2156)</f>
        <v>0.769230769230769</v>
      </c>
      <c r="G2218" s="53" t="n">
        <f aca="false">1/(1+$D$2136)^(G$2156-$E$2156)</f>
        <v>0.591715976331361</v>
      </c>
      <c r="H2218" s="53" t="n">
        <f aca="false">1/(1+$D$2136)^(H$2156-$E$2156)</f>
        <v>0.455166135639508</v>
      </c>
      <c r="I2218" s="53" t="n">
        <f aca="false">1/(1+$D$2136)^(I$2156-$E$2156)</f>
        <v>0.350127796645776</v>
      </c>
      <c r="J2218" s="53" t="n">
        <f aca="false">1/(1+$D$2136)^(J$2156-$E$2156)</f>
        <v>0.269329074342904</v>
      </c>
      <c r="K2218" s="23"/>
      <c r="L2218" s="49" t="s">
        <v>683</v>
      </c>
    </row>
    <row r="2219" customFormat="false" ht="15" hidden="true" customHeight="false" outlineLevel="1" collapsed="false">
      <c r="A2219" s="20" t="n">
        <v>108</v>
      </c>
      <c r="B2219" s="6" t="s">
        <v>684</v>
      </c>
      <c r="C2219" s="20" t="s">
        <v>71</v>
      </c>
      <c r="D2219" s="23"/>
      <c r="E2219" s="23"/>
      <c r="F2219" s="40" t="n">
        <f aca="false">F2216*F2218</f>
        <v>-12.0417631075237</v>
      </c>
      <c r="G2219" s="40" t="n">
        <f aca="false">G2216*G2218</f>
        <v>-5.35666490797049</v>
      </c>
      <c r="H2219" s="40" t="n">
        <f aca="false">H2216*H2218</f>
        <v>-0.632827076486664</v>
      </c>
      <c r="I2219" s="40" t="n">
        <f aca="false">I2216*I2218</f>
        <v>0.738790596216047</v>
      </c>
      <c r="J2219" s="40" t="n">
        <f aca="false">J2216*J2218</f>
        <v>3.97589920285419</v>
      </c>
      <c r="K2219" s="51" t="n">
        <f aca="false">SUM(F2219:J2219)</f>
        <v>-13.3165652929106</v>
      </c>
      <c r="L2219" s="49"/>
    </row>
    <row r="2220" customFormat="false" ht="15" hidden="true" customHeight="false" outlineLevel="1" collapsed="false">
      <c r="A2220" s="20" t="n">
        <v>109</v>
      </c>
      <c r="B2220" s="6" t="s">
        <v>685</v>
      </c>
      <c r="C2220" s="20" t="s">
        <v>71</v>
      </c>
      <c r="D2220" s="23"/>
      <c r="E2220" s="23"/>
      <c r="F2220" s="40" t="n">
        <f aca="false">IF(F$2156=$J$2156,MAX(0,F2216)*(1+$D$2137)/($D$2136-$D$2137),0)</f>
        <v>0</v>
      </c>
      <c r="G2220" s="40" t="n">
        <f aca="false">IF(G$2156=$J$2156,MAX(0,G2216)*(1+$D$2137)/($D$2136-$D$2137),0)</f>
        <v>0</v>
      </c>
      <c r="H2220" s="40" t="n">
        <f aca="false">IF(H$2156=$J$2156,MAX(0,H2216)*(1+$D$2137)/($D$2136-$D$2137),0)</f>
        <v>0</v>
      </c>
      <c r="I2220" s="40" t="n">
        <f aca="false">IF(I$2156=$J$2156,MAX(0,I2216)*(1+$D$2137)/($D$2136-$D$2137),0)</f>
        <v>0</v>
      </c>
      <c r="J2220" s="40" t="n">
        <f aca="false">IF(J$2156=$J$2156,MAX(0,J2216)*(1+$D$2137)/($D$2136-$D$2137),0)</f>
        <v>59.0489417090137</v>
      </c>
      <c r="K2220" s="23"/>
      <c r="L2220" s="49" t="s">
        <v>686</v>
      </c>
    </row>
    <row r="2221" customFormat="false" ht="15" hidden="true" customHeight="false" outlineLevel="1" collapsed="false">
      <c r="A2221" s="20" t="n">
        <v>110</v>
      </c>
      <c r="B2221" s="6" t="s">
        <v>687</v>
      </c>
      <c r="C2221" s="20" t="s">
        <v>71</v>
      </c>
      <c r="D2221" s="23"/>
      <c r="E2221" s="23"/>
      <c r="F2221" s="40" t="n">
        <f aca="false">F2220*F2218</f>
        <v>0</v>
      </c>
      <c r="G2221" s="40" t="n">
        <f aca="false">G2220*G2218</f>
        <v>0</v>
      </c>
      <c r="H2221" s="40" t="n">
        <f aca="false">H2220*H2218</f>
        <v>0</v>
      </c>
      <c r="I2221" s="40" t="n">
        <f aca="false">I2220*I2218</f>
        <v>0</v>
      </c>
      <c r="J2221" s="40" t="n">
        <f aca="false">J2220*J2218</f>
        <v>15.9035968114168</v>
      </c>
      <c r="K2221" s="51" t="n">
        <f aca="false">SUM(F2221:J2221)</f>
        <v>15.9035968114168</v>
      </c>
      <c r="L2221" s="49"/>
    </row>
    <row r="2222" customFormat="false" ht="15" hidden="true" customHeight="false" outlineLevel="1" collapsed="false">
      <c r="A2222" s="20" t="n">
        <v>111</v>
      </c>
      <c r="B2222" s="6" t="s">
        <v>688</v>
      </c>
      <c r="C2222" s="20" t="s">
        <v>71</v>
      </c>
      <c r="D2222" s="23"/>
      <c r="E2222" s="23"/>
      <c r="F2222" s="40" t="n">
        <f aca="false">F2216+F2220</f>
        <v>-15.6542920397808</v>
      </c>
      <c r="G2222" s="40" t="n">
        <f aca="false">G2216+G2220</f>
        <v>-9.05276369447014</v>
      </c>
      <c r="H2222" s="40" t="n">
        <f aca="false">H2216+H2220</f>
        <v>-1.3903210870412</v>
      </c>
      <c r="I2222" s="40" t="n">
        <f aca="false">I2216+I2220</f>
        <v>2.11005982185265</v>
      </c>
      <c r="J2222" s="40" t="n">
        <f aca="false">J2216+J2220</f>
        <v>73.8111771362671</v>
      </c>
      <c r="K2222" s="23"/>
      <c r="L2222" s="49" t="s">
        <v>689</v>
      </c>
    </row>
    <row r="2223" customFormat="false" ht="15" hidden="true" customHeight="false" outlineLevel="1" collapsed="false">
      <c r="A2223" s="20" t="n">
        <v>112</v>
      </c>
      <c r="B2223" s="6" t="s">
        <v>690</v>
      </c>
      <c r="C2223" s="20"/>
      <c r="D2223" s="23"/>
      <c r="E2223" s="23"/>
      <c r="F2223" s="52" t="str">
        <f aca="false">IF(AND(F2205&gt;0,COUNTIF($F$2205:F$2205,"&gt;0")=1),F$2156,"")</f>
        <v/>
      </c>
      <c r="G2223" s="52" t="str">
        <f aca="false">IF(AND(G2205&gt;0,COUNTIF($F$2205:G$2205,"&gt;0")=1),G$2156,"")</f>
        <v/>
      </c>
      <c r="H2223" s="52" t="n">
        <f aca="false">IF(AND(H2205&gt;0,COUNTIF($F$2205:H$2205,"&gt;0")=1),H$2156,"")</f>
        <v>2029</v>
      </c>
      <c r="I2223" s="52" t="str">
        <f aca="false">IF(AND(I2205&gt;0,COUNTIF($F$2205:I$2205,"&gt;0")=1),I$2156,"")</f>
        <v/>
      </c>
      <c r="J2223" s="52" t="str">
        <f aca="false">IF(AND(J2205&gt;0,COUNTIF($F$2205:J$2205,"&gt;0")=1),J$2156,"")</f>
        <v/>
      </c>
      <c r="K2223" s="23"/>
      <c r="L2223" s="49" t="s">
        <v>691</v>
      </c>
    </row>
    <row r="2224" customFormat="false" ht="15" hidden="true" customHeight="false" outlineLevel="1" collapsed="false">
      <c r="A2224" s="20" t="n">
        <v>113</v>
      </c>
      <c r="B2224" s="6" t="s">
        <v>692</v>
      </c>
      <c r="C2224" s="20"/>
      <c r="D2224" s="23"/>
      <c r="E2224" s="23"/>
      <c r="F2224" s="52" t="str">
        <f aca="false">IF(AND(F2217&gt;0,COUNTIF($F$2217:F$2217,"&gt;0")=1),F$2156,"")</f>
        <v/>
      </c>
      <c r="G2224" s="52" t="str">
        <f aca="false">IF(AND(G2217&gt;0,COUNTIF($F$2217:G$2217,"&gt;0")=1),G$2156,"")</f>
        <v/>
      </c>
      <c r="H2224" s="52" t="str">
        <f aca="false">IF(AND(H2217&gt;0,COUNTIF($F$2217:H$2217,"&gt;0")=1),H$2156,"")</f>
        <v/>
      </c>
      <c r="I2224" s="52" t="str">
        <f aca="false">IF(AND(I2217&gt;0,COUNTIF($F$2217:I$2217,"&gt;0")=1),I$2156,"")</f>
        <v/>
      </c>
      <c r="J2224" s="52" t="str">
        <f aca="false">IF(AND(J2217&gt;0,COUNTIF($F$2217:J$2217,"&gt;0")=1),J$2156,"")</f>
        <v/>
      </c>
      <c r="K2224" s="23"/>
      <c r="L2224" s="49" t="s">
        <v>691</v>
      </c>
    </row>
    <row r="2225" customFormat="false" ht="15" hidden="true" customHeight="false" outlineLevel="1" collapsed="false">
      <c r="A2225" s="19" t="s">
        <v>693</v>
      </c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</row>
    <row r="2226" customFormat="false" ht="15" hidden="true" customHeight="false" outlineLevel="1" collapsed="false">
      <c r="A2226" s="20" t="n">
        <v>114</v>
      </c>
      <c r="B2226" s="6" t="s">
        <v>70</v>
      </c>
      <c r="C2226" s="20" t="s">
        <v>71</v>
      </c>
      <c r="D2226" s="51" t="n">
        <f aca="false">SUM(F2174:J2174)</f>
        <v>171.04851523817</v>
      </c>
      <c r="E2226" s="23"/>
      <c r="F2226" s="23"/>
      <c r="G2226" s="23"/>
      <c r="H2226" s="23"/>
      <c r="I2226" s="23"/>
      <c r="J2226" s="23"/>
      <c r="K2226" s="23"/>
      <c r="L2226" s="49"/>
    </row>
    <row r="2227" customFormat="false" ht="15" hidden="true" customHeight="false" outlineLevel="1" collapsed="false">
      <c r="A2227" s="20" t="n">
        <v>115</v>
      </c>
      <c r="B2227" s="6" t="s">
        <v>694</v>
      </c>
      <c r="C2227" s="20" t="s">
        <v>71</v>
      </c>
      <c r="D2227" s="51" t="n">
        <f aca="false">J2174</f>
        <v>67.7769522321333</v>
      </c>
      <c r="E2227" s="23"/>
      <c r="F2227" s="23"/>
      <c r="G2227" s="23"/>
      <c r="H2227" s="23"/>
      <c r="I2227" s="23"/>
      <c r="J2227" s="23"/>
      <c r="K2227" s="23"/>
      <c r="L2227" s="49"/>
    </row>
    <row r="2228" customFormat="false" ht="15" hidden="true" customHeight="false" outlineLevel="1" collapsed="false">
      <c r="A2228" s="20" t="n">
        <v>116</v>
      </c>
      <c r="B2228" s="6" t="s">
        <v>695</v>
      </c>
      <c r="C2228" s="20" t="s">
        <v>71</v>
      </c>
      <c r="D2228" s="51" t="n">
        <f aca="false">J2175</f>
        <v>74.6329671070812</v>
      </c>
      <c r="E2228" s="23"/>
      <c r="F2228" s="23"/>
      <c r="G2228" s="23"/>
      <c r="H2228" s="23"/>
      <c r="I2228" s="23"/>
      <c r="J2228" s="23"/>
      <c r="K2228" s="23"/>
      <c r="L2228" s="49"/>
    </row>
    <row r="2229" customFormat="false" ht="15" hidden="true" customHeight="false" outlineLevel="1" collapsed="false">
      <c r="A2229" s="20" t="n">
        <v>117</v>
      </c>
      <c r="B2229" s="6" t="s">
        <v>696</v>
      </c>
      <c r="C2229" s="20" t="s">
        <v>71</v>
      </c>
      <c r="D2229" s="51" t="n">
        <f aca="false">J2205</f>
        <v>20.0798082689889</v>
      </c>
      <c r="E2229" s="23"/>
      <c r="F2229" s="23"/>
      <c r="G2229" s="23"/>
      <c r="H2229" s="23"/>
      <c r="I2229" s="23"/>
      <c r="J2229" s="23"/>
      <c r="K2229" s="23"/>
      <c r="L2229" s="49"/>
    </row>
    <row r="2230" customFormat="false" ht="15" hidden="true" customHeight="false" outlineLevel="1" collapsed="false">
      <c r="A2230" s="20" t="n">
        <v>118</v>
      </c>
      <c r="B2230" s="6" t="s">
        <v>697</v>
      </c>
      <c r="C2230" s="20" t="s">
        <v>76</v>
      </c>
      <c r="D2230" s="54" t="n">
        <f aca="false">J2166</f>
        <v>11</v>
      </c>
      <c r="E2230" s="23"/>
      <c r="F2230" s="23"/>
      <c r="G2230" s="23"/>
      <c r="H2230" s="23"/>
      <c r="I2230" s="23"/>
      <c r="J2230" s="23"/>
      <c r="K2230" s="23"/>
      <c r="L2230" s="49"/>
    </row>
    <row r="2231" customFormat="false" ht="15" hidden="true" customHeight="false" outlineLevel="1" collapsed="false">
      <c r="A2231" s="20" t="n">
        <v>119</v>
      </c>
      <c r="B2231" s="6" t="s">
        <v>698</v>
      </c>
      <c r="C2231" s="20" t="s">
        <v>53</v>
      </c>
      <c r="D2231" s="51" t="n">
        <f aca="false">J2177</f>
        <v>8</v>
      </c>
      <c r="E2231" s="23"/>
      <c r="F2231" s="23"/>
      <c r="G2231" s="23"/>
      <c r="H2231" s="23"/>
      <c r="I2231" s="23"/>
      <c r="J2231" s="23"/>
      <c r="K2231" s="23"/>
      <c r="L2231" s="49"/>
    </row>
    <row r="2232" customFormat="false" ht="15" hidden="true" customHeight="false" outlineLevel="1" collapsed="false">
      <c r="A2232" s="20" t="n">
        <v>120</v>
      </c>
      <c r="B2232" s="6" t="s">
        <v>699</v>
      </c>
      <c r="C2232" s="20" t="s">
        <v>71</v>
      </c>
      <c r="D2232" s="51" t="n">
        <f aca="false">MIN(0,MIN(F2217:J2217))</f>
        <v>-26.0973768212922</v>
      </c>
      <c r="E2232" s="23"/>
      <c r="F2232" s="23"/>
      <c r="G2232" s="23"/>
      <c r="H2232" s="23"/>
      <c r="I2232" s="23"/>
      <c r="J2232" s="23"/>
      <c r="K2232" s="23"/>
      <c r="L2232" s="49"/>
    </row>
    <row r="2233" customFormat="false" ht="15" hidden="true" customHeight="false" outlineLevel="1" collapsed="false">
      <c r="A2233" s="20" t="n">
        <v>121</v>
      </c>
      <c r="B2233" s="6" t="s">
        <v>700</v>
      </c>
      <c r="C2233" s="20" t="s">
        <v>71</v>
      </c>
      <c r="D2233" s="51" t="n">
        <f aca="false">-$D$2232*(1+$D$2138)</f>
        <v>31.3168521855506</v>
      </c>
      <c r="E2233" s="23"/>
      <c r="F2233" s="23"/>
      <c r="G2233" s="23"/>
      <c r="H2233" s="23"/>
      <c r="I2233" s="23"/>
      <c r="J2233" s="23"/>
      <c r="K2233" s="23"/>
      <c r="L2233" s="49"/>
    </row>
    <row r="2234" customFormat="false" ht="15" hidden="true" customHeight="false" outlineLevel="1" collapsed="false">
      <c r="A2234" s="20" t="n">
        <v>122</v>
      </c>
      <c r="B2234" s="6" t="s">
        <v>701</v>
      </c>
      <c r="C2234" s="20" t="s">
        <v>71</v>
      </c>
      <c r="D2234" s="51" t="n">
        <f aca="false">J2217</f>
        <v>-9.22508157218609</v>
      </c>
      <c r="E2234" s="23"/>
      <c r="F2234" s="23"/>
      <c r="G2234" s="23"/>
      <c r="H2234" s="23"/>
      <c r="I2234" s="23"/>
      <c r="J2234" s="23"/>
      <c r="K2234" s="23"/>
      <c r="L2234" s="49"/>
    </row>
    <row r="2235" customFormat="false" ht="15" hidden="true" customHeight="false" outlineLevel="1" collapsed="false">
      <c r="A2235" s="20" t="n">
        <v>123</v>
      </c>
      <c r="B2235" s="6" t="s">
        <v>702</v>
      </c>
      <c r="C2235" s="20" t="s">
        <v>71</v>
      </c>
      <c r="D2235" s="51" t="n">
        <f aca="false">SUM(F2219:J2219)</f>
        <v>-13.3165652929106</v>
      </c>
      <c r="E2235" s="23"/>
      <c r="F2235" s="23"/>
      <c r="G2235" s="23"/>
      <c r="H2235" s="23"/>
      <c r="I2235" s="23"/>
      <c r="J2235" s="23"/>
      <c r="K2235" s="23"/>
      <c r="L2235" s="49"/>
    </row>
    <row r="2236" customFormat="false" ht="15" hidden="true" customHeight="false" outlineLevel="1" collapsed="false">
      <c r="A2236" s="20" t="n">
        <v>124</v>
      </c>
      <c r="B2236" s="6" t="s">
        <v>82</v>
      </c>
      <c r="C2236" s="20" t="s">
        <v>71</v>
      </c>
      <c r="D2236" s="51" t="n">
        <f aca="false">SUM(F2219:J2219)+SUM(F2221:J2221)</f>
        <v>2.58703151850614</v>
      </c>
      <c r="E2236" s="23"/>
      <c r="F2236" s="23"/>
      <c r="G2236" s="23"/>
      <c r="H2236" s="23"/>
      <c r="I2236" s="23"/>
      <c r="J2236" s="23"/>
      <c r="K2236" s="23"/>
      <c r="L2236" s="49"/>
    </row>
    <row r="2237" customFormat="false" ht="15" hidden="true" customHeight="false" outlineLevel="1" collapsed="false">
      <c r="A2237" s="20" t="n">
        <v>125</v>
      </c>
      <c r="B2237" s="6" t="s">
        <v>83</v>
      </c>
      <c r="C2237" s="20" t="s">
        <v>68</v>
      </c>
      <c r="D2237" s="55" t="n">
        <f aca="false">IFERROR(IRR(F2222:J2222),"н/д")</f>
        <v>0.349302020180191</v>
      </c>
      <c r="E2237" s="23"/>
      <c r="F2237" s="23"/>
      <c r="G2237" s="23"/>
      <c r="H2237" s="23"/>
      <c r="I2237" s="23"/>
      <c r="J2237" s="23"/>
      <c r="K2237" s="23"/>
      <c r="L2237" s="49"/>
    </row>
    <row r="2238" customFormat="false" ht="15" hidden="true" customHeight="false" outlineLevel="1" collapsed="false">
      <c r="A2238" s="20" t="n">
        <v>126</v>
      </c>
      <c r="B2238" s="6" t="s">
        <v>13</v>
      </c>
      <c r="C2238" s="20" t="s">
        <v>79</v>
      </c>
      <c r="D2238" s="56" t="n">
        <f aca="false">IF(COUNT(F2223:J2223)=0,"после 2031",MIN(F2223:J2223))</f>
        <v>2029</v>
      </c>
      <c r="E2238" s="23"/>
      <c r="F2238" s="23"/>
      <c r="G2238" s="23"/>
      <c r="H2238" s="23"/>
      <c r="I2238" s="23"/>
      <c r="J2238" s="23"/>
      <c r="K2238" s="23"/>
      <c r="L2238" s="49"/>
    </row>
    <row r="2239" customFormat="false" ht="15" hidden="true" customHeight="false" outlineLevel="1" collapsed="false">
      <c r="A2239" s="20" t="n">
        <v>127</v>
      </c>
      <c r="B2239" s="6" t="s">
        <v>703</v>
      </c>
      <c r="C2239" s="20" t="s">
        <v>79</v>
      </c>
      <c r="D2239" s="56" t="str">
        <f aca="false">IF(COUNT(F2224:J2224)=0,"после 2031",MIN(F2224:J2224))</f>
        <v>после 2031</v>
      </c>
      <c r="E2239" s="23"/>
      <c r="F2239" s="23"/>
      <c r="G2239" s="23"/>
      <c r="H2239" s="23"/>
      <c r="I2239" s="23"/>
      <c r="J2239" s="23"/>
      <c r="K2239" s="23"/>
      <c r="L2239" s="49"/>
    </row>
    <row r="2242" customFormat="false" ht="15" hidden="true" customHeight="false" outlineLevel="1" collapsed="false">
      <c r="A2242" s="57" t="s">
        <v>739</v>
      </c>
    </row>
    <row r="2243" customFormat="false" ht="30" hidden="true" customHeight="true" outlineLevel="1" collapsed="false">
      <c r="A2243" s="4" t="s">
        <v>49</v>
      </c>
      <c r="B2243" s="4" t="s">
        <v>3</v>
      </c>
      <c r="C2243" s="5" t="s">
        <v>50</v>
      </c>
      <c r="D2243" s="5" t="s">
        <v>551</v>
      </c>
      <c r="E2243" s="5" t="s">
        <v>356</v>
      </c>
      <c r="F2243" s="5" t="s">
        <v>86</v>
      </c>
      <c r="G2243" s="5" t="s">
        <v>87</v>
      </c>
      <c r="H2243" s="5" t="s">
        <v>88</v>
      </c>
      <c r="I2243" s="5" t="s">
        <v>89</v>
      </c>
      <c r="J2243" s="5" t="s">
        <v>90</v>
      </c>
      <c r="K2243" s="5" t="s">
        <v>552</v>
      </c>
      <c r="L2243" s="5" t="s">
        <v>393</v>
      </c>
    </row>
    <row r="2244" customFormat="false" ht="15" hidden="true" customHeight="false" outlineLevel="1" collapsed="false">
      <c r="A2244" s="19" t="s">
        <v>553</v>
      </c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</row>
    <row r="2245" customFormat="false" ht="15" hidden="true" customHeight="false" outlineLevel="1" collapsed="false">
      <c r="A2245" s="20" t="n">
        <v>1</v>
      </c>
      <c r="B2245" s="6" t="s">
        <v>554</v>
      </c>
      <c r="C2245" s="20" t="s">
        <v>79</v>
      </c>
      <c r="D2245" s="10" t="n">
        <f aca="false">Допущения!$E$49</f>
        <v>2027</v>
      </c>
      <c r="E2245" s="23"/>
      <c r="F2245" s="23"/>
      <c r="G2245" s="23"/>
      <c r="H2245" s="23"/>
      <c r="I2245" s="23"/>
      <c r="J2245" s="23"/>
      <c r="K2245" s="23"/>
      <c r="L2245" s="49"/>
    </row>
    <row r="2246" customFormat="false" ht="15" hidden="true" customHeight="false" outlineLevel="1" collapsed="false">
      <c r="A2246" s="20" t="n">
        <v>2</v>
      </c>
      <c r="B2246" s="6" t="s">
        <v>555</v>
      </c>
      <c r="C2246" s="20" t="s">
        <v>105</v>
      </c>
      <c r="D2246" s="45" t="n">
        <f aca="false">Допущения!$E$7</f>
        <v>1.8</v>
      </c>
      <c r="E2246" s="23"/>
      <c r="F2246" s="23"/>
      <c r="G2246" s="23"/>
      <c r="H2246" s="23"/>
      <c r="I2246" s="23"/>
      <c r="J2246" s="23"/>
      <c r="K2246" s="23"/>
      <c r="L2246" s="49"/>
    </row>
    <row r="2247" customFormat="false" ht="15" hidden="true" customHeight="false" outlineLevel="1" collapsed="false">
      <c r="A2247" s="20" t="n">
        <v>3</v>
      </c>
      <c r="B2247" s="6" t="s">
        <v>556</v>
      </c>
      <c r="C2247" s="20" t="s">
        <v>55</v>
      </c>
      <c r="D2247" s="9" t="n">
        <f aca="false">Допущения!$E$42</f>
        <v>6</v>
      </c>
      <c r="E2247" s="23"/>
      <c r="F2247" s="23"/>
      <c r="G2247" s="23"/>
      <c r="H2247" s="23"/>
      <c r="I2247" s="23"/>
      <c r="J2247" s="23"/>
      <c r="K2247" s="23"/>
      <c r="L2247" s="49"/>
    </row>
    <row r="2248" customFormat="false" ht="15" hidden="true" customHeight="false" outlineLevel="1" collapsed="false">
      <c r="A2248" s="20" t="n">
        <v>4</v>
      </c>
      <c r="B2248" s="6" t="s">
        <v>557</v>
      </c>
      <c r="C2248" s="20" t="s">
        <v>244</v>
      </c>
      <c r="D2248" s="9" t="n">
        <f aca="false">Допущения!$E$43</f>
        <v>5</v>
      </c>
      <c r="E2248" s="23"/>
      <c r="F2248" s="23"/>
      <c r="G2248" s="23"/>
      <c r="H2248" s="23"/>
      <c r="I2248" s="23"/>
      <c r="J2248" s="23"/>
      <c r="K2248" s="23"/>
      <c r="L2248" s="49"/>
    </row>
    <row r="2249" customFormat="false" ht="15" hidden="true" customHeight="false" outlineLevel="1" collapsed="false">
      <c r="A2249" s="20" t="n">
        <v>5</v>
      </c>
      <c r="B2249" s="6" t="s">
        <v>558</v>
      </c>
      <c r="C2249" s="20" t="s">
        <v>55</v>
      </c>
      <c r="D2249" s="9" t="n">
        <f aca="false">Допущения!$E$44</f>
        <v>1.5</v>
      </c>
      <c r="E2249" s="23"/>
      <c r="F2249" s="23"/>
      <c r="G2249" s="23"/>
      <c r="H2249" s="23"/>
      <c r="I2249" s="23"/>
      <c r="J2249" s="23"/>
      <c r="K2249" s="23"/>
      <c r="L2249" s="49"/>
    </row>
    <row r="2250" customFormat="false" ht="15" hidden="true" customHeight="false" outlineLevel="1" collapsed="false">
      <c r="A2250" s="20" t="n">
        <v>6</v>
      </c>
      <c r="B2250" s="6" t="s">
        <v>559</v>
      </c>
      <c r="C2250" s="20" t="s">
        <v>71</v>
      </c>
      <c r="D2250" s="9" t="n">
        <f aca="false">Допущения!$E$45</f>
        <v>8</v>
      </c>
      <c r="E2250" s="23"/>
      <c r="F2250" s="23"/>
      <c r="G2250" s="23"/>
      <c r="H2250" s="23"/>
      <c r="I2250" s="23"/>
      <c r="J2250" s="23"/>
      <c r="K2250" s="23"/>
      <c r="L2250" s="49"/>
    </row>
    <row r="2251" customFormat="false" ht="15" hidden="true" customHeight="false" outlineLevel="1" collapsed="false">
      <c r="A2251" s="20" t="n">
        <v>7</v>
      </c>
      <c r="B2251" s="6" t="s">
        <v>560</v>
      </c>
      <c r="C2251" s="20" t="s">
        <v>71</v>
      </c>
      <c r="D2251" s="9" t="n">
        <f aca="false">Допущения!$E$46</f>
        <v>2</v>
      </c>
      <c r="E2251" s="23"/>
      <c r="F2251" s="23"/>
      <c r="G2251" s="23"/>
      <c r="H2251" s="23"/>
      <c r="I2251" s="23"/>
      <c r="J2251" s="23"/>
      <c r="K2251" s="23"/>
      <c r="L2251" s="49"/>
    </row>
    <row r="2252" customFormat="false" ht="15" hidden="true" customHeight="false" outlineLevel="1" collapsed="false">
      <c r="A2252" s="20" t="n">
        <v>8</v>
      </c>
      <c r="B2252" s="6" t="s">
        <v>260</v>
      </c>
      <c r="C2252" s="20" t="s">
        <v>261</v>
      </c>
      <c r="D2252" s="22" t="n">
        <f aca="false">Допущения!$E$47</f>
        <v>0.05</v>
      </c>
      <c r="E2252" s="23"/>
      <c r="F2252" s="23"/>
      <c r="G2252" s="23"/>
      <c r="H2252" s="23"/>
      <c r="I2252" s="23"/>
      <c r="J2252" s="23"/>
      <c r="K2252" s="23"/>
      <c r="L2252" s="49"/>
    </row>
    <row r="2253" customFormat="false" ht="15" hidden="true" customHeight="false" outlineLevel="1" collapsed="false">
      <c r="A2253" s="20" t="n">
        <v>9</v>
      </c>
      <c r="B2253" s="6" t="s">
        <v>561</v>
      </c>
      <c r="C2253" s="20" t="s">
        <v>261</v>
      </c>
      <c r="D2253" s="22" t="n">
        <f aca="false">Допущения!$E$48</f>
        <v>0.15</v>
      </c>
      <c r="E2253" s="23"/>
      <c r="F2253" s="23"/>
      <c r="G2253" s="23"/>
      <c r="H2253" s="23"/>
      <c r="I2253" s="23"/>
      <c r="J2253" s="23"/>
      <c r="K2253" s="23"/>
      <c r="L2253" s="49"/>
    </row>
    <row r="2254" customFormat="false" ht="15" hidden="true" customHeight="false" outlineLevel="1" collapsed="false">
      <c r="A2254" s="20" t="n">
        <v>10</v>
      </c>
      <c r="B2254" s="6" t="s">
        <v>274</v>
      </c>
      <c r="C2254" s="20" t="s">
        <v>261</v>
      </c>
      <c r="D2254" s="22" t="n">
        <f aca="false">Допущения!$E$51</f>
        <v>0.07</v>
      </c>
      <c r="E2254" s="23"/>
      <c r="F2254" s="23"/>
      <c r="G2254" s="23"/>
      <c r="H2254" s="23"/>
      <c r="I2254" s="23"/>
      <c r="J2254" s="23"/>
      <c r="K2254" s="23"/>
      <c r="L2254" s="49"/>
    </row>
    <row r="2255" customFormat="false" ht="15" hidden="true" customHeight="false" outlineLevel="1" collapsed="false">
      <c r="A2255" s="20" t="n">
        <v>11</v>
      </c>
      <c r="B2255" s="6" t="s">
        <v>562</v>
      </c>
      <c r="C2255" s="20" t="s">
        <v>68</v>
      </c>
      <c r="D2255" s="22" t="n">
        <f aca="false">Допущения!$E$52</f>
        <v>0.15</v>
      </c>
      <c r="E2255" s="23"/>
      <c r="F2255" s="23"/>
      <c r="G2255" s="23"/>
      <c r="H2255" s="23"/>
      <c r="I2255" s="23"/>
      <c r="J2255" s="23"/>
      <c r="K2255" s="23"/>
      <c r="L2255" s="49"/>
    </row>
    <row r="2256" customFormat="false" ht="15" hidden="true" customHeight="false" outlineLevel="1" collapsed="false">
      <c r="A2256" s="20" t="n">
        <v>12</v>
      </c>
      <c r="B2256" s="6" t="s">
        <v>563</v>
      </c>
      <c r="C2256" s="20" t="s">
        <v>68</v>
      </c>
      <c r="D2256" s="22" t="n">
        <f aca="false">Допущения!$E$53</f>
        <v>0.076</v>
      </c>
      <c r="E2256" s="23"/>
      <c r="F2256" s="23"/>
      <c r="G2256" s="23"/>
      <c r="H2256" s="23"/>
      <c r="I2256" s="23"/>
      <c r="J2256" s="23"/>
      <c r="K2256" s="23"/>
      <c r="L2256" s="49"/>
    </row>
    <row r="2257" customFormat="false" ht="15" hidden="true" customHeight="false" outlineLevel="1" collapsed="false">
      <c r="A2257" s="20" t="n">
        <v>13</v>
      </c>
      <c r="B2257" s="6" t="s">
        <v>284</v>
      </c>
      <c r="C2257" s="20" t="s">
        <v>68</v>
      </c>
      <c r="D2257" s="22" t="n">
        <f aca="false">Допущения!$E$54</f>
        <v>0.002</v>
      </c>
      <c r="E2257" s="23"/>
      <c r="F2257" s="23"/>
      <c r="G2257" s="23"/>
      <c r="H2257" s="23"/>
      <c r="I2257" s="23"/>
      <c r="J2257" s="23"/>
      <c r="K2257" s="23"/>
      <c r="L2257" s="49"/>
    </row>
    <row r="2258" customFormat="false" ht="15" hidden="true" customHeight="false" outlineLevel="1" collapsed="false">
      <c r="A2258" s="20" t="n">
        <v>14</v>
      </c>
      <c r="B2258" s="6" t="s">
        <v>564</v>
      </c>
      <c r="C2258" s="20" t="s">
        <v>55</v>
      </c>
      <c r="D2258" s="50" t="n">
        <f aca="false">Допущения!$E$55</f>
        <v>2.979</v>
      </c>
      <c r="E2258" s="23"/>
      <c r="F2258" s="23"/>
      <c r="G2258" s="23"/>
      <c r="H2258" s="23"/>
      <c r="I2258" s="23"/>
      <c r="J2258" s="23"/>
      <c r="K2258" s="23"/>
      <c r="L2258" s="49"/>
    </row>
    <row r="2259" customFormat="false" ht="15" hidden="true" customHeight="false" outlineLevel="1" collapsed="false">
      <c r="A2259" s="20" t="n">
        <v>15</v>
      </c>
      <c r="B2259" s="6" t="s">
        <v>565</v>
      </c>
      <c r="C2259" s="20" t="s">
        <v>261</v>
      </c>
      <c r="D2259" s="22" t="n">
        <f aca="false">Допущения!$E$56</f>
        <v>0.08</v>
      </c>
      <c r="E2259" s="23"/>
      <c r="F2259" s="23"/>
      <c r="G2259" s="23"/>
      <c r="H2259" s="23"/>
      <c r="I2259" s="23"/>
      <c r="J2259" s="23"/>
      <c r="K2259" s="23"/>
      <c r="L2259" s="49"/>
    </row>
    <row r="2260" customFormat="false" ht="15" hidden="true" customHeight="false" outlineLevel="1" collapsed="false">
      <c r="A2260" s="20" t="n">
        <v>16</v>
      </c>
      <c r="B2260" s="6" t="s">
        <v>566</v>
      </c>
      <c r="C2260" s="20" t="s">
        <v>71</v>
      </c>
      <c r="D2260" s="9" t="n">
        <f aca="false">Допущения!$E$58</f>
        <v>2.5</v>
      </c>
      <c r="E2260" s="23"/>
      <c r="F2260" s="23"/>
      <c r="G2260" s="23"/>
      <c r="H2260" s="23"/>
      <c r="I2260" s="23"/>
      <c r="J2260" s="23"/>
      <c r="K2260" s="23"/>
      <c r="L2260" s="49"/>
    </row>
    <row r="2261" customFormat="false" ht="15" hidden="true" customHeight="false" outlineLevel="1" collapsed="false">
      <c r="A2261" s="20" t="n">
        <v>17</v>
      </c>
      <c r="B2261" s="6" t="s">
        <v>299</v>
      </c>
      <c r="C2261" s="20" t="s">
        <v>55</v>
      </c>
      <c r="D2261" s="9" t="n">
        <f aca="false">Допущения!$E$59</f>
        <v>1</v>
      </c>
      <c r="E2261" s="23"/>
      <c r="F2261" s="23"/>
      <c r="G2261" s="23"/>
      <c r="H2261" s="23"/>
      <c r="I2261" s="23"/>
      <c r="J2261" s="23"/>
      <c r="K2261" s="23"/>
      <c r="L2261" s="49"/>
    </row>
    <row r="2262" customFormat="false" ht="15" hidden="true" customHeight="false" outlineLevel="1" collapsed="false">
      <c r="A2262" s="20" t="n">
        <v>18</v>
      </c>
      <c r="B2262" s="6" t="s">
        <v>302</v>
      </c>
      <c r="C2262" s="20" t="s">
        <v>55</v>
      </c>
      <c r="D2262" s="9" t="n">
        <f aca="false">Допущения!$E$60</f>
        <v>0.6</v>
      </c>
      <c r="E2262" s="23"/>
      <c r="F2262" s="23"/>
      <c r="G2262" s="23"/>
      <c r="H2262" s="23"/>
      <c r="I2262" s="23"/>
      <c r="J2262" s="23"/>
      <c r="K2262" s="23"/>
      <c r="L2262" s="49"/>
    </row>
    <row r="2263" customFormat="false" ht="15" hidden="true" customHeight="false" outlineLevel="1" collapsed="false">
      <c r="A2263" s="20" t="n">
        <v>19</v>
      </c>
      <c r="B2263" s="6" t="s">
        <v>567</v>
      </c>
      <c r="C2263" s="20" t="s">
        <v>55</v>
      </c>
      <c r="D2263" s="45" t="n">
        <f aca="false">Допущения!$E$61</f>
        <v>0.15</v>
      </c>
      <c r="E2263" s="23"/>
      <c r="F2263" s="23"/>
      <c r="G2263" s="23"/>
      <c r="H2263" s="23"/>
      <c r="I2263" s="23"/>
      <c r="J2263" s="23"/>
      <c r="K2263" s="23"/>
      <c r="L2263" s="49"/>
    </row>
    <row r="2264" customFormat="false" ht="15" hidden="true" customHeight="false" outlineLevel="1" collapsed="false">
      <c r="A2264" s="20" t="n">
        <v>20</v>
      </c>
      <c r="B2264" s="6" t="s">
        <v>568</v>
      </c>
      <c r="C2264" s="20" t="s">
        <v>55</v>
      </c>
      <c r="D2264" s="9" t="n">
        <f aca="false">Допущения!$E$62</f>
        <v>1</v>
      </c>
      <c r="E2264" s="23"/>
      <c r="F2264" s="23"/>
      <c r="G2264" s="23"/>
      <c r="H2264" s="23"/>
      <c r="I2264" s="23"/>
      <c r="J2264" s="23"/>
      <c r="K2264" s="23"/>
      <c r="L2264" s="49"/>
    </row>
    <row r="2265" customFormat="false" ht="15" hidden="true" customHeight="false" outlineLevel="1" collapsed="false">
      <c r="A2265" s="20" t="n">
        <v>21</v>
      </c>
      <c r="B2265" s="6" t="s">
        <v>569</v>
      </c>
      <c r="C2265" s="20" t="s">
        <v>71</v>
      </c>
      <c r="D2265" s="9" t="n">
        <f aca="false">Допущения!$E$63</f>
        <v>0.4</v>
      </c>
      <c r="E2265" s="23"/>
      <c r="F2265" s="23"/>
      <c r="G2265" s="23"/>
      <c r="H2265" s="23"/>
      <c r="I2265" s="23"/>
      <c r="J2265" s="23"/>
      <c r="K2265" s="23"/>
      <c r="L2265" s="49"/>
    </row>
    <row r="2266" customFormat="false" ht="15" hidden="true" customHeight="false" outlineLevel="1" collapsed="false">
      <c r="A2266" s="20" t="n">
        <v>22</v>
      </c>
      <c r="B2266" s="6" t="s">
        <v>314</v>
      </c>
      <c r="C2266" s="20" t="s">
        <v>55</v>
      </c>
      <c r="D2266" s="9" t="n">
        <f aca="false">Допущения!$E$64</f>
        <v>1.2</v>
      </c>
      <c r="E2266" s="23"/>
      <c r="F2266" s="23"/>
      <c r="G2266" s="23"/>
      <c r="H2266" s="23"/>
      <c r="I2266" s="23"/>
      <c r="J2266" s="23"/>
      <c r="K2266" s="23"/>
      <c r="L2266" s="49"/>
    </row>
    <row r="2267" customFormat="false" ht="15" hidden="true" customHeight="false" outlineLevel="1" collapsed="false">
      <c r="A2267" s="20" t="n">
        <v>23</v>
      </c>
      <c r="B2267" s="6" t="s">
        <v>317</v>
      </c>
      <c r="C2267" s="20" t="s">
        <v>55</v>
      </c>
      <c r="D2267" s="45" t="n">
        <f aca="false">Допущения!$E$65</f>
        <v>0.1</v>
      </c>
      <c r="E2267" s="23"/>
      <c r="F2267" s="23"/>
      <c r="G2267" s="23"/>
      <c r="H2267" s="23"/>
      <c r="I2267" s="23"/>
      <c r="J2267" s="23"/>
      <c r="K2267" s="23"/>
      <c r="L2267" s="49"/>
    </row>
    <row r="2268" customFormat="false" ht="15" hidden="true" customHeight="false" outlineLevel="1" collapsed="false">
      <c r="A2268" s="20" t="n">
        <v>24</v>
      </c>
      <c r="B2268" s="6" t="s">
        <v>320</v>
      </c>
      <c r="C2268" s="20" t="s">
        <v>71</v>
      </c>
      <c r="D2268" s="45" t="n">
        <f aca="false">Допущения!$E$66</f>
        <v>0.25</v>
      </c>
      <c r="E2268" s="23"/>
      <c r="F2268" s="23"/>
      <c r="G2268" s="23"/>
      <c r="H2268" s="23"/>
      <c r="I2268" s="23"/>
      <c r="J2268" s="23"/>
      <c r="K2268" s="23"/>
      <c r="L2268" s="49"/>
    </row>
    <row r="2269" customFormat="false" ht="15" hidden="true" customHeight="false" outlineLevel="1" collapsed="false">
      <c r="A2269" s="20" t="n">
        <v>25</v>
      </c>
      <c r="B2269" s="6" t="s">
        <v>570</v>
      </c>
      <c r="C2269" s="20" t="s">
        <v>71</v>
      </c>
      <c r="D2269" s="9" t="n">
        <f aca="false">Допущения!$E$67</f>
        <v>0.3</v>
      </c>
      <c r="E2269" s="23"/>
      <c r="F2269" s="23"/>
      <c r="G2269" s="23"/>
      <c r="H2269" s="23"/>
      <c r="I2269" s="23"/>
      <c r="J2269" s="23"/>
      <c r="K2269" s="23"/>
      <c r="L2269" s="49"/>
    </row>
    <row r="2270" customFormat="false" ht="15" hidden="true" customHeight="false" outlineLevel="1" collapsed="false">
      <c r="A2270" s="20" t="n">
        <v>26</v>
      </c>
      <c r="B2270" s="6" t="s">
        <v>326</v>
      </c>
      <c r="C2270" s="20" t="s">
        <v>261</v>
      </c>
      <c r="D2270" s="22" t="n">
        <f aca="false">Допущения!$E$68</f>
        <v>0.05</v>
      </c>
      <c r="E2270" s="23"/>
      <c r="F2270" s="23"/>
      <c r="G2270" s="23"/>
      <c r="H2270" s="23"/>
      <c r="I2270" s="23"/>
      <c r="J2270" s="23"/>
      <c r="K2270" s="23"/>
      <c r="L2270" s="49"/>
    </row>
    <row r="2271" customFormat="false" ht="15" hidden="true" customHeight="false" outlineLevel="1" collapsed="false">
      <c r="A2271" s="20" t="n">
        <v>27</v>
      </c>
      <c r="B2271" s="6" t="s">
        <v>571</v>
      </c>
      <c r="C2271" s="20" t="s">
        <v>330</v>
      </c>
      <c r="D2271" s="22" t="n">
        <f aca="false">Допущения!$E$69</f>
        <v>0.1</v>
      </c>
      <c r="E2271" s="23"/>
      <c r="F2271" s="23"/>
      <c r="G2271" s="23"/>
      <c r="H2271" s="23"/>
      <c r="I2271" s="23"/>
      <c r="J2271" s="23"/>
      <c r="K2271" s="23"/>
      <c r="L2271" s="49"/>
    </row>
    <row r="2272" customFormat="false" ht="15" hidden="true" customHeight="false" outlineLevel="1" collapsed="false">
      <c r="A2272" s="20" t="n">
        <v>28</v>
      </c>
      <c r="B2272" s="6" t="s">
        <v>572</v>
      </c>
      <c r="C2272" s="20" t="s">
        <v>68</v>
      </c>
      <c r="D2272" s="22" t="n">
        <f aca="false">Допущения!$E$71</f>
        <v>0.05</v>
      </c>
      <c r="E2272" s="23"/>
      <c r="F2272" s="23"/>
      <c r="G2272" s="23"/>
      <c r="H2272" s="23"/>
      <c r="I2272" s="23"/>
      <c r="J2272" s="23"/>
      <c r="K2272" s="23"/>
      <c r="L2272" s="49"/>
    </row>
    <row r="2273" customFormat="false" ht="15" hidden="true" customHeight="false" outlineLevel="1" collapsed="false">
      <c r="A2273" s="20" t="n">
        <v>29</v>
      </c>
      <c r="B2273" s="6" t="s">
        <v>573</v>
      </c>
      <c r="C2273" s="20" t="s">
        <v>68</v>
      </c>
      <c r="D2273" s="22" t="n">
        <f aca="false">Допущения!$E$72</f>
        <v>0.5</v>
      </c>
      <c r="E2273" s="23"/>
      <c r="F2273" s="23"/>
      <c r="G2273" s="23"/>
      <c r="H2273" s="23"/>
      <c r="I2273" s="23"/>
      <c r="J2273" s="23"/>
      <c r="K2273" s="23"/>
      <c r="L2273" s="49"/>
    </row>
    <row r="2274" customFormat="false" ht="15" hidden="true" customHeight="false" outlineLevel="1" collapsed="false">
      <c r="A2274" s="20" t="n">
        <v>30</v>
      </c>
      <c r="B2274" s="6" t="s">
        <v>574</v>
      </c>
      <c r="C2274" s="20" t="s">
        <v>575</v>
      </c>
      <c r="D2274" s="7" t="n">
        <f aca="false">Допущения!$E$73*1.2</f>
        <v>108</v>
      </c>
      <c r="E2274" s="23"/>
      <c r="F2274" s="23"/>
      <c r="G2274" s="23"/>
      <c r="H2274" s="23"/>
      <c r="I2274" s="23"/>
      <c r="J2274" s="23"/>
      <c r="K2274" s="23"/>
      <c r="L2274" s="49"/>
    </row>
    <row r="2275" customFormat="false" ht="15" hidden="true" customHeight="false" outlineLevel="1" collapsed="false">
      <c r="A2275" s="20" t="n">
        <v>31</v>
      </c>
      <c r="B2275" s="6" t="s">
        <v>345</v>
      </c>
      <c r="C2275" s="20" t="s">
        <v>68</v>
      </c>
      <c r="D2275" s="22" t="n">
        <f aca="false">Допущения!$E$74</f>
        <v>0.3</v>
      </c>
      <c r="E2275" s="23"/>
      <c r="F2275" s="23"/>
      <c r="G2275" s="23"/>
      <c r="H2275" s="23"/>
      <c r="I2275" s="23"/>
      <c r="J2275" s="23"/>
      <c r="K2275" s="23"/>
      <c r="L2275" s="49"/>
    </row>
    <row r="2276" customFormat="false" ht="15" hidden="true" customHeight="false" outlineLevel="1" collapsed="false">
      <c r="A2276" s="20" t="n">
        <v>32</v>
      </c>
      <c r="B2276" s="6" t="s">
        <v>576</v>
      </c>
      <c r="C2276" s="20" t="s">
        <v>261</v>
      </c>
      <c r="D2276" s="22" t="n">
        <f aca="false">Допущения!$E$75</f>
        <v>0.04</v>
      </c>
      <c r="E2276" s="23"/>
      <c r="F2276" s="23"/>
      <c r="G2276" s="23"/>
      <c r="H2276" s="23"/>
      <c r="I2276" s="23"/>
      <c r="J2276" s="23"/>
      <c r="K2276" s="23"/>
      <c r="L2276" s="49"/>
    </row>
    <row r="2277" customFormat="false" ht="15" hidden="true" customHeight="false" outlineLevel="1" collapsed="false">
      <c r="A2277" s="20" t="n">
        <v>33</v>
      </c>
      <c r="B2277" s="6" t="s">
        <v>577</v>
      </c>
      <c r="C2277" s="20" t="s">
        <v>68</v>
      </c>
      <c r="D2277" s="22" t="n">
        <f aca="false">Допущения!$E$76</f>
        <v>0.2</v>
      </c>
      <c r="E2277" s="23"/>
      <c r="F2277" s="23"/>
      <c r="G2277" s="23"/>
      <c r="H2277" s="23"/>
      <c r="I2277" s="23"/>
      <c r="J2277" s="23"/>
      <c r="K2277" s="23"/>
      <c r="L2277" s="49"/>
    </row>
    <row r="2278" customFormat="false" ht="15" hidden="true" customHeight="false" outlineLevel="1" collapsed="false">
      <c r="A2278" s="20" t="n">
        <v>34</v>
      </c>
      <c r="B2278" s="6" t="s">
        <v>578</v>
      </c>
      <c r="C2278" s="20" t="s">
        <v>105</v>
      </c>
      <c r="D2278" s="50" t="n">
        <f aca="false">Рынок!$E$30</f>
        <v>0.490909090909091</v>
      </c>
      <c r="E2278" s="23"/>
      <c r="F2278" s="23"/>
      <c r="G2278" s="23"/>
      <c r="H2278" s="23"/>
      <c r="I2278" s="23"/>
      <c r="J2278" s="23"/>
      <c r="K2278" s="23"/>
      <c r="L2278" s="49" t="s">
        <v>579</v>
      </c>
    </row>
    <row r="2279" customFormat="false" ht="15" hidden="true" customHeight="false" outlineLevel="1" collapsed="false">
      <c r="A2279" s="20" t="n">
        <v>35</v>
      </c>
      <c r="B2279" s="6" t="s">
        <v>580</v>
      </c>
      <c r="C2279" s="20" t="s">
        <v>105</v>
      </c>
      <c r="D2279" s="50" t="n">
        <f aca="false">Рынок!$E$31</f>
        <v>0.028125</v>
      </c>
      <c r="E2279" s="23"/>
      <c r="F2279" s="23"/>
      <c r="G2279" s="23"/>
      <c r="H2279" s="23"/>
      <c r="I2279" s="23"/>
      <c r="J2279" s="23"/>
      <c r="K2279" s="23"/>
      <c r="L2279" s="49" t="s">
        <v>579</v>
      </c>
    </row>
    <row r="2280" customFormat="false" ht="15" hidden="true" customHeight="false" outlineLevel="1" collapsed="false">
      <c r="A2280" s="20" t="n">
        <v>36</v>
      </c>
      <c r="B2280" s="6" t="s">
        <v>581</v>
      </c>
      <c r="C2280" s="20" t="s">
        <v>142</v>
      </c>
      <c r="D2280" s="7" t="n">
        <f aca="false">План!$D$18</f>
        <v>200</v>
      </c>
      <c r="E2280" s="23"/>
      <c r="F2280" s="23"/>
      <c r="G2280" s="23"/>
      <c r="H2280" s="23"/>
      <c r="I2280" s="23"/>
      <c r="J2280" s="23"/>
      <c r="K2280" s="23"/>
      <c r="L2280" s="49" t="s">
        <v>582</v>
      </c>
    </row>
    <row r="2281" customFormat="false" ht="15" hidden="true" customHeight="false" outlineLevel="1" collapsed="false">
      <c r="A2281" s="20" t="n">
        <v>37</v>
      </c>
      <c r="B2281" s="6" t="s">
        <v>583</v>
      </c>
      <c r="C2281" s="20" t="s">
        <v>142</v>
      </c>
      <c r="D2281" s="7" t="n">
        <f aca="false">План!$D$19</f>
        <v>280</v>
      </c>
      <c r="E2281" s="23"/>
      <c r="F2281" s="23"/>
      <c r="G2281" s="23"/>
      <c r="H2281" s="23"/>
      <c r="I2281" s="23"/>
      <c r="J2281" s="23"/>
      <c r="K2281" s="23"/>
      <c r="L2281" s="49" t="s">
        <v>582</v>
      </c>
    </row>
    <row r="2282" customFormat="false" ht="15" hidden="true" customHeight="false" outlineLevel="1" collapsed="false">
      <c r="A2282" s="20" t="n">
        <v>38</v>
      </c>
      <c r="B2282" s="6" t="s">
        <v>584</v>
      </c>
      <c r="C2282" s="20" t="s">
        <v>142</v>
      </c>
      <c r="D2282" s="7" t="n">
        <f aca="false">План!$D$20</f>
        <v>230</v>
      </c>
      <c r="E2282" s="23"/>
      <c r="F2282" s="23"/>
      <c r="G2282" s="23"/>
      <c r="H2282" s="23"/>
      <c r="I2282" s="23"/>
      <c r="J2282" s="23"/>
      <c r="K2282" s="23"/>
      <c r="L2282" s="49" t="s">
        <v>582</v>
      </c>
    </row>
    <row r="2283" customFormat="false" ht="15" hidden="true" customHeight="false" outlineLevel="1" collapsed="false">
      <c r="A2283" s="20" t="n">
        <v>39</v>
      </c>
      <c r="B2283" s="6" t="s">
        <v>585</v>
      </c>
      <c r="C2283" s="20" t="s">
        <v>142</v>
      </c>
      <c r="D2283" s="7" t="n">
        <f aca="false">План!$D$21</f>
        <v>220</v>
      </c>
      <c r="E2283" s="23"/>
      <c r="F2283" s="23"/>
      <c r="G2283" s="23"/>
      <c r="H2283" s="23"/>
      <c r="I2283" s="23"/>
      <c r="J2283" s="23"/>
      <c r="K2283" s="23"/>
      <c r="L2283" s="49" t="s">
        <v>582</v>
      </c>
    </row>
    <row r="2284" customFormat="false" ht="15" hidden="true" customHeight="false" outlineLevel="1" collapsed="false">
      <c r="A2284" s="20" t="n">
        <v>40</v>
      </c>
      <c r="B2284" s="6" t="s">
        <v>586</v>
      </c>
      <c r="C2284" s="20" t="s">
        <v>142</v>
      </c>
      <c r="D2284" s="7" t="n">
        <f aca="false">План!$D$22</f>
        <v>250</v>
      </c>
      <c r="E2284" s="23"/>
      <c r="F2284" s="23"/>
      <c r="G2284" s="23"/>
      <c r="H2284" s="23"/>
      <c r="I2284" s="23"/>
      <c r="J2284" s="23"/>
      <c r="K2284" s="23"/>
      <c r="L2284" s="49" t="s">
        <v>582</v>
      </c>
    </row>
    <row r="2285" customFormat="false" ht="15" hidden="true" customHeight="false" outlineLevel="1" collapsed="false">
      <c r="A2285" s="20" t="n">
        <v>41</v>
      </c>
      <c r="B2285" s="6" t="s">
        <v>587</v>
      </c>
      <c r="C2285" s="20" t="s">
        <v>142</v>
      </c>
      <c r="D2285" s="7" t="n">
        <f aca="false">План!$D$23</f>
        <v>220</v>
      </c>
      <c r="E2285" s="23"/>
      <c r="F2285" s="23"/>
      <c r="G2285" s="23"/>
      <c r="H2285" s="23"/>
      <c r="I2285" s="23"/>
      <c r="J2285" s="23"/>
      <c r="K2285" s="23"/>
      <c r="L2285" s="49" t="s">
        <v>582</v>
      </c>
    </row>
    <row r="2286" customFormat="false" ht="15" hidden="true" customHeight="false" outlineLevel="1" collapsed="false">
      <c r="A2286" s="20" t="n">
        <v>42</v>
      </c>
      <c r="B2286" s="6" t="s">
        <v>359</v>
      </c>
      <c r="C2286" s="20" t="s">
        <v>76</v>
      </c>
      <c r="D2286" s="23"/>
      <c r="E2286" s="9" t="n">
        <f aca="false">План!E16</f>
        <v>0</v>
      </c>
      <c r="F2286" s="9" t="n">
        <f aca="false">План!F16</f>
        <v>0</v>
      </c>
      <c r="G2286" s="9" t="n">
        <f aca="false">План!G16</f>
        <v>0</v>
      </c>
      <c r="H2286" s="9" t="n">
        <f aca="false">План!H16</f>
        <v>1</v>
      </c>
      <c r="I2286" s="9" t="n">
        <f aca="false">План!I16</f>
        <v>0</v>
      </c>
      <c r="J2286" s="9" t="n">
        <f aca="false">План!J16</f>
        <v>1</v>
      </c>
      <c r="K2286" s="51" t="n">
        <f aca="false">SUM(F2286:J2286)</f>
        <v>2</v>
      </c>
      <c r="L2286" s="49" t="s">
        <v>582</v>
      </c>
    </row>
    <row r="2287" customFormat="false" ht="15" hidden="true" customHeight="false" outlineLevel="1" collapsed="false">
      <c r="A2287" s="20" t="n">
        <v>43</v>
      </c>
      <c r="B2287" s="6" t="s">
        <v>361</v>
      </c>
      <c r="C2287" s="20" t="s">
        <v>76</v>
      </c>
      <c r="D2287" s="23"/>
      <c r="E2287" s="9" t="n">
        <f aca="false">План!E17</f>
        <v>0</v>
      </c>
      <c r="F2287" s="9" t="n">
        <f aca="false">План!F17</f>
        <v>0</v>
      </c>
      <c r="G2287" s="9" t="n">
        <f aca="false">План!G17</f>
        <v>1</v>
      </c>
      <c r="H2287" s="9" t="n">
        <f aca="false">План!H17</f>
        <v>2</v>
      </c>
      <c r="I2287" s="9" t="n">
        <f aca="false">План!I17</f>
        <v>2</v>
      </c>
      <c r="J2287" s="9" t="n">
        <f aca="false">План!J17</f>
        <v>3</v>
      </c>
      <c r="K2287" s="51" t="n">
        <f aca="false">SUM(F2287:J2287)</f>
        <v>8</v>
      </c>
      <c r="L2287" s="49" t="s">
        <v>582</v>
      </c>
    </row>
    <row r="2288" customFormat="false" ht="15" hidden="true" customHeight="false" outlineLevel="1" collapsed="false">
      <c r="A2288" s="20" t="n">
        <v>44</v>
      </c>
      <c r="B2288" s="6" t="s">
        <v>588</v>
      </c>
      <c r="C2288" s="20" t="s">
        <v>53</v>
      </c>
      <c r="D2288" s="23"/>
      <c r="E2288" s="9" t="n">
        <f aca="false">План!E18</f>
        <v>2</v>
      </c>
      <c r="F2288" s="9" t="n">
        <f aca="false">План!F18</f>
        <v>2</v>
      </c>
      <c r="G2288" s="9" t="n">
        <f aca="false">План!G18</f>
        <v>2</v>
      </c>
      <c r="H2288" s="9" t="n">
        <f aca="false">План!H18</f>
        <v>2</v>
      </c>
      <c r="I2288" s="9" t="n">
        <f aca="false">План!I18</f>
        <v>2</v>
      </c>
      <c r="J2288" s="9" t="n">
        <f aca="false">План!J18</f>
        <v>2</v>
      </c>
      <c r="K2288" s="23"/>
      <c r="L2288" s="49" t="s">
        <v>582</v>
      </c>
    </row>
    <row r="2289" customFormat="false" ht="15" hidden="true" customHeight="false" outlineLevel="1" collapsed="false">
      <c r="A2289" s="20" t="n">
        <v>45</v>
      </c>
      <c r="B2289" s="6" t="s">
        <v>589</v>
      </c>
      <c r="C2289" s="20" t="s">
        <v>53</v>
      </c>
      <c r="D2289" s="23"/>
      <c r="E2289" s="9" t="n">
        <f aca="false">План!E19</f>
        <v>0</v>
      </c>
      <c r="F2289" s="9" t="n">
        <f aca="false">План!F19</f>
        <v>1</v>
      </c>
      <c r="G2289" s="9" t="n">
        <f aca="false">План!G19</f>
        <v>1</v>
      </c>
      <c r="H2289" s="9" t="n">
        <f aca="false">План!H19</f>
        <v>1</v>
      </c>
      <c r="I2289" s="9" t="n">
        <f aca="false">План!I19</f>
        <v>2</v>
      </c>
      <c r="J2289" s="9" t="n">
        <f aca="false">План!J19</f>
        <v>2</v>
      </c>
      <c r="K2289" s="23"/>
      <c r="L2289" s="49" t="s">
        <v>582</v>
      </c>
    </row>
    <row r="2290" customFormat="false" ht="15" hidden="true" customHeight="false" outlineLevel="1" collapsed="false">
      <c r="A2290" s="20" t="n">
        <v>46</v>
      </c>
      <c r="B2290" s="6" t="s">
        <v>590</v>
      </c>
      <c r="C2290" s="20" t="s">
        <v>53</v>
      </c>
      <c r="D2290" s="23"/>
      <c r="E2290" s="9" t="n">
        <f aca="false">План!E20</f>
        <v>0</v>
      </c>
      <c r="F2290" s="9" t="n">
        <f aca="false">План!F20</f>
        <v>1</v>
      </c>
      <c r="G2290" s="9" t="n">
        <f aca="false">План!G20</f>
        <v>1</v>
      </c>
      <c r="H2290" s="9" t="n">
        <f aca="false">План!H20</f>
        <v>1</v>
      </c>
      <c r="I2290" s="9" t="n">
        <f aca="false">План!I20</f>
        <v>1</v>
      </c>
      <c r="J2290" s="9" t="n">
        <f aca="false">План!J20</f>
        <v>1</v>
      </c>
      <c r="K2290" s="23"/>
      <c r="L2290" s="49" t="s">
        <v>582</v>
      </c>
    </row>
    <row r="2291" customFormat="false" ht="15" hidden="true" customHeight="false" outlineLevel="1" collapsed="false">
      <c r="A2291" s="20" t="n">
        <v>47</v>
      </c>
      <c r="B2291" s="6" t="s">
        <v>591</v>
      </c>
      <c r="C2291" s="20" t="s">
        <v>53</v>
      </c>
      <c r="D2291" s="23"/>
      <c r="E2291" s="9" t="n">
        <f aca="false">План!E21</f>
        <v>0</v>
      </c>
      <c r="F2291" s="9" t="n">
        <f aca="false">План!F21</f>
        <v>0</v>
      </c>
      <c r="G2291" s="9" t="n">
        <f aca="false">План!G21</f>
        <v>1</v>
      </c>
      <c r="H2291" s="9" t="n">
        <f aca="false">План!H21</f>
        <v>1</v>
      </c>
      <c r="I2291" s="9" t="n">
        <f aca="false">План!I21</f>
        <v>1</v>
      </c>
      <c r="J2291" s="9" t="n">
        <f aca="false">План!J21</f>
        <v>1</v>
      </c>
      <c r="K2291" s="23"/>
      <c r="L2291" s="49" t="s">
        <v>582</v>
      </c>
    </row>
    <row r="2292" customFormat="false" ht="15" hidden="true" customHeight="false" outlineLevel="1" collapsed="false">
      <c r="A2292" s="20" t="n">
        <v>48</v>
      </c>
      <c r="B2292" s="6" t="s">
        <v>592</v>
      </c>
      <c r="C2292" s="20" t="s">
        <v>53</v>
      </c>
      <c r="D2292" s="23"/>
      <c r="E2292" s="9" t="n">
        <f aca="false">План!E22</f>
        <v>0</v>
      </c>
      <c r="F2292" s="9" t="n">
        <f aca="false">План!F22</f>
        <v>0</v>
      </c>
      <c r="G2292" s="9" t="n">
        <f aca="false">План!G22</f>
        <v>0</v>
      </c>
      <c r="H2292" s="9" t="n">
        <f aca="false">План!H22</f>
        <v>1</v>
      </c>
      <c r="I2292" s="9" t="n">
        <f aca="false">План!I22</f>
        <v>1</v>
      </c>
      <c r="J2292" s="9" t="n">
        <f aca="false">План!J22</f>
        <v>1</v>
      </c>
      <c r="K2292" s="23"/>
      <c r="L2292" s="49" t="s">
        <v>582</v>
      </c>
    </row>
    <row r="2293" customFormat="false" ht="15" hidden="true" customHeight="false" outlineLevel="1" collapsed="false">
      <c r="A2293" s="20" t="n">
        <v>49</v>
      </c>
      <c r="B2293" s="6" t="s">
        <v>593</v>
      </c>
      <c r="C2293" s="20" t="s">
        <v>53</v>
      </c>
      <c r="D2293" s="23"/>
      <c r="E2293" s="9" t="n">
        <f aca="false">План!E23</f>
        <v>0</v>
      </c>
      <c r="F2293" s="9" t="n">
        <f aca="false">План!F23</f>
        <v>0</v>
      </c>
      <c r="G2293" s="9" t="n">
        <f aca="false">План!G23</f>
        <v>0</v>
      </c>
      <c r="H2293" s="9" t="n">
        <f aca="false">План!H23</f>
        <v>0</v>
      </c>
      <c r="I2293" s="9" t="n">
        <f aca="false">План!I23</f>
        <v>0</v>
      </c>
      <c r="J2293" s="9" t="n">
        <f aca="false">План!J23</f>
        <v>1</v>
      </c>
      <c r="K2293" s="23"/>
      <c r="L2293" s="49" t="s">
        <v>582</v>
      </c>
    </row>
    <row r="2294" customFormat="false" ht="15" hidden="true" customHeight="false" outlineLevel="1" collapsed="false">
      <c r="A2294" s="19" t="s">
        <v>594</v>
      </c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</row>
    <row r="2295" customFormat="false" ht="15" hidden="true" customHeight="false" outlineLevel="1" collapsed="false">
      <c r="A2295" s="20" t="n">
        <v>50</v>
      </c>
      <c r="B2295" s="6" t="s">
        <v>595</v>
      </c>
      <c r="C2295" s="20"/>
      <c r="D2295" s="23"/>
      <c r="E2295" s="10" t="n">
        <f aca="false">Допущения!$D$3</f>
        <v>2026</v>
      </c>
      <c r="F2295" s="52" t="n">
        <f aca="false">E2295+1</f>
        <v>2027</v>
      </c>
      <c r="G2295" s="52" t="n">
        <f aca="false">F2295+1</f>
        <v>2028</v>
      </c>
      <c r="H2295" s="52" t="n">
        <f aca="false">G2295+1</f>
        <v>2029</v>
      </c>
      <c r="I2295" s="52" t="n">
        <f aca="false">H2295+1</f>
        <v>2030</v>
      </c>
      <c r="J2295" s="52" t="n">
        <f aca="false">I2295+1</f>
        <v>2031</v>
      </c>
      <c r="K2295" s="23"/>
      <c r="L2295" s="49" t="s">
        <v>596</v>
      </c>
    </row>
    <row r="2296" customFormat="false" ht="15" hidden="true" customHeight="false" outlineLevel="1" collapsed="false">
      <c r="A2296" s="20" t="n">
        <v>51</v>
      </c>
      <c r="B2296" s="6" t="s">
        <v>597</v>
      </c>
      <c r="C2296" s="20" t="s">
        <v>62</v>
      </c>
      <c r="D2296" s="23"/>
      <c r="E2296" s="23"/>
      <c r="F2296" s="53" t="n">
        <f aca="false">(1+$D$2252)^(F$2295-$E$2295-1)</f>
        <v>1</v>
      </c>
      <c r="G2296" s="53" t="n">
        <f aca="false">(1+$D$2252)^(G$2295-$E$2295-1)</f>
        <v>1.05</v>
      </c>
      <c r="H2296" s="53" t="n">
        <f aca="false">(1+$D$2252)^(H$2295-$E$2295-1)</f>
        <v>1.1025</v>
      </c>
      <c r="I2296" s="53" t="n">
        <f aca="false">(1+$D$2252)^(I$2295-$E$2295-1)</f>
        <v>1.157625</v>
      </c>
      <c r="J2296" s="53" t="n">
        <f aca="false">(1+$D$2252)^(J$2295-$E$2295-1)</f>
        <v>1.21550625</v>
      </c>
      <c r="K2296" s="23"/>
      <c r="L2296" s="49" t="s">
        <v>598</v>
      </c>
    </row>
    <row r="2297" customFormat="false" ht="15" hidden="true" customHeight="false" outlineLevel="1" collapsed="false">
      <c r="A2297" s="20" t="n">
        <v>52</v>
      </c>
      <c r="B2297" s="6" t="s">
        <v>599</v>
      </c>
      <c r="C2297" s="20" t="s">
        <v>62</v>
      </c>
      <c r="D2297" s="23"/>
      <c r="E2297" s="23"/>
      <c r="F2297" s="53" t="n">
        <f aca="false">(1+$D$2270)^(F$2295-$E$2295-1)</f>
        <v>1</v>
      </c>
      <c r="G2297" s="53" t="n">
        <f aca="false">(1+$D$2270)^(G$2295-$E$2295-1)</f>
        <v>1.05</v>
      </c>
      <c r="H2297" s="53" t="n">
        <f aca="false">(1+$D$2270)^(H$2295-$E$2295-1)</f>
        <v>1.1025</v>
      </c>
      <c r="I2297" s="53" t="n">
        <f aca="false">(1+$D$2270)^(I$2295-$E$2295-1)</f>
        <v>1.157625</v>
      </c>
      <c r="J2297" s="53" t="n">
        <f aca="false">(1+$D$2270)^(J$2295-$E$2295-1)</f>
        <v>1.21550625</v>
      </c>
      <c r="K2297" s="23"/>
      <c r="L2297" s="49" t="s">
        <v>600</v>
      </c>
    </row>
    <row r="2298" customFormat="false" ht="15" hidden="true" customHeight="false" outlineLevel="1" collapsed="false">
      <c r="A2298" s="20" t="n">
        <v>53</v>
      </c>
      <c r="B2298" s="6" t="s">
        <v>601</v>
      </c>
      <c r="C2298" s="20" t="s">
        <v>62</v>
      </c>
      <c r="D2298" s="23"/>
      <c r="E2298" s="23"/>
      <c r="F2298" s="53" t="n">
        <f aca="false">(1+$D$2254)^(F$2295-$E$2295-1)</f>
        <v>1</v>
      </c>
      <c r="G2298" s="53" t="n">
        <f aca="false">(1+$D$2254)^(G$2295-$E$2295-1)</f>
        <v>1.07</v>
      </c>
      <c r="H2298" s="53" t="n">
        <f aca="false">(1+$D$2254)^(H$2295-$E$2295-1)</f>
        <v>1.1449</v>
      </c>
      <c r="I2298" s="53" t="n">
        <f aca="false">(1+$D$2254)^(I$2295-$E$2295-1)</f>
        <v>1.225043</v>
      </c>
      <c r="J2298" s="53" t="n">
        <f aca="false">(1+$D$2254)^(J$2295-$E$2295-1)</f>
        <v>1.31079601</v>
      </c>
      <c r="K2298" s="23"/>
      <c r="L2298" s="49" t="s">
        <v>602</v>
      </c>
    </row>
    <row r="2299" customFormat="false" ht="15" hidden="true" customHeight="false" outlineLevel="1" collapsed="false">
      <c r="A2299" s="20" t="n">
        <v>54</v>
      </c>
      <c r="B2299" s="6" t="s">
        <v>603</v>
      </c>
      <c r="C2299" s="20" t="s">
        <v>55</v>
      </c>
      <c r="D2299" s="23"/>
      <c r="E2299" s="23"/>
      <c r="F2299" s="46" t="n">
        <f aca="false">$D$2258*(1+$D$2259)^(F$2295-$E$2295)</f>
        <v>3.21732</v>
      </c>
      <c r="G2299" s="46" t="n">
        <f aca="false">$D$2258*(1+$D$2259)^(G$2295-$E$2295)</f>
        <v>3.4747056</v>
      </c>
      <c r="H2299" s="46" t="n">
        <f aca="false">$D$2258*(1+$D$2259)^(H$2295-$E$2295)</f>
        <v>3.752682048</v>
      </c>
      <c r="I2299" s="46" t="n">
        <f aca="false">$D$2258*(1+$D$2259)^(I$2295-$E$2295)</f>
        <v>4.05289661184</v>
      </c>
      <c r="J2299" s="46" t="n">
        <f aca="false">$D$2258*(1+$D$2259)^(J$2295-$E$2295)</f>
        <v>4.3771283407872</v>
      </c>
      <c r="K2299" s="23"/>
      <c r="L2299" s="49" t="s">
        <v>604</v>
      </c>
    </row>
    <row r="2300" customFormat="false" ht="15" hidden="true" customHeight="false" outlineLevel="1" collapsed="false">
      <c r="A2300" s="19" t="s">
        <v>605</v>
      </c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</row>
    <row r="2301" customFormat="false" ht="15" hidden="true" customHeight="false" outlineLevel="1" collapsed="false">
      <c r="A2301" s="20" t="n">
        <v>55</v>
      </c>
      <c r="B2301" s="6" t="s">
        <v>606</v>
      </c>
      <c r="C2301" s="20" t="s">
        <v>76</v>
      </c>
      <c r="D2301" s="23"/>
      <c r="E2301" s="23"/>
      <c r="F2301" s="38" t="n">
        <f aca="false">IF(F$2295=$D$2245,1,0)</f>
        <v>1</v>
      </c>
      <c r="G2301" s="38" t="n">
        <f aca="false">IF(G$2295=$D$2245,1,0)</f>
        <v>0</v>
      </c>
      <c r="H2301" s="38" t="n">
        <f aca="false">IF(H$2295=$D$2245,1,0)</f>
        <v>0</v>
      </c>
      <c r="I2301" s="38" t="n">
        <f aca="false">IF(I$2295=$D$2245,1,0)</f>
        <v>0</v>
      </c>
      <c r="J2301" s="38" t="n">
        <f aca="false">IF(J$2295=$D$2245,1,0)</f>
        <v>0</v>
      </c>
      <c r="K2301" s="23"/>
      <c r="L2301" s="49" t="s">
        <v>607</v>
      </c>
    </row>
    <row r="2302" customFormat="false" ht="15" hidden="true" customHeight="false" outlineLevel="1" collapsed="false">
      <c r="A2302" s="20" t="n">
        <v>56</v>
      </c>
      <c r="B2302" s="6" t="s">
        <v>608</v>
      </c>
      <c r="C2302" s="20" t="s">
        <v>76</v>
      </c>
      <c r="D2302" s="23"/>
      <c r="E2302" s="38" t="n">
        <f aca="false">0</f>
        <v>0</v>
      </c>
      <c r="F2302" s="38" t="n">
        <f aca="false">F2301+F2286</f>
        <v>1</v>
      </c>
      <c r="G2302" s="38" t="n">
        <f aca="false">G2301+G2286</f>
        <v>0</v>
      </c>
      <c r="H2302" s="38" t="n">
        <f aca="false">H2301+H2286</f>
        <v>1</v>
      </c>
      <c r="I2302" s="38" t="n">
        <f aca="false">I2301+I2286</f>
        <v>0</v>
      </c>
      <c r="J2302" s="38" t="n">
        <f aca="false">J2301+J2286</f>
        <v>1</v>
      </c>
      <c r="K2302" s="54" t="n">
        <f aca="false">SUM(F2302:J2302)</f>
        <v>3</v>
      </c>
      <c r="L2302" s="49" t="s">
        <v>609</v>
      </c>
    </row>
    <row r="2303" customFormat="false" ht="15" hidden="true" customHeight="false" outlineLevel="1" collapsed="false">
      <c r="A2303" s="20" t="n">
        <v>57</v>
      </c>
      <c r="B2303" s="6" t="s">
        <v>610</v>
      </c>
      <c r="C2303" s="20" t="s">
        <v>76</v>
      </c>
      <c r="D2303" s="23"/>
      <c r="E2303" s="38" t="n">
        <f aca="false">0</f>
        <v>0</v>
      </c>
      <c r="F2303" s="38" t="n">
        <f aca="false">E2303+F2302</f>
        <v>1</v>
      </c>
      <c r="G2303" s="38" t="n">
        <f aca="false">F2303+G2302</f>
        <v>1</v>
      </c>
      <c r="H2303" s="38" t="n">
        <f aca="false">G2303+H2302</f>
        <v>2</v>
      </c>
      <c r="I2303" s="38" t="n">
        <f aca="false">H2303+I2302</f>
        <v>2</v>
      </c>
      <c r="J2303" s="38" t="n">
        <f aca="false">I2303+J2302</f>
        <v>3</v>
      </c>
      <c r="K2303" s="23"/>
      <c r="L2303" s="49" t="s">
        <v>611</v>
      </c>
    </row>
    <row r="2304" customFormat="false" ht="15" hidden="true" customHeight="false" outlineLevel="1" collapsed="false">
      <c r="A2304" s="20" t="n">
        <v>58</v>
      </c>
      <c r="B2304" s="6" t="s">
        <v>612</v>
      </c>
      <c r="C2304" s="20" t="s">
        <v>76</v>
      </c>
      <c r="D2304" s="23"/>
      <c r="E2304" s="38" t="n">
        <f aca="false">0</f>
        <v>0</v>
      </c>
      <c r="F2304" s="38" t="n">
        <f aca="false">E2304+F2287</f>
        <v>0</v>
      </c>
      <c r="G2304" s="38" t="n">
        <f aca="false">F2304+G2287</f>
        <v>1</v>
      </c>
      <c r="H2304" s="38" t="n">
        <f aca="false">G2304+H2287</f>
        <v>3</v>
      </c>
      <c r="I2304" s="38" t="n">
        <f aca="false">H2304+I2287</f>
        <v>5</v>
      </c>
      <c r="J2304" s="38" t="n">
        <f aca="false">I2304+J2287</f>
        <v>8</v>
      </c>
      <c r="K2304" s="23"/>
      <c r="L2304" s="49" t="s">
        <v>611</v>
      </c>
    </row>
    <row r="2305" customFormat="false" ht="15" hidden="true" customHeight="false" outlineLevel="1" collapsed="false">
      <c r="A2305" s="20" t="n">
        <v>59</v>
      </c>
      <c r="B2305" s="6" t="s">
        <v>613</v>
      </c>
      <c r="C2305" s="20" t="s">
        <v>76</v>
      </c>
      <c r="D2305" s="23"/>
      <c r="E2305" s="38" t="n">
        <f aca="false">0</f>
        <v>0</v>
      </c>
      <c r="F2305" s="38" t="n">
        <f aca="false">F2303+F2304</f>
        <v>1</v>
      </c>
      <c r="G2305" s="38" t="n">
        <f aca="false">G2303+G2304</f>
        <v>2</v>
      </c>
      <c r="H2305" s="38" t="n">
        <f aca="false">H2303+H2304</f>
        <v>5</v>
      </c>
      <c r="I2305" s="38" t="n">
        <f aca="false">I2303+I2304</f>
        <v>7</v>
      </c>
      <c r="J2305" s="38" t="n">
        <f aca="false">J2303+J2304</f>
        <v>11</v>
      </c>
      <c r="K2305" s="23"/>
      <c r="L2305" s="49" t="s">
        <v>614</v>
      </c>
    </row>
    <row r="2306" customFormat="false" ht="15" hidden="true" customHeight="false" outlineLevel="1" collapsed="false">
      <c r="A2306" s="20" t="n">
        <v>60</v>
      </c>
      <c r="B2306" s="6" t="s">
        <v>615</v>
      </c>
      <c r="C2306" s="20" t="s">
        <v>76</v>
      </c>
      <c r="D2306" s="23"/>
      <c r="E2306" s="23"/>
      <c r="F2306" s="38" t="n">
        <f aca="false">F2302+F2287</f>
        <v>1</v>
      </c>
      <c r="G2306" s="38" t="n">
        <f aca="false">G2302+G2287</f>
        <v>1</v>
      </c>
      <c r="H2306" s="38" t="n">
        <f aca="false">H2302+H2287</f>
        <v>3</v>
      </c>
      <c r="I2306" s="38" t="n">
        <f aca="false">I2302+I2287</f>
        <v>2</v>
      </c>
      <c r="J2306" s="38" t="n">
        <f aca="false">J2302+J2287</f>
        <v>4</v>
      </c>
      <c r="K2306" s="54" t="n">
        <f aca="false">SUM(F2306:J2306)</f>
        <v>11</v>
      </c>
      <c r="L2306" s="49"/>
    </row>
    <row r="2307" customFormat="false" ht="15" hidden="true" customHeight="false" outlineLevel="1" collapsed="false">
      <c r="A2307" s="19" t="s">
        <v>616</v>
      </c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</row>
    <row r="2308" customFormat="false" ht="15" hidden="true" customHeight="false" outlineLevel="1" collapsed="false">
      <c r="A2308" s="20" t="n">
        <v>61</v>
      </c>
      <c r="B2308" s="6" t="s">
        <v>617</v>
      </c>
      <c r="C2308" s="20" t="s">
        <v>71</v>
      </c>
      <c r="D2308" s="23"/>
      <c r="E2308" s="23"/>
      <c r="F2308" s="40" t="n">
        <f aca="false">IF(F$2295&gt;$D$2245,($D$2247+$D$2246*$D$2248)*(1+$D$2253)^(F$2295-$D$2245-1)*F2296,0)</f>
        <v>0</v>
      </c>
      <c r="G2308" s="40" t="n">
        <f aca="false">IF(G$2295&gt;$D$2245,($D$2247+$D$2246*$D$2248)*(1+$D$2253)^(G$2295-$D$2245-1)*G2296,0)</f>
        <v>15.75</v>
      </c>
      <c r="H2308" s="40" t="n">
        <f aca="false">IF(H$2295&gt;$D$2245,($D$2247+$D$2246*$D$2248)*(1+$D$2253)^(H$2295-$D$2245-1)*H2296,0)</f>
        <v>19.018125</v>
      </c>
      <c r="I2308" s="40" t="n">
        <f aca="false">IF(I$2295&gt;$D$2245,($D$2247+$D$2246*$D$2248)*(1+$D$2253)^(I$2295-$D$2245-1)*I2296,0)</f>
        <v>22.9643859375</v>
      </c>
      <c r="J2308" s="40" t="n">
        <f aca="false">IF(J$2295&gt;$D$2245,($D$2247+$D$2246*$D$2248)*(1+$D$2253)^(J$2295-$D$2245-1)*J2296,0)</f>
        <v>27.7294960195313</v>
      </c>
      <c r="K2308" s="51" t="n">
        <f aca="false">SUM(F2308:J2308)</f>
        <v>85.4620069570313</v>
      </c>
      <c r="L2308" s="49" t="s">
        <v>618</v>
      </c>
    </row>
    <row r="2309" customFormat="false" ht="15" hidden="true" customHeight="false" outlineLevel="1" collapsed="false">
      <c r="A2309" s="20" t="n">
        <v>62</v>
      </c>
      <c r="B2309" s="6" t="s">
        <v>619</v>
      </c>
      <c r="C2309" s="20" t="s">
        <v>71</v>
      </c>
      <c r="D2309" s="23"/>
      <c r="E2309" s="23"/>
      <c r="F2309" s="40" t="n">
        <f aca="false">($D$2247+$D$2278*$D$2248)*F2296*SUMPRODUCT($E$2286:E$2286,(1+$D$2253)^(F$2295-$E$2295:E$2295-1))</f>
        <v>0</v>
      </c>
      <c r="G2309" s="40" t="n">
        <f aca="false">($D$2247+$D$2278*$D$2248)*G2296*SUMPRODUCT($E$2286:F$2286,(1+$D$2253)^(G$2295-$E$2295:F$2295-1))</f>
        <v>0</v>
      </c>
      <c r="H2309" s="40" t="n">
        <f aca="false">($D$2247+$D$2278*$D$2248)*H2296*SUMPRODUCT($E$2286:G$2286,(1+$D$2253)^(H$2295-$E$2295:G$2295-1))</f>
        <v>0</v>
      </c>
      <c r="I2309" s="40" t="n">
        <f aca="false">($D$2247+$D$2278*$D$2248)*I2296*SUMPRODUCT($E$2286:H$2286,(1+$D$2253)^(I$2295-$E$2295:H$2295-1))</f>
        <v>9.78719318181818</v>
      </c>
      <c r="J2309" s="40" t="n">
        <f aca="false">($D$2247+$D$2278*$D$2248)*J2296*SUMPRODUCT($E$2286:I$2286,(1+$D$2253)^(J$2295-$E$2295:I$2295-1))</f>
        <v>11.8180357670455</v>
      </c>
      <c r="K2309" s="51" t="n">
        <f aca="false">SUM(F2309:J2309)</f>
        <v>21.6052289488636</v>
      </c>
      <c r="L2309" s="49" t="s">
        <v>620</v>
      </c>
    </row>
    <row r="2310" customFormat="false" ht="15" hidden="true" customHeight="false" outlineLevel="1" collapsed="false">
      <c r="A2310" s="20" t="n">
        <v>63</v>
      </c>
      <c r="B2310" s="6" t="s">
        <v>621</v>
      </c>
      <c r="C2310" s="20" t="s">
        <v>71</v>
      </c>
      <c r="D2310" s="23"/>
      <c r="E2310" s="23"/>
      <c r="F2310" s="40" t="n">
        <f aca="false">($D$2249+$D$2279*$D$2248)*F2296*SUMPRODUCT($E$2287:E$2287,(1+$D$2253)^(F$2295-$E$2295:E$2295-1))</f>
        <v>0</v>
      </c>
      <c r="G2310" s="40" t="n">
        <f aca="false">($D$2249+$D$2279*$D$2248)*G2296*SUMPRODUCT($E$2287:F$2287,(1+$D$2253)^(G$2295-$E$2295:F$2295-1))</f>
        <v>0</v>
      </c>
      <c r="H2310" s="40" t="n">
        <f aca="false">($D$2249+$D$2279*$D$2248)*H2296*SUMPRODUCT($E$2287:G$2287,(1+$D$2253)^(H$2295-$E$2295:G$2295-1))</f>
        <v>1.8087890625</v>
      </c>
      <c r="I2310" s="40" t="n">
        <f aca="false">($D$2249+$D$2279*$D$2248)*I2296*SUMPRODUCT($E$2287:H$2287,(1+$D$2253)^(I$2295-$E$2295:H$2295-1))</f>
        <v>5.98256982421875</v>
      </c>
      <c r="J2310" s="40" t="n">
        <f aca="false">($D$2249+$D$2279*$D$2248)*J2296*SUMPRODUCT($E$2287:I$2287,(1+$D$2253)^(J$2295-$E$2295:I$2295-1))</f>
        <v>11.2123329455566</v>
      </c>
      <c r="K2310" s="51" t="n">
        <f aca="false">SUM(F2310:J2310)</f>
        <v>19.0036918322754</v>
      </c>
      <c r="L2310" s="49" t="s">
        <v>622</v>
      </c>
    </row>
    <row r="2311" customFormat="false" ht="15" hidden="true" customHeight="false" outlineLevel="1" collapsed="false">
      <c r="A2311" s="20" t="n">
        <v>64</v>
      </c>
      <c r="B2311" s="6" t="s">
        <v>623</v>
      </c>
      <c r="C2311" s="20" t="s">
        <v>71</v>
      </c>
      <c r="D2311" s="23"/>
      <c r="E2311" s="23"/>
      <c r="F2311" s="40" t="n">
        <f aca="false">(F2302*$D$2250+F2287*$D$2251)*F2296</f>
        <v>8</v>
      </c>
      <c r="G2311" s="40" t="n">
        <f aca="false">(G2302*$D$2250+G2287*$D$2251)*G2296</f>
        <v>2.1</v>
      </c>
      <c r="H2311" s="40" t="n">
        <f aca="false">(H2302*$D$2250+H2287*$D$2251)*H2296</f>
        <v>13.23</v>
      </c>
      <c r="I2311" s="40" t="n">
        <f aca="false">(I2302*$D$2250+I2287*$D$2251)*I2296</f>
        <v>4.6305</v>
      </c>
      <c r="J2311" s="40" t="n">
        <f aca="false">(J2302*$D$2250+J2287*$D$2251)*J2296</f>
        <v>17.0170875</v>
      </c>
      <c r="K2311" s="51" t="n">
        <f aca="false">SUM(F2311:J2311)</f>
        <v>44.9775875</v>
      </c>
      <c r="L2311" s="49" t="s">
        <v>624</v>
      </c>
    </row>
    <row r="2312" customFormat="false" ht="15" hidden="true" customHeight="false" outlineLevel="1" collapsed="false">
      <c r="A2312" s="20" t="n">
        <v>65</v>
      </c>
      <c r="B2312" s="6" t="s">
        <v>625</v>
      </c>
      <c r="C2312" s="20" t="s">
        <v>71</v>
      </c>
      <c r="D2312" s="23"/>
      <c r="E2312" s="23"/>
      <c r="F2312" s="40" t="n">
        <f aca="false">F2308+F2309+F2310</f>
        <v>0</v>
      </c>
      <c r="G2312" s="40" t="n">
        <f aca="false">G2308+G2309+G2310</f>
        <v>15.75</v>
      </c>
      <c r="H2312" s="40" t="n">
        <f aca="false">H2308+H2309+H2310</f>
        <v>20.8269140625</v>
      </c>
      <c r="I2312" s="40" t="n">
        <f aca="false">I2308+I2309+I2310</f>
        <v>38.7341489435369</v>
      </c>
      <c r="J2312" s="40" t="n">
        <f aca="false">J2308+J2309+J2310</f>
        <v>50.7598647321333</v>
      </c>
      <c r="K2312" s="51" t="n">
        <f aca="false">SUM(F2312:J2312)</f>
        <v>126.07092773817</v>
      </c>
      <c r="L2312" s="49"/>
    </row>
    <row r="2313" customFormat="false" ht="15" hidden="true" customHeight="false" outlineLevel="1" collapsed="false">
      <c r="A2313" s="20" t="n">
        <v>66</v>
      </c>
      <c r="B2313" s="6" t="s">
        <v>91</v>
      </c>
      <c r="C2313" s="20" t="s">
        <v>71</v>
      </c>
      <c r="D2313" s="23"/>
      <c r="E2313" s="23"/>
      <c r="F2313" s="40" t="n">
        <f aca="false">F2312+F2311</f>
        <v>8</v>
      </c>
      <c r="G2313" s="40" t="n">
        <f aca="false">G2312+G2311</f>
        <v>17.85</v>
      </c>
      <c r="H2313" s="40" t="n">
        <f aca="false">H2312+H2311</f>
        <v>34.0569140625</v>
      </c>
      <c r="I2313" s="40" t="n">
        <f aca="false">I2312+I2311</f>
        <v>43.3646489435369</v>
      </c>
      <c r="J2313" s="40" t="n">
        <f aca="false">J2312+J2311</f>
        <v>67.7769522321333</v>
      </c>
      <c r="K2313" s="51" t="n">
        <f aca="false">SUM(F2313:J2313)</f>
        <v>171.04851523817</v>
      </c>
      <c r="L2313" s="49" t="s">
        <v>626</v>
      </c>
    </row>
    <row r="2314" customFormat="false" ht="15" hidden="true" customHeight="false" outlineLevel="1" collapsed="false">
      <c r="A2314" s="20" t="n">
        <v>67</v>
      </c>
      <c r="B2314" s="6" t="s">
        <v>627</v>
      </c>
      <c r="C2314" s="20" t="s">
        <v>55</v>
      </c>
      <c r="D2314" s="23"/>
      <c r="E2314" s="23"/>
      <c r="F2314" s="40" t="n">
        <f aca="false">IF(F$2295&gt;=$D$2245,($D$2247+$D$2246*$D$2248)*(1+$D$2253)^(F$2295-$D$2245)*F2296,0)+($D$2247+$D$2278*$D$2248)*F2296*SUMPRODUCT($E$2286:F$2286,(1+$D$2253)^(F$2295-$E$2295:F$2295))+($D$2249+$D$2279*$D$2248)*F2296*SUMPRODUCT($E$2287:F$2287,(1+$D$2253)^(F$2295-$E$2295:F$2295))</f>
        <v>15</v>
      </c>
      <c r="G2314" s="40" t="n">
        <f aca="false">IF(G$2295&gt;=$D$2245,($D$2247+$D$2246*$D$2248)*(1+$D$2253)^(G$2295-$D$2245)*G2296,0)+($D$2247+$D$2278*$D$2248)*G2296*SUMPRODUCT($E$2286:G$2286,(1+$D$2253)^(G$2295-$E$2295:G$2295))+($D$2249+$D$2279*$D$2248)*G2296*SUMPRODUCT($E$2287:G$2287,(1+$D$2253)^(G$2295-$E$2295:G$2295))</f>
        <v>19.83515625</v>
      </c>
      <c r="H2314" s="40" t="n">
        <f aca="false">IF(H$2295&gt;=$D$2245,($D$2247+$D$2246*$D$2248)*(1+$D$2253)^(H$2295-$D$2245)*H2296,0)+($D$2247+$D$2278*$D$2248)*H2296*SUMPRODUCT($E$2286:H$2286,(1+$D$2253)^(H$2295-$E$2295:H$2295))+($D$2249+$D$2279*$D$2248)*H2296*SUMPRODUCT($E$2287:H$2287,(1+$D$2253)^(H$2295-$E$2295:H$2295))</f>
        <v>36.8896656605114</v>
      </c>
      <c r="I2314" s="40" t="n">
        <f aca="false">IF(I$2295&gt;=$D$2245,($D$2247+$D$2246*$D$2248)*(1+$D$2253)^(I$2295-$D$2245)*I2296,0)+($D$2247+$D$2278*$D$2248)*I2296*SUMPRODUCT($E$2286:I$2286,(1+$D$2253)^(I$2295-$E$2295:I$2295))+($D$2249+$D$2279*$D$2248)*I2296*SUMPRODUCT($E$2287:I$2287,(1+$D$2253)^(I$2295-$E$2295:I$2295))</f>
        <v>48.3427283163175</v>
      </c>
      <c r="J2314" s="40" t="n">
        <f aca="false">IF(J$2295&gt;=$D$2245,($D$2247+$D$2246*$D$2248)*(1+$D$2253)^(J$2295-$D$2245)*J2296,0)+($D$2247+$D$2278*$D$2248)*J2296*SUMPRODUCT($E$2286:J$2286,(1+$D$2253)^(J$2295-$E$2295:J$2295))+($D$2249+$D$2279*$D$2248)*J2296*SUMPRODUCT($E$2287:J$2287,(1+$D$2253)^(J$2295-$E$2295:J$2295))</f>
        <v>74.6329671070812</v>
      </c>
      <c r="K2314" s="23"/>
      <c r="L2314" s="49" t="s">
        <v>628</v>
      </c>
    </row>
    <row r="2315" customFormat="false" ht="15" hidden="true" customHeight="false" outlineLevel="1" collapsed="false">
      <c r="A2315" s="19" t="s">
        <v>629</v>
      </c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</row>
    <row r="2316" customFormat="false" ht="15" hidden="true" customHeight="false" outlineLevel="1" collapsed="false">
      <c r="A2316" s="20" t="n">
        <v>68</v>
      </c>
      <c r="B2316" s="6" t="s">
        <v>630</v>
      </c>
      <c r="C2316" s="20" t="s">
        <v>53</v>
      </c>
      <c r="D2316" s="23"/>
      <c r="E2316" s="40" t="n">
        <f aca="false">E2288+E2289+E2290+E2291+E2292+E2293</f>
        <v>2</v>
      </c>
      <c r="F2316" s="40" t="n">
        <f aca="false">F2288+F2289+F2290+F2291+F2292+F2293</f>
        <v>4</v>
      </c>
      <c r="G2316" s="40" t="n">
        <f aca="false">G2288+G2289+G2290+G2291+G2292+G2293</f>
        <v>5</v>
      </c>
      <c r="H2316" s="40" t="n">
        <f aca="false">H2288+H2289+H2290+H2291+H2292+H2293</f>
        <v>6</v>
      </c>
      <c r="I2316" s="40" t="n">
        <f aca="false">I2288+I2289+I2290+I2291+I2292+I2293</f>
        <v>7</v>
      </c>
      <c r="J2316" s="40" t="n">
        <f aca="false">J2288+J2289+J2290+J2291+J2292+J2293</f>
        <v>8</v>
      </c>
      <c r="K2316" s="23"/>
      <c r="L2316" s="49" t="s">
        <v>631</v>
      </c>
    </row>
    <row r="2317" customFormat="false" ht="15" hidden="true" customHeight="false" outlineLevel="1" collapsed="false">
      <c r="A2317" s="20" t="n">
        <v>69</v>
      </c>
      <c r="B2317" s="6" t="s">
        <v>632</v>
      </c>
      <c r="C2317" s="20" t="s">
        <v>53</v>
      </c>
      <c r="D2317" s="23"/>
      <c r="E2317" s="23"/>
      <c r="F2317" s="40" t="n">
        <f aca="false">MAX(0,F2316-E2316)</f>
        <v>2</v>
      </c>
      <c r="G2317" s="40" t="n">
        <f aca="false">MAX(0,G2316-F2316)</f>
        <v>1</v>
      </c>
      <c r="H2317" s="40" t="n">
        <f aca="false">MAX(0,H2316-G2316)</f>
        <v>1</v>
      </c>
      <c r="I2317" s="40" t="n">
        <f aca="false">MAX(0,I2316-H2316)</f>
        <v>1</v>
      </c>
      <c r="J2317" s="40" t="n">
        <f aca="false">MAX(0,J2316-I2316)</f>
        <v>1</v>
      </c>
      <c r="K2317" s="23"/>
      <c r="L2317" s="49" t="s">
        <v>633</v>
      </c>
    </row>
    <row r="2318" customFormat="false" ht="15" hidden="true" customHeight="false" outlineLevel="1" collapsed="false">
      <c r="A2318" s="20" t="n">
        <v>70</v>
      </c>
      <c r="B2318" s="6" t="s">
        <v>634</v>
      </c>
      <c r="C2318" s="20" t="s">
        <v>71</v>
      </c>
      <c r="D2318" s="23"/>
      <c r="E2318" s="23"/>
      <c r="F2318" s="41" t="n">
        <f aca="false">$D$2280*12/1000*F2298</f>
        <v>2.4</v>
      </c>
      <c r="G2318" s="41" t="n">
        <f aca="false">$D$2280*12/1000*G2298</f>
        <v>2.568</v>
      </c>
      <c r="H2318" s="41" t="n">
        <f aca="false">$D$2280*12/1000*H2298</f>
        <v>2.74776</v>
      </c>
      <c r="I2318" s="41" t="n">
        <f aca="false">$D$2280*12/1000*I2298</f>
        <v>2.9401032</v>
      </c>
      <c r="J2318" s="41" t="n">
        <f aca="false">$D$2280*12/1000*J2298</f>
        <v>3.145910424</v>
      </c>
      <c r="K2318" s="23"/>
      <c r="L2318" s="49" t="s">
        <v>635</v>
      </c>
    </row>
    <row r="2319" customFormat="false" ht="15" hidden="true" customHeight="false" outlineLevel="1" collapsed="false">
      <c r="A2319" s="20" t="n">
        <v>71</v>
      </c>
      <c r="B2319" s="6" t="s">
        <v>636</v>
      </c>
      <c r="C2319" s="20" t="s">
        <v>71</v>
      </c>
      <c r="D2319" s="23"/>
      <c r="E2319" s="23"/>
      <c r="F2319" s="41" t="n">
        <f aca="false">$D$2281*12/1000*F2298</f>
        <v>3.36</v>
      </c>
      <c r="G2319" s="41" t="n">
        <f aca="false">$D$2281*12/1000*G2298</f>
        <v>3.5952</v>
      </c>
      <c r="H2319" s="41" t="n">
        <f aca="false">$D$2281*12/1000*H2298</f>
        <v>3.846864</v>
      </c>
      <c r="I2319" s="41" t="n">
        <f aca="false">$D$2281*12/1000*I2298</f>
        <v>4.11614448</v>
      </c>
      <c r="J2319" s="41" t="n">
        <f aca="false">$D$2281*12/1000*J2298</f>
        <v>4.4042745936</v>
      </c>
      <c r="K2319" s="23"/>
      <c r="L2319" s="49" t="s">
        <v>635</v>
      </c>
    </row>
    <row r="2320" customFormat="false" ht="15" hidden="true" customHeight="false" outlineLevel="1" collapsed="false">
      <c r="A2320" s="20" t="n">
        <v>72</v>
      </c>
      <c r="B2320" s="6" t="s">
        <v>637</v>
      </c>
      <c r="C2320" s="20" t="s">
        <v>71</v>
      </c>
      <c r="D2320" s="23"/>
      <c r="E2320" s="23"/>
      <c r="F2320" s="41" t="n">
        <f aca="false">$D$2282*12/1000*F2298</f>
        <v>2.76</v>
      </c>
      <c r="G2320" s="41" t="n">
        <f aca="false">$D$2282*12/1000*G2298</f>
        <v>2.9532</v>
      </c>
      <c r="H2320" s="41" t="n">
        <f aca="false">$D$2282*12/1000*H2298</f>
        <v>3.159924</v>
      </c>
      <c r="I2320" s="41" t="n">
        <f aca="false">$D$2282*12/1000*I2298</f>
        <v>3.38111868</v>
      </c>
      <c r="J2320" s="41" t="n">
        <f aca="false">$D$2282*12/1000*J2298</f>
        <v>3.6177969876</v>
      </c>
      <c r="K2320" s="23"/>
      <c r="L2320" s="49" t="s">
        <v>635</v>
      </c>
    </row>
    <row r="2321" customFormat="false" ht="15" hidden="true" customHeight="false" outlineLevel="1" collapsed="false">
      <c r="A2321" s="20" t="n">
        <v>73</v>
      </c>
      <c r="B2321" s="6" t="s">
        <v>638</v>
      </c>
      <c r="C2321" s="20" t="s">
        <v>71</v>
      </c>
      <c r="D2321" s="23"/>
      <c r="E2321" s="23"/>
      <c r="F2321" s="41" t="n">
        <f aca="false">$D$2283*12/1000*F2298</f>
        <v>2.64</v>
      </c>
      <c r="G2321" s="41" t="n">
        <f aca="false">$D$2283*12/1000*G2298</f>
        <v>2.8248</v>
      </c>
      <c r="H2321" s="41" t="n">
        <f aca="false">$D$2283*12/1000*H2298</f>
        <v>3.022536</v>
      </c>
      <c r="I2321" s="41" t="n">
        <f aca="false">$D$2283*12/1000*I2298</f>
        <v>3.23411352</v>
      </c>
      <c r="J2321" s="41" t="n">
        <f aca="false">$D$2283*12/1000*J2298</f>
        <v>3.4605014664</v>
      </c>
      <c r="K2321" s="23"/>
      <c r="L2321" s="49" t="s">
        <v>635</v>
      </c>
    </row>
    <row r="2322" customFormat="false" ht="15" hidden="true" customHeight="false" outlineLevel="1" collapsed="false">
      <c r="A2322" s="20" t="n">
        <v>74</v>
      </c>
      <c r="B2322" s="6" t="s">
        <v>639</v>
      </c>
      <c r="C2322" s="20" t="s">
        <v>71</v>
      </c>
      <c r="D2322" s="23"/>
      <c r="E2322" s="23"/>
      <c r="F2322" s="41" t="n">
        <f aca="false">$D$2284*12/1000*F2298</f>
        <v>3</v>
      </c>
      <c r="G2322" s="41" t="n">
        <f aca="false">$D$2284*12/1000*G2298</f>
        <v>3.21</v>
      </c>
      <c r="H2322" s="41" t="n">
        <f aca="false">$D$2284*12/1000*H2298</f>
        <v>3.4347</v>
      </c>
      <c r="I2322" s="41" t="n">
        <f aca="false">$D$2284*12/1000*I2298</f>
        <v>3.675129</v>
      </c>
      <c r="J2322" s="41" t="n">
        <f aca="false">$D$2284*12/1000*J2298</f>
        <v>3.93238803</v>
      </c>
      <c r="K2322" s="23"/>
      <c r="L2322" s="49" t="s">
        <v>635</v>
      </c>
    </row>
    <row r="2323" customFormat="false" ht="15" hidden="true" customHeight="false" outlineLevel="1" collapsed="false">
      <c r="A2323" s="20" t="n">
        <v>75</v>
      </c>
      <c r="B2323" s="6" t="s">
        <v>640</v>
      </c>
      <c r="C2323" s="20" t="s">
        <v>71</v>
      </c>
      <c r="D2323" s="23"/>
      <c r="E2323" s="23"/>
      <c r="F2323" s="41" t="n">
        <f aca="false">$D$2285*12/1000*F2298</f>
        <v>2.64</v>
      </c>
      <c r="G2323" s="41" t="n">
        <f aca="false">$D$2285*12/1000*G2298</f>
        <v>2.8248</v>
      </c>
      <c r="H2323" s="41" t="n">
        <f aca="false">$D$2285*12/1000*H2298</f>
        <v>3.022536</v>
      </c>
      <c r="I2323" s="41" t="n">
        <f aca="false">$D$2285*12/1000*I2298</f>
        <v>3.23411352</v>
      </c>
      <c r="J2323" s="41" t="n">
        <f aca="false">$D$2285*12/1000*J2298</f>
        <v>3.4605014664</v>
      </c>
      <c r="K2323" s="23"/>
      <c r="L2323" s="49" t="s">
        <v>635</v>
      </c>
    </row>
    <row r="2324" customFormat="false" ht="15" hidden="true" customHeight="false" outlineLevel="1" collapsed="false">
      <c r="A2324" s="20" t="n">
        <v>76</v>
      </c>
      <c r="B2324" s="6" t="s">
        <v>641</v>
      </c>
      <c r="C2324" s="20" t="s">
        <v>71</v>
      </c>
      <c r="D2324" s="23"/>
      <c r="E2324" s="23"/>
      <c r="F2324" s="40" t="n">
        <f aca="false">F2288*F2318</f>
        <v>4.8</v>
      </c>
      <c r="G2324" s="40" t="n">
        <f aca="false">G2288*G2318</f>
        <v>5.136</v>
      </c>
      <c r="H2324" s="40" t="n">
        <f aca="false">H2288*H2318</f>
        <v>5.49552</v>
      </c>
      <c r="I2324" s="40" t="n">
        <f aca="false">I2288*I2318</f>
        <v>5.8802064</v>
      </c>
      <c r="J2324" s="40" t="n">
        <f aca="false">J2288*J2318</f>
        <v>6.291820848</v>
      </c>
      <c r="K2324" s="51" t="n">
        <f aca="false">SUM(F2324:J2324)</f>
        <v>27.603547248</v>
      </c>
      <c r="L2324" s="49" t="s">
        <v>642</v>
      </c>
    </row>
    <row r="2325" customFormat="false" ht="15" hidden="true" customHeight="false" outlineLevel="1" collapsed="false">
      <c r="A2325" s="20" t="n">
        <v>77</v>
      </c>
      <c r="B2325" s="6" t="s">
        <v>643</v>
      </c>
      <c r="C2325" s="20" t="s">
        <v>71</v>
      </c>
      <c r="D2325" s="23"/>
      <c r="E2325" s="23"/>
      <c r="F2325" s="40" t="n">
        <f aca="false">F2289*F2319</f>
        <v>3.36</v>
      </c>
      <c r="G2325" s="40" t="n">
        <f aca="false">G2289*G2319</f>
        <v>3.5952</v>
      </c>
      <c r="H2325" s="40" t="n">
        <f aca="false">H2289*H2319</f>
        <v>3.846864</v>
      </c>
      <c r="I2325" s="40" t="n">
        <f aca="false">I2289*I2319</f>
        <v>8.23228896</v>
      </c>
      <c r="J2325" s="40" t="n">
        <f aca="false">J2289*J2319</f>
        <v>8.8085491872</v>
      </c>
      <c r="K2325" s="51" t="n">
        <f aca="false">SUM(F2325:J2325)</f>
        <v>27.8429021472</v>
      </c>
      <c r="L2325" s="49" t="s">
        <v>642</v>
      </c>
    </row>
    <row r="2326" customFormat="false" ht="15" hidden="true" customHeight="false" outlineLevel="1" collapsed="false">
      <c r="A2326" s="20" t="n">
        <v>78</v>
      </c>
      <c r="B2326" s="6" t="s">
        <v>644</v>
      </c>
      <c r="C2326" s="20" t="s">
        <v>71</v>
      </c>
      <c r="D2326" s="23"/>
      <c r="E2326" s="23"/>
      <c r="F2326" s="40" t="n">
        <f aca="false">F2290*F2320</f>
        <v>2.76</v>
      </c>
      <c r="G2326" s="40" t="n">
        <f aca="false">G2290*G2320</f>
        <v>2.9532</v>
      </c>
      <c r="H2326" s="40" t="n">
        <f aca="false">H2290*H2320</f>
        <v>3.159924</v>
      </c>
      <c r="I2326" s="40" t="n">
        <f aca="false">I2290*I2320</f>
        <v>3.38111868</v>
      </c>
      <c r="J2326" s="40" t="n">
        <f aca="false">J2290*J2320</f>
        <v>3.6177969876</v>
      </c>
      <c r="K2326" s="51" t="n">
        <f aca="false">SUM(F2326:J2326)</f>
        <v>15.8720396676</v>
      </c>
      <c r="L2326" s="49" t="s">
        <v>642</v>
      </c>
    </row>
    <row r="2327" customFormat="false" ht="15" hidden="true" customHeight="false" outlineLevel="1" collapsed="false">
      <c r="A2327" s="20" t="n">
        <v>79</v>
      </c>
      <c r="B2327" s="6" t="s">
        <v>645</v>
      </c>
      <c r="C2327" s="20" t="s">
        <v>71</v>
      </c>
      <c r="D2327" s="23"/>
      <c r="E2327" s="23"/>
      <c r="F2327" s="40" t="n">
        <f aca="false">F2291*F2321</f>
        <v>0</v>
      </c>
      <c r="G2327" s="40" t="n">
        <f aca="false">G2291*G2321</f>
        <v>2.8248</v>
      </c>
      <c r="H2327" s="40" t="n">
        <f aca="false">H2291*H2321</f>
        <v>3.022536</v>
      </c>
      <c r="I2327" s="40" t="n">
        <f aca="false">I2291*I2321</f>
        <v>3.23411352</v>
      </c>
      <c r="J2327" s="40" t="n">
        <f aca="false">J2291*J2321</f>
        <v>3.4605014664</v>
      </c>
      <c r="K2327" s="51" t="n">
        <f aca="false">SUM(F2327:J2327)</f>
        <v>12.5419509864</v>
      </c>
      <c r="L2327" s="49" t="s">
        <v>642</v>
      </c>
    </row>
    <row r="2328" customFormat="false" ht="15" hidden="true" customHeight="false" outlineLevel="1" collapsed="false">
      <c r="A2328" s="20" t="n">
        <v>80</v>
      </c>
      <c r="B2328" s="6" t="s">
        <v>646</v>
      </c>
      <c r="C2328" s="20" t="s">
        <v>71</v>
      </c>
      <c r="D2328" s="23"/>
      <c r="E2328" s="23"/>
      <c r="F2328" s="40" t="n">
        <f aca="false">F2292*F2322</f>
        <v>0</v>
      </c>
      <c r="G2328" s="40" t="n">
        <f aca="false">G2292*G2322</f>
        <v>0</v>
      </c>
      <c r="H2328" s="40" t="n">
        <f aca="false">H2292*H2322</f>
        <v>3.4347</v>
      </c>
      <c r="I2328" s="40" t="n">
        <f aca="false">I2292*I2322</f>
        <v>3.675129</v>
      </c>
      <c r="J2328" s="40" t="n">
        <f aca="false">J2292*J2322</f>
        <v>3.93238803</v>
      </c>
      <c r="K2328" s="51" t="n">
        <f aca="false">SUM(F2328:J2328)</f>
        <v>11.04221703</v>
      </c>
      <c r="L2328" s="49" t="s">
        <v>642</v>
      </c>
    </row>
    <row r="2329" customFormat="false" ht="15" hidden="true" customHeight="false" outlineLevel="1" collapsed="false">
      <c r="A2329" s="20" t="n">
        <v>81</v>
      </c>
      <c r="B2329" s="6" t="s">
        <v>647</v>
      </c>
      <c r="C2329" s="20" t="s">
        <v>71</v>
      </c>
      <c r="D2329" s="23"/>
      <c r="E2329" s="23"/>
      <c r="F2329" s="40" t="n">
        <f aca="false">F2293*F2323</f>
        <v>0</v>
      </c>
      <c r="G2329" s="40" t="n">
        <f aca="false">G2293*G2323</f>
        <v>0</v>
      </c>
      <c r="H2329" s="40" t="n">
        <f aca="false">H2293*H2323</f>
        <v>0</v>
      </c>
      <c r="I2329" s="40" t="n">
        <f aca="false">I2293*I2323</f>
        <v>0</v>
      </c>
      <c r="J2329" s="40" t="n">
        <f aca="false">J2293*J2323</f>
        <v>3.4605014664</v>
      </c>
      <c r="K2329" s="51" t="n">
        <f aca="false">SUM(F2329:J2329)</f>
        <v>3.4605014664</v>
      </c>
      <c r="L2329" s="49" t="s">
        <v>642</v>
      </c>
    </row>
    <row r="2330" customFormat="false" ht="15" hidden="true" customHeight="false" outlineLevel="1" collapsed="false">
      <c r="A2330" s="20" t="n">
        <v>82</v>
      </c>
      <c r="B2330" s="6" t="s">
        <v>648</v>
      </c>
      <c r="C2330" s="20" t="s">
        <v>71</v>
      </c>
      <c r="D2330" s="23"/>
      <c r="E2330" s="23"/>
      <c r="F2330" s="40" t="n">
        <f aca="false">F2324+F2325+F2326+F2327+F2328+F2329</f>
        <v>10.92</v>
      </c>
      <c r="G2330" s="40" t="n">
        <f aca="false">G2324+G2325+G2326+G2327+G2328+G2329</f>
        <v>14.5092</v>
      </c>
      <c r="H2330" s="40" t="n">
        <f aca="false">H2324+H2325+H2326+H2327+H2328+H2329</f>
        <v>18.959544</v>
      </c>
      <c r="I2330" s="40" t="n">
        <f aca="false">I2324+I2325+I2326+I2327+I2328+I2329</f>
        <v>24.40285656</v>
      </c>
      <c r="J2330" s="40" t="n">
        <f aca="false">J2324+J2325+J2326+J2327+J2328+J2329</f>
        <v>29.5715579856</v>
      </c>
      <c r="K2330" s="51" t="n">
        <f aca="false">SUM(F2330:J2330)</f>
        <v>98.3631585456</v>
      </c>
      <c r="L2330" s="49"/>
    </row>
    <row r="2331" customFormat="false" ht="15" hidden="true" customHeight="false" outlineLevel="1" collapsed="false">
      <c r="A2331" s="20" t="n">
        <v>83</v>
      </c>
      <c r="B2331" s="6" t="s">
        <v>649</v>
      </c>
      <c r="C2331" s="20" t="s">
        <v>71</v>
      </c>
      <c r="D2331" s="23"/>
      <c r="E2331" s="23"/>
      <c r="F2331" s="40" t="n">
        <f aca="false">F2288*(MIN(F2318,F2299)*$D$2255+MAX(0,F2318-F2299)*$D$2256+F2318*$D$2257)+F2289*(MIN(F2319,F2299)*$D$2255+MAX(0,F2319-F2299)*$D$2256+F2319*$D$2257)+F2290*(MIN(F2320,F2299)*$D$2255+MAX(0,F2320-F2299)*$D$2256+F2320*$D$2257)+F2291*(MIN(F2321,F2299)*$D$2255+MAX(0,F2321-F2299)*$D$2256+F2321*$D$2257)+F2292*(MIN(F2322,F2299)*$D$2255+MAX(0,F2322-F2299)*$D$2256+F2322*$D$2257)+F2293*(MIN(F2323,F2299)*$D$2255+MAX(0,F2323-F2299)*$D$2256+F2323*$D$2257)</f>
        <v>1.64928168</v>
      </c>
      <c r="G2331" s="40" t="n">
        <f aca="false">G2288*(MIN(G2318,G2299)*$D$2255+MAX(0,G2318-G2299)*$D$2256+G2318*$D$2257)+G2289*(MIN(G2319,G2299)*$D$2255+MAX(0,G2319-G2299)*$D$2256+G2319*$D$2257)+G2290*(MIN(G2320,G2299)*$D$2255+MAX(0,G2320-G2299)*$D$2256+G2320*$D$2257)+G2291*(MIN(G2321,G2299)*$D$2255+MAX(0,G2321-G2299)*$D$2256+G2321*$D$2257)+G2292*(MIN(G2322,G2299)*$D$2255+MAX(0,G2322-G2299)*$D$2256+G2322*$D$2257)+G2293*(MIN(G2323,G2299)*$D$2255+MAX(0,G2323-G2299)*$D$2256+G2323*$D$2257)</f>
        <v>2.1964818144</v>
      </c>
      <c r="H2331" s="40" t="n">
        <f aca="false">H2288*(MIN(H2318,H2299)*$D$2255+MAX(0,H2318-H2299)*$D$2256+H2318*$D$2257)+H2289*(MIN(H2319,H2299)*$D$2255+MAX(0,H2319-H2299)*$D$2256+H2319*$D$2257)+H2290*(MIN(H2320,H2299)*$D$2255+MAX(0,H2320-H2299)*$D$2256+H2320*$D$2257)+H2291*(MIN(H2321,H2299)*$D$2255+MAX(0,H2321-H2299)*$D$2256+H2321*$D$2257)+H2292*(MIN(H2322,H2299)*$D$2255+MAX(0,H2322-H2299)*$D$2256+H2322*$D$2257)+H2293*(MIN(H2323,H2299)*$D$2255+MAX(0,H2323-H2299)*$D$2256+H2323*$D$2257)</f>
        <v>2.874881223552</v>
      </c>
      <c r="I2331" s="40" t="n">
        <f aca="false">I2288*(MIN(I2318,I2299)*$D$2255+MAX(0,I2318-I2299)*$D$2256+I2318*$D$2257)+I2289*(MIN(I2319,I2299)*$D$2255+MAX(0,I2319-I2299)*$D$2256+I2319*$D$2257)+I2290*(MIN(I2320,I2299)*$D$2255+MAX(0,I2320-I2299)*$D$2256+I2320*$D$2257)+I2291*(MIN(I2321,I2299)*$D$2255+MAX(0,I2321-I2299)*$D$2256+I2321*$D$2257)+I2292*(MIN(I2322,I2299)*$D$2255+MAX(0,I2322-I2299)*$D$2256+I2322*$D$2257)+I2293*(MIN(I2323,I2299)*$D$2255+MAX(0,I2323-I2299)*$D$2256+I2323*$D$2257)</f>
        <v>3.69987351263232</v>
      </c>
      <c r="J2331" s="40" t="n">
        <f aca="false">J2288*(MIN(J2318,J2299)*$D$2255+MAX(0,J2318-J2299)*$D$2256+J2318*$D$2257)+J2289*(MIN(J2319,J2299)*$D$2255+MAX(0,J2319-J2299)*$D$2256+J2319*$D$2257)+J2290*(MIN(J2320,J2299)*$D$2255+MAX(0,J2320-J2299)*$D$2256+J2320*$D$2257)+J2291*(MIN(J2321,J2299)*$D$2255+MAX(0,J2321-J2299)*$D$2256+J2321*$D$2257)+J2292*(MIN(J2322,J2299)*$D$2255+MAX(0,J2322-J2299)*$D$2256+J2322*$D$2257)+J2293*(MIN(J2323,J2299)*$D$2255+MAX(0,J2323-J2299)*$D$2256+J2323*$D$2257)</f>
        <v>4.49085916839491</v>
      </c>
      <c r="K2331" s="51" t="n">
        <f aca="false">SUM(F2331:J2331)</f>
        <v>14.9113773989792</v>
      </c>
      <c r="L2331" s="49" t="s">
        <v>650</v>
      </c>
    </row>
    <row r="2332" customFormat="false" ht="15" hidden="true" customHeight="false" outlineLevel="1" collapsed="false">
      <c r="A2332" s="20" t="n">
        <v>84</v>
      </c>
      <c r="B2332" s="6" t="s">
        <v>651</v>
      </c>
      <c r="C2332" s="20"/>
      <c r="D2332" s="23"/>
      <c r="E2332" s="23"/>
      <c r="F2332" s="38" t="n">
        <f aca="false">IF(AND(F2305&gt;0,E2305=0),1,0)</f>
        <v>1</v>
      </c>
      <c r="G2332" s="38" t="n">
        <f aca="false">IF(AND(G2305&gt;0,F2305=0),1,0)</f>
        <v>0</v>
      </c>
      <c r="H2332" s="38" t="n">
        <f aca="false">IF(AND(H2305&gt;0,G2305=0),1,0)</f>
        <v>0</v>
      </c>
      <c r="I2332" s="38" t="n">
        <f aca="false">IF(AND(I2305&gt;0,H2305=0),1,0)</f>
        <v>0</v>
      </c>
      <c r="J2332" s="38" t="n">
        <f aca="false">IF(AND(J2305&gt;0,I2305=0),1,0)</f>
        <v>0</v>
      </c>
      <c r="K2332" s="23"/>
      <c r="L2332" s="49"/>
    </row>
    <row r="2333" customFormat="false" ht="15" hidden="true" customHeight="false" outlineLevel="1" collapsed="false">
      <c r="A2333" s="20" t="n">
        <v>85</v>
      </c>
      <c r="B2333" s="6" t="s">
        <v>652</v>
      </c>
      <c r="C2333" s="20" t="s">
        <v>71</v>
      </c>
      <c r="D2333" s="23"/>
      <c r="E2333" s="23"/>
      <c r="F2333" s="40" t="n">
        <f aca="false">(F2332*$D$2260+IF(E2305&gt;0,1,0)*$D$2261)*F2297</f>
        <v>2.5</v>
      </c>
      <c r="G2333" s="40" t="n">
        <f aca="false">(G2332*$D$2260+IF(F2305&gt;0,1,0)*$D$2261)*G2297</f>
        <v>1.05</v>
      </c>
      <c r="H2333" s="40" t="n">
        <f aca="false">(H2332*$D$2260+IF(G2305&gt;0,1,0)*$D$2261)*H2297</f>
        <v>1.1025</v>
      </c>
      <c r="I2333" s="40" t="n">
        <f aca="false">(I2332*$D$2260+IF(H2305&gt;0,1,0)*$D$2261)*I2297</f>
        <v>1.157625</v>
      </c>
      <c r="J2333" s="40" t="n">
        <f aca="false">(J2332*$D$2260+IF(I2305&gt;0,1,0)*$D$2261)*J2297</f>
        <v>1.21550625</v>
      </c>
      <c r="K2333" s="51" t="n">
        <f aca="false">SUM(F2333:J2333)</f>
        <v>7.02563125</v>
      </c>
      <c r="L2333" s="49" t="s">
        <v>653</v>
      </c>
    </row>
    <row r="2334" customFormat="false" ht="15" hidden="true" customHeight="false" outlineLevel="1" collapsed="false">
      <c r="A2334" s="20" t="n">
        <v>86</v>
      </c>
      <c r="B2334" s="6" t="s">
        <v>302</v>
      </c>
      <c r="C2334" s="20" t="s">
        <v>71</v>
      </c>
      <c r="D2334" s="23"/>
      <c r="E2334" s="23"/>
      <c r="F2334" s="40" t="n">
        <f aca="false">$D$2262*F2297</f>
        <v>0.6</v>
      </c>
      <c r="G2334" s="40" t="n">
        <f aca="false">$D$2262*G2297</f>
        <v>0.63</v>
      </c>
      <c r="H2334" s="40" t="n">
        <f aca="false">$D$2262*H2297</f>
        <v>0.6615</v>
      </c>
      <c r="I2334" s="40" t="n">
        <f aca="false">$D$2262*I2297</f>
        <v>0.694575</v>
      </c>
      <c r="J2334" s="40" t="n">
        <f aca="false">$D$2262*J2297</f>
        <v>0.72930375</v>
      </c>
      <c r="K2334" s="51" t="n">
        <f aca="false">SUM(F2334:J2334)</f>
        <v>3.31537875</v>
      </c>
      <c r="L2334" s="49"/>
    </row>
    <row r="2335" customFormat="false" ht="15" hidden="true" customHeight="false" outlineLevel="1" collapsed="false">
      <c r="A2335" s="20" t="n">
        <v>87</v>
      </c>
      <c r="B2335" s="6" t="s">
        <v>654</v>
      </c>
      <c r="C2335" s="20" t="s">
        <v>71</v>
      </c>
      <c r="D2335" s="23"/>
      <c r="E2335" s="23"/>
      <c r="F2335" s="40" t="n">
        <f aca="false">$D$2263*F2316*F2297</f>
        <v>0.6</v>
      </c>
      <c r="G2335" s="40" t="n">
        <f aca="false">$D$2263*G2316*G2297</f>
        <v>0.7875</v>
      </c>
      <c r="H2335" s="40" t="n">
        <f aca="false">$D$2263*H2316*H2297</f>
        <v>0.99225</v>
      </c>
      <c r="I2335" s="40" t="n">
        <f aca="false">$D$2263*I2316*I2297</f>
        <v>1.21550625</v>
      </c>
      <c r="J2335" s="40" t="n">
        <f aca="false">$D$2263*J2316*J2297</f>
        <v>1.4586075</v>
      </c>
      <c r="K2335" s="51" t="n">
        <f aca="false">SUM(F2335:J2335)</f>
        <v>5.05386375</v>
      </c>
      <c r="L2335" s="49" t="s">
        <v>655</v>
      </c>
    </row>
    <row r="2336" customFormat="false" ht="15" hidden="true" customHeight="false" outlineLevel="1" collapsed="false">
      <c r="A2336" s="20" t="n">
        <v>88</v>
      </c>
      <c r="B2336" s="6" t="s">
        <v>656</v>
      </c>
      <c r="C2336" s="20" t="s">
        <v>71</v>
      </c>
      <c r="D2336" s="23"/>
      <c r="E2336" s="23"/>
      <c r="F2336" s="40" t="n">
        <f aca="false">($D$2264+$D$2265*F2306)*F2297</f>
        <v>1.4</v>
      </c>
      <c r="G2336" s="40" t="n">
        <f aca="false">($D$2264+$D$2265*G2306)*G2297</f>
        <v>1.47</v>
      </c>
      <c r="H2336" s="40" t="n">
        <f aca="false">($D$2264+$D$2265*H2306)*H2297</f>
        <v>2.4255</v>
      </c>
      <c r="I2336" s="40" t="n">
        <f aca="false">($D$2264+$D$2265*I2306)*I2297</f>
        <v>2.083725</v>
      </c>
      <c r="J2336" s="40" t="n">
        <f aca="false">($D$2264+$D$2265*J2306)*J2297</f>
        <v>3.16031625</v>
      </c>
      <c r="K2336" s="51" t="n">
        <f aca="false">SUM(F2336:J2336)</f>
        <v>10.53954125</v>
      </c>
      <c r="L2336" s="49" t="s">
        <v>657</v>
      </c>
    </row>
    <row r="2337" customFormat="false" ht="15" hidden="true" customHeight="false" outlineLevel="1" collapsed="false">
      <c r="A2337" s="20" t="n">
        <v>89</v>
      </c>
      <c r="B2337" s="6" t="s">
        <v>658</v>
      </c>
      <c r="C2337" s="20" t="s">
        <v>71</v>
      </c>
      <c r="D2337" s="23"/>
      <c r="E2337" s="23"/>
      <c r="F2337" s="40" t="n">
        <f aca="false">($D$2266+$D$2267*F2316)*F2297</f>
        <v>1.6</v>
      </c>
      <c r="G2337" s="40" t="n">
        <f aca="false">($D$2266+$D$2267*G2316)*G2297</f>
        <v>1.785</v>
      </c>
      <c r="H2337" s="40" t="n">
        <f aca="false">($D$2266+$D$2267*H2316)*H2297</f>
        <v>1.9845</v>
      </c>
      <c r="I2337" s="40" t="n">
        <f aca="false">($D$2266+$D$2267*I2316)*I2297</f>
        <v>2.1994875</v>
      </c>
      <c r="J2337" s="40" t="n">
        <f aca="false">($D$2266+$D$2267*J2316)*J2297</f>
        <v>2.4310125</v>
      </c>
      <c r="K2337" s="51" t="n">
        <f aca="false">SUM(F2337:J2337)</f>
        <v>10</v>
      </c>
      <c r="L2337" s="49" t="s">
        <v>659</v>
      </c>
    </row>
    <row r="2338" customFormat="false" ht="15" hidden="true" customHeight="false" outlineLevel="1" collapsed="false">
      <c r="A2338" s="20" t="n">
        <v>90</v>
      </c>
      <c r="B2338" s="6" t="s">
        <v>660</v>
      </c>
      <c r="C2338" s="20" t="s">
        <v>71</v>
      </c>
      <c r="D2338" s="23"/>
      <c r="E2338" s="23"/>
      <c r="F2338" s="40" t="n">
        <f aca="false">$D$2268*F2317*F2297</f>
        <v>0.5</v>
      </c>
      <c r="G2338" s="40" t="n">
        <f aca="false">$D$2268*G2317*G2297</f>
        <v>0.2625</v>
      </c>
      <c r="H2338" s="40" t="n">
        <f aca="false">$D$2268*H2317*H2297</f>
        <v>0.275625</v>
      </c>
      <c r="I2338" s="40" t="n">
        <f aca="false">$D$2268*I2317*I2297</f>
        <v>0.28940625</v>
      </c>
      <c r="J2338" s="40" t="n">
        <f aca="false">$D$2268*J2317*J2297</f>
        <v>0.3038765625</v>
      </c>
      <c r="K2338" s="51" t="n">
        <f aca="false">SUM(F2338:J2338)</f>
        <v>1.6314078125</v>
      </c>
      <c r="L2338" s="49" t="s">
        <v>661</v>
      </c>
    </row>
    <row r="2339" customFormat="false" ht="15" hidden="true" customHeight="false" outlineLevel="1" collapsed="false">
      <c r="A2339" s="20" t="n">
        <v>91</v>
      </c>
      <c r="B2339" s="6" t="s">
        <v>570</v>
      </c>
      <c r="C2339" s="20" t="s">
        <v>71</v>
      </c>
      <c r="D2339" s="23"/>
      <c r="E2339" s="23"/>
      <c r="F2339" s="40" t="n">
        <f aca="false">IF(F$2295=$F$2295,$D$2269,0)</f>
        <v>0.3</v>
      </c>
      <c r="G2339" s="40" t="n">
        <f aca="false">IF(G$2295=$F$2295,$D$2269,0)</f>
        <v>0</v>
      </c>
      <c r="H2339" s="40" t="n">
        <f aca="false">IF(H$2295=$F$2295,$D$2269,0)</f>
        <v>0</v>
      </c>
      <c r="I2339" s="40" t="n">
        <f aca="false">IF(I$2295=$F$2295,$D$2269,0)</f>
        <v>0</v>
      </c>
      <c r="J2339" s="40" t="n">
        <f aca="false">IF(J$2295=$F$2295,$D$2269,0)</f>
        <v>0</v>
      </c>
      <c r="K2339" s="51" t="n">
        <f aca="false">SUM(F2339:J2339)</f>
        <v>0.3</v>
      </c>
      <c r="L2339" s="49" t="s">
        <v>662</v>
      </c>
    </row>
    <row r="2340" customFormat="false" ht="15" hidden="true" customHeight="false" outlineLevel="1" collapsed="false">
      <c r="A2340" s="20" t="n">
        <v>92</v>
      </c>
      <c r="B2340" s="6" t="s">
        <v>663</v>
      </c>
      <c r="C2340" s="20" t="s">
        <v>71</v>
      </c>
      <c r="D2340" s="23"/>
      <c r="E2340" s="23"/>
      <c r="F2340" s="40" t="n">
        <f aca="false">F2330+F2331+F2333+F2334+F2335+F2336+F2337+F2338+F2339</f>
        <v>20.06928168</v>
      </c>
      <c r="G2340" s="40" t="n">
        <f aca="false">G2330+G2331+G2333+G2334+G2335+G2336+G2337+G2338+G2339</f>
        <v>22.6906818144</v>
      </c>
      <c r="H2340" s="40" t="n">
        <f aca="false">H2330+H2331+H2333+H2334+H2335+H2336+H2337+H2338+H2339</f>
        <v>29.276300223552</v>
      </c>
      <c r="I2340" s="40" t="n">
        <f aca="false">I2330+I2331+I2333+I2334+I2335+I2336+I2337+I2338+I2339</f>
        <v>35.7430550726323</v>
      </c>
      <c r="J2340" s="40" t="n">
        <f aca="false">J2330+J2331+J2333+J2334+J2335+J2336+J2337+J2338+J2339</f>
        <v>43.3610399664949</v>
      </c>
      <c r="K2340" s="51" t="n">
        <f aca="false">SUM(F2340:J2340)</f>
        <v>151.140358757079</v>
      </c>
      <c r="L2340" s="49"/>
    </row>
    <row r="2341" customFormat="false" ht="15" hidden="true" customHeight="false" outlineLevel="1" collapsed="false">
      <c r="A2341" s="20" t="n">
        <v>93</v>
      </c>
      <c r="B2341" s="6" t="s">
        <v>329</v>
      </c>
      <c r="C2341" s="20" t="s">
        <v>71</v>
      </c>
      <c r="D2341" s="23"/>
      <c r="E2341" s="23"/>
      <c r="F2341" s="40" t="n">
        <f aca="false">F2340*$D$2271</f>
        <v>2.006928168</v>
      </c>
      <c r="G2341" s="40" t="n">
        <f aca="false">G2340*$D$2271</f>
        <v>2.26906818144</v>
      </c>
      <c r="H2341" s="40" t="n">
        <f aca="false">H2340*$D$2271</f>
        <v>2.9276300223552</v>
      </c>
      <c r="I2341" s="40" t="n">
        <f aca="false">I2340*$D$2271</f>
        <v>3.57430550726323</v>
      </c>
      <c r="J2341" s="40" t="n">
        <f aca="false">J2340*$D$2271</f>
        <v>4.33610399664949</v>
      </c>
      <c r="K2341" s="51" t="n">
        <f aca="false">SUM(F2341:J2341)</f>
        <v>15.1140358757079</v>
      </c>
      <c r="L2341" s="49"/>
    </row>
    <row r="2342" customFormat="false" ht="15" hidden="true" customHeight="false" outlineLevel="1" collapsed="false">
      <c r="A2342" s="20" t="n">
        <v>94</v>
      </c>
      <c r="B2342" s="6" t="s">
        <v>664</v>
      </c>
      <c r="C2342" s="20" t="s">
        <v>71</v>
      </c>
      <c r="D2342" s="23"/>
      <c r="E2342" s="23"/>
      <c r="F2342" s="40" t="n">
        <f aca="false">F2340+F2341</f>
        <v>22.076209848</v>
      </c>
      <c r="G2342" s="40" t="n">
        <f aca="false">G2340+G2341</f>
        <v>24.95974999584</v>
      </c>
      <c r="H2342" s="40" t="n">
        <f aca="false">H2340+H2341</f>
        <v>32.2039302459072</v>
      </c>
      <c r="I2342" s="40" t="n">
        <f aca="false">I2340+I2341</f>
        <v>39.3173605798956</v>
      </c>
      <c r="J2342" s="40" t="n">
        <f aca="false">J2340+J2341</f>
        <v>47.6971439631444</v>
      </c>
      <c r="K2342" s="51" t="n">
        <f aca="false">SUM(F2342:J2342)</f>
        <v>166.254394632787</v>
      </c>
      <c r="L2342" s="49"/>
    </row>
    <row r="2343" customFormat="false" ht="15" hidden="true" customHeight="false" outlineLevel="1" collapsed="false">
      <c r="A2343" s="19" t="s">
        <v>665</v>
      </c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</row>
    <row r="2344" customFormat="false" ht="15" hidden="true" customHeight="false" outlineLevel="1" collapsed="false">
      <c r="A2344" s="20" t="n">
        <v>95</v>
      </c>
      <c r="B2344" s="6" t="s">
        <v>666</v>
      </c>
      <c r="C2344" s="20" t="s">
        <v>71</v>
      </c>
      <c r="D2344" s="23"/>
      <c r="E2344" s="23"/>
      <c r="F2344" s="40" t="n">
        <f aca="false">F2313-F2342</f>
        <v>-14.076209848</v>
      </c>
      <c r="G2344" s="40" t="n">
        <f aca="false">G2313-G2342</f>
        <v>-7.10974999584</v>
      </c>
      <c r="H2344" s="40" t="n">
        <f aca="false">H2313-H2342</f>
        <v>1.8529838165928</v>
      </c>
      <c r="I2344" s="40" t="n">
        <f aca="false">I2313-I2342</f>
        <v>4.04728836364139</v>
      </c>
      <c r="J2344" s="40" t="n">
        <f aca="false">J2313-J2342</f>
        <v>20.0798082689889</v>
      </c>
      <c r="K2344" s="51" t="n">
        <f aca="false">SUM(F2344:J2344)</f>
        <v>4.79412060538312</v>
      </c>
      <c r="L2344" s="49" t="s">
        <v>667</v>
      </c>
    </row>
    <row r="2345" customFormat="false" ht="15" hidden="true" customHeight="false" outlineLevel="1" collapsed="false">
      <c r="A2345" s="20" t="n">
        <v>96</v>
      </c>
      <c r="B2345" s="6" t="s">
        <v>668</v>
      </c>
      <c r="C2345" s="20" t="s">
        <v>68</v>
      </c>
      <c r="D2345" s="23"/>
      <c r="E2345" s="23"/>
      <c r="F2345" s="44" t="n">
        <f aca="false">IF(F2313&gt;0,F2344/F2313,0)</f>
        <v>-1.759526231</v>
      </c>
      <c r="G2345" s="44" t="n">
        <f aca="false">IF(G2313&gt;0,G2344/G2313,0)</f>
        <v>-0.398305321895798</v>
      </c>
      <c r="H2345" s="44" t="n">
        <f aca="false">IF(H2313&gt;0,H2344/H2313,0)</f>
        <v>0.0544084473770075</v>
      </c>
      <c r="I2345" s="44" t="n">
        <f aca="false">IF(I2313&gt;0,I2344/I2313,0)</f>
        <v>0.0933315145456653</v>
      </c>
      <c r="J2345" s="44" t="n">
        <f aca="false">IF(J2313&gt;0,J2344/J2313,0)</f>
        <v>0.296263074801835</v>
      </c>
      <c r="K2345" s="23"/>
      <c r="L2345" s="49"/>
    </row>
    <row r="2346" customFormat="false" ht="15" hidden="true" customHeight="false" outlineLevel="1" collapsed="false">
      <c r="A2346" s="20" t="n">
        <v>97</v>
      </c>
      <c r="B2346" s="6" t="s">
        <v>669</v>
      </c>
      <c r="C2346" s="20" t="s">
        <v>71</v>
      </c>
      <c r="D2346" s="23"/>
      <c r="E2346" s="23"/>
      <c r="F2346" s="40" t="n">
        <f aca="false">E2350</f>
        <v>0</v>
      </c>
      <c r="G2346" s="40" t="n">
        <f aca="false">F2350</f>
        <v>14.076209848</v>
      </c>
      <c r="H2346" s="40" t="n">
        <f aca="false">G2350</f>
        <v>21.18595984384</v>
      </c>
      <c r="I2346" s="40" t="n">
        <f aca="false">H2350</f>
        <v>20.2594679355436</v>
      </c>
      <c r="J2346" s="40" t="n">
        <f aca="false">I2350</f>
        <v>18.2358237537229</v>
      </c>
      <c r="K2346" s="23"/>
      <c r="L2346" s="49"/>
    </row>
    <row r="2347" customFormat="false" ht="15" hidden="true" customHeight="false" outlineLevel="1" collapsed="false">
      <c r="A2347" s="20" t="n">
        <v>98</v>
      </c>
      <c r="B2347" s="6" t="s">
        <v>670</v>
      </c>
      <c r="C2347" s="20" t="s">
        <v>71</v>
      </c>
      <c r="D2347" s="23"/>
      <c r="E2347" s="23"/>
      <c r="F2347" s="40" t="n">
        <f aca="false">MIN(F2346,MAX(0,F2344)*$D$2273)</f>
        <v>0</v>
      </c>
      <c r="G2347" s="40" t="n">
        <f aca="false">MIN(G2346,MAX(0,G2344)*$D$2273)</f>
        <v>0</v>
      </c>
      <c r="H2347" s="40" t="n">
        <f aca="false">MIN(H2346,MAX(0,H2344)*$D$2273)</f>
        <v>0.926491908296399</v>
      </c>
      <c r="I2347" s="40" t="n">
        <f aca="false">MIN(I2346,MAX(0,I2344)*$D$2273)</f>
        <v>2.02364418182069</v>
      </c>
      <c r="J2347" s="40" t="n">
        <f aca="false">MIN(J2346,MAX(0,J2344)*$D$2273)</f>
        <v>10.0399041344945</v>
      </c>
      <c r="K2347" s="23"/>
      <c r="L2347" s="49" t="s">
        <v>671</v>
      </c>
    </row>
    <row r="2348" customFormat="false" ht="15" hidden="true" customHeight="false" outlineLevel="1" collapsed="false">
      <c r="A2348" s="20" t="n">
        <v>99</v>
      </c>
      <c r="B2348" s="6" t="s">
        <v>672</v>
      </c>
      <c r="C2348" s="20" t="s">
        <v>71</v>
      </c>
      <c r="D2348" s="23"/>
      <c r="E2348" s="23"/>
      <c r="F2348" s="40" t="n">
        <f aca="false">MAX(0,F2344)-F2347</f>
        <v>0</v>
      </c>
      <c r="G2348" s="40" t="n">
        <f aca="false">MAX(0,G2344)-G2347</f>
        <v>0</v>
      </c>
      <c r="H2348" s="40" t="n">
        <f aca="false">MAX(0,H2344)-H2347</f>
        <v>0.926491908296399</v>
      </c>
      <c r="I2348" s="40" t="n">
        <f aca="false">MAX(0,I2344)-I2347</f>
        <v>2.02364418182069</v>
      </c>
      <c r="J2348" s="40" t="n">
        <f aca="false">MAX(0,J2344)-J2347</f>
        <v>10.0399041344945</v>
      </c>
      <c r="K2348" s="23"/>
      <c r="L2348" s="49"/>
    </row>
    <row r="2349" customFormat="false" ht="15" hidden="true" customHeight="false" outlineLevel="1" collapsed="false">
      <c r="A2349" s="20" t="n">
        <v>100</v>
      </c>
      <c r="B2349" s="6" t="s">
        <v>572</v>
      </c>
      <c r="C2349" s="20" t="s">
        <v>71</v>
      </c>
      <c r="D2349" s="23"/>
      <c r="E2349" s="23"/>
      <c r="F2349" s="40" t="n">
        <f aca="false">F2348*$D$2272</f>
        <v>0</v>
      </c>
      <c r="G2349" s="40" t="n">
        <f aca="false">G2348*$D$2272</f>
        <v>0</v>
      </c>
      <c r="H2349" s="40" t="n">
        <f aca="false">H2348*$D$2272</f>
        <v>0.0463245954148199</v>
      </c>
      <c r="I2349" s="40" t="n">
        <f aca="false">I2348*$D$2272</f>
        <v>0.101182209091035</v>
      </c>
      <c r="J2349" s="40" t="n">
        <f aca="false">J2348*$D$2272</f>
        <v>0.501995206724723</v>
      </c>
      <c r="K2349" s="51" t="n">
        <f aca="false">SUM(F2349:J2349)</f>
        <v>0.649502011230578</v>
      </c>
      <c r="L2349" s="49"/>
    </row>
    <row r="2350" customFormat="false" ht="15" hidden="true" customHeight="false" outlineLevel="1" collapsed="false">
      <c r="A2350" s="20" t="n">
        <v>101</v>
      </c>
      <c r="B2350" s="6" t="s">
        <v>673</v>
      </c>
      <c r="C2350" s="20" t="s">
        <v>71</v>
      </c>
      <c r="D2350" s="23"/>
      <c r="E2350" s="40" t="n">
        <f aca="false">0</f>
        <v>0</v>
      </c>
      <c r="F2350" s="40" t="n">
        <f aca="false">F2346-F2347+MAX(0,-F2344)</f>
        <v>14.076209848</v>
      </c>
      <c r="G2350" s="40" t="n">
        <f aca="false">G2346-G2347+MAX(0,-G2344)</f>
        <v>21.18595984384</v>
      </c>
      <c r="H2350" s="40" t="n">
        <f aca="false">H2346-H2347+MAX(0,-H2344)</f>
        <v>20.2594679355436</v>
      </c>
      <c r="I2350" s="40" t="n">
        <f aca="false">I2346-I2347+MAX(0,-I2344)</f>
        <v>18.2358237537229</v>
      </c>
      <c r="J2350" s="40" t="n">
        <f aca="false">J2346-J2347+MAX(0,-J2344)</f>
        <v>8.19591961922844</v>
      </c>
      <c r="K2350" s="23"/>
      <c r="L2350" s="49"/>
    </row>
    <row r="2351" customFormat="false" ht="15" hidden="true" customHeight="false" outlineLevel="1" collapsed="false">
      <c r="A2351" s="20" t="n">
        <v>102</v>
      </c>
      <c r="B2351" s="6" t="s">
        <v>674</v>
      </c>
      <c r="C2351" s="20" t="s">
        <v>71</v>
      </c>
      <c r="D2351" s="23"/>
      <c r="E2351" s="23"/>
      <c r="F2351" s="40" t="n">
        <f aca="false">F2344-F2349</f>
        <v>-14.076209848</v>
      </c>
      <c r="G2351" s="40" t="n">
        <f aca="false">G2344-G2349</f>
        <v>-7.10974999584</v>
      </c>
      <c r="H2351" s="40" t="n">
        <f aca="false">H2344-H2349</f>
        <v>1.80665922117798</v>
      </c>
      <c r="I2351" s="40" t="n">
        <f aca="false">I2344-I2349</f>
        <v>3.94610615455035</v>
      </c>
      <c r="J2351" s="40" t="n">
        <f aca="false">J2344-J2349</f>
        <v>19.5778130622642</v>
      </c>
      <c r="K2351" s="51" t="n">
        <f aca="false">SUM(F2351:J2351)</f>
        <v>4.14461859415254</v>
      </c>
      <c r="L2351" s="49"/>
    </row>
    <row r="2352" customFormat="false" ht="15" hidden="true" customHeight="false" outlineLevel="1" collapsed="false">
      <c r="A2352" s="19" t="s">
        <v>675</v>
      </c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</row>
    <row r="2353" customFormat="false" ht="15" hidden="true" customHeight="false" outlineLevel="1" collapsed="false">
      <c r="A2353" s="20" t="n">
        <v>103</v>
      </c>
      <c r="B2353" s="6" t="s">
        <v>676</v>
      </c>
      <c r="C2353" s="20" t="s">
        <v>71</v>
      </c>
      <c r="D2353" s="23"/>
      <c r="E2353" s="40" t="n">
        <f aca="false">0</f>
        <v>0</v>
      </c>
      <c r="F2353" s="40" t="n">
        <f aca="false">F2313*$D$2274/365</f>
        <v>2.36712328767123</v>
      </c>
      <c r="G2353" s="40" t="n">
        <f aca="false">G2313*$D$2274/365</f>
        <v>5.28164383561644</v>
      </c>
      <c r="H2353" s="40" t="n">
        <f aca="false">H2313*$D$2274/365</f>
        <v>10.0771142979452</v>
      </c>
      <c r="I2353" s="40" t="n">
        <f aca="false">I2313*$D$2274/365</f>
        <v>12.8311837969918</v>
      </c>
      <c r="J2353" s="40" t="n">
        <f aca="false">J2313*$D$2274/365</f>
        <v>20.0545502495079</v>
      </c>
      <c r="K2353" s="23"/>
      <c r="L2353" s="49" t="s">
        <v>677</v>
      </c>
    </row>
    <row r="2354" customFormat="false" ht="15" hidden="true" customHeight="false" outlineLevel="1" collapsed="false">
      <c r="A2354" s="20" t="n">
        <v>104</v>
      </c>
      <c r="B2354" s="6" t="s">
        <v>678</v>
      </c>
      <c r="C2354" s="20" t="s">
        <v>71</v>
      </c>
      <c r="D2354" s="23"/>
      <c r="E2354" s="23"/>
      <c r="F2354" s="40" t="n">
        <f aca="false">F2353-E2353</f>
        <v>2.36712328767123</v>
      </c>
      <c r="G2354" s="40" t="n">
        <f aca="false">G2353-F2353</f>
        <v>2.91452054794521</v>
      </c>
      <c r="H2354" s="40" t="n">
        <f aca="false">H2353-G2353</f>
        <v>4.79547046232877</v>
      </c>
      <c r="I2354" s="40" t="n">
        <f aca="false">I2353-H2353</f>
        <v>2.75406949904655</v>
      </c>
      <c r="J2354" s="40" t="n">
        <f aca="false">J2353-I2353</f>
        <v>7.2233664525162</v>
      </c>
      <c r="K2354" s="51" t="n">
        <f aca="false">SUM(F2354:J2354)</f>
        <v>20.0545502495079</v>
      </c>
      <c r="L2354" s="49"/>
    </row>
    <row r="2355" customFormat="false" ht="15" hidden="true" customHeight="false" outlineLevel="1" collapsed="false">
      <c r="A2355" s="20" t="n">
        <v>105</v>
      </c>
      <c r="B2355" s="6" t="s">
        <v>679</v>
      </c>
      <c r="C2355" s="20" t="s">
        <v>71</v>
      </c>
      <c r="D2355" s="23"/>
      <c r="E2355" s="23"/>
      <c r="F2355" s="40" t="n">
        <f aca="false">F2351-F2354</f>
        <v>-16.4433331356712</v>
      </c>
      <c r="G2355" s="40" t="n">
        <f aca="false">G2351-G2354</f>
        <v>-10.0242705437852</v>
      </c>
      <c r="H2355" s="40" t="n">
        <f aca="false">H2351-H2354</f>
        <v>-2.98881124115079</v>
      </c>
      <c r="I2355" s="40" t="n">
        <f aca="false">I2351-I2354</f>
        <v>1.1920366555038</v>
      </c>
      <c r="J2355" s="40" t="n">
        <f aca="false">J2351-J2354</f>
        <v>12.354446609748</v>
      </c>
      <c r="K2355" s="51" t="n">
        <f aca="false">SUM(F2355:J2355)</f>
        <v>-15.9099316553554</v>
      </c>
      <c r="L2355" s="49" t="s">
        <v>680</v>
      </c>
    </row>
    <row r="2356" customFormat="false" ht="15" hidden="true" customHeight="false" outlineLevel="1" collapsed="false">
      <c r="A2356" s="20" t="n">
        <v>106</v>
      </c>
      <c r="B2356" s="6" t="s">
        <v>93</v>
      </c>
      <c r="C2356" s="20" t="s">
        <v>71</v>
      </c>
      <c r="D2356" s="23"/>
      <c r="E2356" s="40" t="n">
        <f aca="false">0</f>
        <v>0</v>
      </c>
      <c r="F2356" s="40" t="n">
        <f aca="false">E2356+F2355</f>
        <v>-16.4433331356712</v>
      </c>
      <c r="G2356" s="40" t="n">
        <f aca="false">F2356+G2355</f>
        <v>-26.4676036794564</v>
      </c>
      <c r="H2356" s="40" t="n">
        <f aca="false">G2356+H2355</f>
        <v>-29.4564149206072</v>
      </c>
      <c r="I2356" s="40" t="n">
        <f aca="false">H2356+I2355</f>
        <v>-28.2643782651034</v>
      </c>
      <c r="J2356" s="40" t="n">
        <f aca="false">I2356+J2355</f>
        <v>-15.9099316553554</v>
      </c>
      <c r="K2356" s="23"/>
      <c r="L2356" s="49" t="s">
        <v>681</v>
      </c>
    </row>
    <row r="2357" customFormat="false" ht="15" hidden="true" customHeight="false" outlineLevel="1" collapsed="false">
      <c r="A2357" s="20" t="n">
        <v>107</v>
      </c>
      <c r="B2357" s="6" t="s">
        <v>682</v>
      </c>
      <c r="C2357" s="20"/>
      <c r="D2357" s="23"/>
      <c r="E2357" s="23"/>
      <c r="F2357" s="53" t="n">
        <f aca="false">1/(1+$D$2275)^(F$2295-$E$2295)</f>
        <v>0.769230769230769</v>
      </c>
      <c r="G2357" s="53" t="n">
        <f aca="false">1/(1+$D$2275)^(G$2295-$E$2295)</f>
        <v>0.591715976331361</v>
      </c>
      <c r="H2357" s="53" t="n">
        <f aca="false">1/(1+$D$2275)^(H$2295-$E$2295)</f>
        <v>0.455166135639508</v>
      </c>
      <c r="I2357" s="53" t="n">
        <f aca="false">1/(1+$D$2275)^(I$2295-$E$2295)</f>
        <v>0.350127796645776</v>
      </c>
      <c r="J2357" s="53" t="n">
        <f aca="false">1/(1+$D$2275)^(J$2295-$E$2295)</f>
        <v>0.269329074342904</v>
      </c>
      <c r="K2357" s="23"/>
      <c r="L2357" s="49" t="s">
        <v>683</v>
      </c>
    </row>
    <row r="2358" customFormat="false" ht="15" hidden="true" customHeight="false" outlineLevel="1" collapsed="false">
      <c r="A2358" s="20" t="n">
        <v>108</v>
      </c>
      <c r="B2358" s="6" t="s">
        <v>684</v>
      </c>
      <c r="C2358" s="20" t="s">
        <v>71</v>
      </c>
      <c r="D2358" s="23"/>
      <c r="E2358" s="23"/>
      <c r="F2358" s="40" t="n">
        <f aca="false">F2355*F2357</f>
        <v>-12.6487177966702</v>
      </c>
      <c r="G2358" s="40" t="n">
        <f aca="false">G2355*G2357</f>
        <v>-5.93152103182556</v>
      </c>
      <c r="H2358" s="40" t="n">
        <f aca="false">H2355*H2357</f>
        <v>-1.36040566279053</v>
      </c>
      <c r="I2358" s="40" t="n">
        <f aca="false">I2355*I2357</f>
        <v>0.417365167712547</v>
      </c>
      <c r="J2358" s="40" t="n">
        <f aca="false">J2355*J2357</f>
        <v>3.32741166942227</v>
      </c>
      <c r="K2358" s="51" t="n">
        <f aca="false">SUM(F2358:J2358)</f>
        <v>-16.1958676541515</v>
      </c>
      <c r="L2358" s="49"/>
    </row>
    <row r="2359" customFormat="false" ht="15" hidden="true" customHeight="false" outlineLevel="1" collapsed="false">
      <c r="A2359" s="20" t="n">
        <v>109</v>
      </c>
      <c r="B2359" s="6" t="s">
        <v>685</v>
      </c>
      <c r="C2359" s="20" t="s">
        <v>71</v>
      </c>
      <c r="D2359" s="23"/>
      <c r="E2359" s="23"/>
      <c r="F2359" s="40" t="n">
        <f aca="false">IF(F$2295=$J$2295,MAX(0,F2355)*(1+$D$2276)/($D$2275-$D$2276),0)</f>
        <v>0</v>
      </c>
      <c r="G2359" s="40" t="n">
        <f aca="false">IF(G$2295=$J$2295,MAX(0,G2355)*(1+$D$2276)/($D$2275-$D$2276),0)</f>
        <v>0</v>
      </c>
      <c r="H2359" s="40" t="n">
        <f aca="false">IF(H$2295=$J$2295,MAX(0,H2355)*(1+$D$2276)/($D$2275-$D$2276),0)</f>
        <v>0</v>
      </c>
      <c r="I2359" s="40" t="n">
        <f aca="false">IF(I$2295=$J$2295,MAX(0,I2355)*(1+$D$2276)/($D$2275-$D$2276),0)</f>
        <v>0</v>
      </c>
      <c r="J2359" s="40" t="n">
        <f aca="false">IF(J$2295=$J$2295,MAX(0,J2355)*(1+$D$2276)/($D$2275-$D$2276),0)</f>
        <v>49.4177864389921</v>
      </c>
      <c r="K2359" s="23"/>
      <c r="L2359" s="49" t="s">
        <v>686</v>
      </c>
    </row>
    <row r="2360" customFormat="false" ht="15" hidden="true" customHeight="false" outlineLevel="1" collapsed="false">
      <c r="A2360" s="20" t="n">
        <v>110</v>
      </c>
      <c r="B2360" s="6" t="s">
        <v>687</v>
      </c>
      <c r="C2360" s="20" t="s">
        <v>71</v>
      </c>
      <c r="D2360" s="23"/>
      <c r="E2360" s="23"/>
      <c r="F2360" s="40" t="n">
        <f aca="false">F2359*F2357</f>
        <v>0</v>
      </c>
      <c r="G2360" s="40" t="n">
        <f aca="false">G2359*G2357</f>
        <v>0</v>
      </c>
      <c r="H2360" s="40" t="n">
        <f aca="false">H2359*H2357</f>
        <v>0</v>
      </c>
      <c r="I2360" s="40" t="n">
        <f aca="false">I2359*I2357</f>
        <v>0</v>
      </c>
      <c r="J2360" s="40" t="n">
        <f aca="false">J2359*J2357</f>
        <v>13.3096466776891</v>
      </c>
      <c r="K2360" s="51" t="n">
        <f aca="false">SUM(F2360:J2360)</f>
        <v>13.3096466776891</v>
      </c>
      <c r="L2360" s="49"/>
    </row>
    <row r="2361" customFormat="false" ht="15" hidden="true" customHeight="false" outlineLevel="1" collapsed="false">
      <c r="A2361" s="20" t="n">
        <v>111</v>
      </c>
      <c r="B2361" s="6" t="s">
        <v>688</v>
      </c>
      <c r="C2361" s="20" t="s">
        <v>71</v>
      </c>
      <c r="D2361" s="23"/>
      <c r="E2361" s="23"/>
      <c r="F2361" s="40" t="n">
        <f aca="false">F2355+F2359</f>
        <v>-16.4433331356712</v>
      </c>
      <c r="G2361" s="40" t="n">
        <f aca="false">G2355+G2359</f>
        <v>-10.0242705437852</v>
      </c>
      <c r="H2361" s="40" t="n">
        <f aca="false">H2355+H2359</f>
        <v>-2.98881124115079</v>
      </c>
      <c r="I2361" s="40" t="n">
        <f aca="false">I2355+I2359</f>
        <v>1.1920366555038</v>
      </c>
      <c r="J2361" s="40" t="n">
        <f aca="false">J2355+J2359</f>
        <v>61.7722330487401</v>
      </c>
      <c r="K2361" s="23"/>
      <c r="L2361" s="49" t="s">
        <v>689</v>
      </c>
    </row>
    <row r="2362" customFormat="false" ht="15" hidden="true" customHeight="false" outlineLevel="1" collapsed="false">
      <c r="A2362" s="20" t="n">
        <v>112</v>
      </c>
      <c r="B2362" s="6" t="s">
        <v>690</v>
      </c>
      <c r="C2362" s="20"/>
      <c r="D2362" s="23"/>
      <c r="E2362" s="23"/>
      <c r="F2362" s="52" t="str">
        <f aca="false">IF(AND(F2344&gt;0,COUNTIF($F$2344:F$2344,"&gt;0")=1),F$2295,"")</f>
        <v/>
      </c>
      <c r="G2362" s="52" t="str">
        <f aca="false">IF(AND(G2344&gt;0,COUNTIF($F$2344:G$2344,"&gt;0")=1),G$2295,"")</f>
        <v/>
      </c>
      <c r="H2362" s="52" t="n">
        <f aca="false">IF(AND(H2344&gt;0,COUNTIF($F$2344:H$2344,"&gt;0")=1),H$2295,"")</f>
        <v>2029</v>
      </c>
      <c r="I2362" s="52" t="str">
        <f aca="false">IF(AND(I2344&gt;0,COUNTIF($F$2344:I$2344,"&gt;0")=1),I$2295,"")</f>
        <v/>
      </c>
      <c r="J2362" s="52" t="str">
        <f aca="false">IF(AND(J2344&gt;0,COUNTIF($F$2344:J$2344,"&gt;0")=1),J$2295,"")</f>
        <v/>
      </c>
      <c r="K2362" s="23"/>
      <c r="L2362" s="49" t="s">
        <v>691</v>
      </c>
    </row>
    <row r="2363" customFormat="false" ht="15" hidden="true" customHeight="false" outlineLevel="1" collapsed="false">
      <c r="A2363" s="20" t="n">
        <v>113</v>
      </c>
      <c r="B2363" s="6" t="s">
        <v>692</v>
      </c>
      <c r="C2363" s="20"/>
      <c r="D2363" s="23"/>
      <c r="E2363" s="23"/>
      <c r="F2363" s="52" t="str">
        <f aca="false">IF(AND(F2356&gt;0,COUNTIF($F$2356:F$2356,"&gt;0")=1),F$2295,"")</f>
        <v/>
      </c>
      <c r="G2363" s="52" t="str">
        <f aca="false">IF(AND(G2356&gt;0,COUNTIF($F$2356:G$2356,"&gt;0")=1),G$2295,"")</f>
        <v/>
      </c>
      <c r="H2363" s="52" t="str">
        <f aca="false">IF(AND(H2356&gt;0,COUNTIF($F$2356:H$2356,"&gt;0")=1),H$2295,"")</f>
        <v/>
      </c>
      <c r="I2363" s="52" t="str">
        <f aca="false">IF(AND(I2356&gt;0,COUNTIF($F$2356:I$2356,"&gt;0")=1),I$2295,"")</f>
        <v/>
      </c>
      <c r="J2363" s="52" t="str">
        <f aca="false">IF(AND(J2356&gt;0,COUNTIF($F$2356:J$2356,"&gt;0")=1),J$2295,"")</f>
        <v/>
      </c>
      <c r="K2363" s="23"/>
      <c r="L2363" s="49" t="s">
        <v>691</v>
      </c>
    </row>
    <row r="2364" customFormat="false" ht="15" hidden="true" customHeight="false" outlineLevel="1" collapsed="false">
      <c r="A2364" s="19" t="s">
        <v>693</v>
      </c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</row>
    <row r="2365" customFormat="false" ht="15" hidden="true" customHeight="false" outlineLevel="1" collapsed="false">
      <c r="A2365" s="20" t="n">
        <v>114</v>
      </c>
      <c r="B2365" s="6" t="s">
        <v>70</v>
      </c>
      <c r="C2365" s="20" t="s">
        <v>71</v>
      </c>
      <c r="D2365" s="51" t="n">
        <f aca="false">SUM(F2313:J2313)</f>
        <v>171.04851523817</v>
      </c>
      <c r="E2365" s="23"/>
      <c r="F2365" s="23"/>
      <c r="G2365" s="23"/>
      <c r="H2365" s="23"/>
      <c r="I2365" s="23"/>
      <c r="J2365" s="23"/>
      <c r="K2365" s="23"/>
      <c r="L2365" s="49"/>
    </row>
    <row r="2366" customFormat="false" ht="15" hidden="true" customHeight="false" outlineLevel="1" collapsed="false">
      <c r="A2366" s="20" t="n">
        <v>115</v>
      </c>
      <c r="B2366" s="6" t="s">
        <v>694</v>
      </c>
      <c r="C2366" s="20" t="s">
        <v>71</v>
      </c>
      <c r="D2366" s="51" t="n">
        <f aca="false">J2313</f>
        <v>67.7769522321333</v>
      </c>
      <c r="E2366" s="23"/>
      <c r="F2366" s="23"/>
      <c r="G2366" s="23"/>
      <c r="H2366" s="23"/>
      <c r="I2366" s="23"/>
      <c r="J2366" s="23"/>
      <c r="K2366" s="23"/>
      <c r="L2366" s="49"/>
    </row>
    <row r="2367" customFormat="false" ht="15" hidden="true" customHeight="false" outlineLevel="1" collapsed="false">
      <c r="A2367" s="20" t="n">
        <v>116</v>
      </c>
      <c r="B2367" s="6" t="s">
        <v>695</v>
      </c>
      <c r="C2367" s="20" t="s">
        <v>71</v>
      </c>
      <c r="D2367" s="51" t="n">
        <f aca="false">J2314</f>
        <v>74.6329671070812</v>
      </c>
      <c r="E2367" s="23"/>
      <c r="F2367" s="23"/>
      <c r="G2367" s="23"/>
      <c r="H2367" s="23"/>
      <c r="I2367" s="23"/>
      <c r="J2367" s="23"/>
      <c r="K2367" s="23"/>
      <c r="L2367" s="49"/>
    </row>
    <row r="2368" customFormat="false" ht="15" hidden="true" customHeight="false" outlineLevel="1" collapsed="false">
      <c r="A2368" s="20" t="n">
        <v>117</v>
      </c>
      <c r="B2368" s="6" t="s">
        <v>696</v>
      </c>
      <c r="C2368" s="20" t="s">
        <v>71</v>
      </c>
      <c r="D2368" s="51" t="n">
        <f aca="false">J2344</f>
        <v>20.0798082689889</v>
      </c>
      <c r="E2368" s="23"/>
      <c r="F2368" s="23"/>
      <c r="G2368" s="23"/>
      <c r="H2368" s="23"/>
      <c r="I2368" s="23"/>
      <c r="J2368" s="23"/>
      <c r="K2368" s="23"/>
      <c r="L2368" s="49"/>
    </row>
    <row r="2369" customFormat="false" ht="15" hidden="true" customHeight="false" outlineLevel="1" collapsed="false">
      <c r="A2369" s="20" t="n">
        <v>118</v>
      </c>
      <c r="B2369" s="6" t="s">
        <v>697</v>
      </c>
      <c r="C2369" s="20" t="s">
        <v>76</v>
      </c>
      <c r="D2369" s="54" t="n">
        <f aca="false">J2305</f>
        <v>11</v>
      </c>
      <c r="E2369" s="23"/>
      <c r="F2369" s="23"/>
      <c r="G2369" s="23"/>
      <c r="H2369" s="23"/>
      <c r="I2369" s="23"/>
      <c r="J2369" s="23"/>
      <c r="K2369" s="23"/>
      <c r="L2369" s="49"/>
    </row>
    <row r="2370" customFormat="false" ht="15" hidden="true" customHeight="false" outlineLevel="1" collapsed="false">
      <c r="A2370" s="20" t="n">
        <v>119</v>
      </c>
      <c r="B2370" s="6" t="s">
        <v>698</v>
      </c>
      <c r="C2370" s="20" t="s">
        <v>53</v>
      </c>
      <c r="D2370" s="51" t="n">
        <f aca="false">J2316</f>
        <v>8</v>
      </c>
      <c r="E2370" s="23"/>
      <c r="F2370" s="23"/>
      <c r="G2370" s="23"/>
      <c r="H2370" s="23"/>
      <c r="I2370" s="23"/>
      <c r="J2370" s="23"/>
      <c r="K2370" s="23"/>
      <c r="L2370" s="49"/>
    </row>
    <row r="2371" customFormat="false" ht="15" hidden="true" customHeight="false" outlineLevel="1" collapsed="false">
      <c r="A2371" s="20" t="n">
        <v>120</v>
      </c>
      <c r="B2371" s="6" t="s">
        <v>699</v>
      </c>
      <c r="C2371" s="20" t="s">
        <v>71</v>
      </c>
      <c r="D2371" s="51" t="n">
        <f aca="false">MIN(0,MIN(F2356:J2356))</f>
        <v>-29.4564149206072</v>
      </c>
      <c r="E2371" s="23"/>
      <c r="F2371" s="23"/>
      <c r="G2371" s="23"/>
      <c r="H2371" s="23"/>
      <c r="I2371" s="23"/>
      <c r="J2371" s="23"/>
      <c r="K2371" s="23"/>
      <c r="L2371" s="49"/>
    </row>
    <row r="2372" customFormat="false" ht="15" hidden="true" customHeight="false" outlineLevel="1" collapsed="false">
      <c r="A2372" s="20" t="n">
        <v>121</v>
      </c>
      <c r="B2372" s="6" t="s">
        <v>700</v>
      </c>
      <c r="C2372" s="20" t="s">
        <v>71</v>
      </c>
      <c r="D2372" s="51" t="n">
        <f aca="false">-$D$2371*(1+$D$2277)</f>
        <v>35.3476979047287</v>
      </c>
      <c r="E2372" s="23"/>
      <c r="F2372" s="23"/>
      <c r="G2372" s="23"/>
      <c r="H2372" s="23"/>
      <c r="I2372" s="23"/>
      <c r="J2372" s="23"/>
      <c r="K2372" s="23"/>
      <c r="L2372" s="49"/>
    </row>
    <row r="2373" customFormat="false" ht="15" hidden="true" customHeight="false" outlineLevel="1" collapsed="false">
      <c r="A2373" s="20" t="n">
        <v>122</v>
      </c>
      <c r="B2373" s="6" t="s">
        <v>701</v>
      </c>
      <c r="C2373" s="20" t="s">
        <v>71</v>
      </c>
      <c r="D2373" s="51" t="n">
        <f aca="false">J2356</f>
        <v>-15.9099316553554</v>
      </c>
      <c r="E2373" s="23"/>
      <c r="F2373" s="23"/>
      <c r="G2373" s="23"/>
      <c r="H2373" s="23"/>
      <c r="I2373" s="23"/>
      <c r="J2373" s="23"/>
      <c r="K2373" s="23"/>
      <c r="L2373" s="49"/>
    </row>
    <row r="2374" customFormat="false" ht="15" hidden="true" customHeight="false" outlineLevel="1" collapsed="false">
      <c r="A2374" s="20" t="n">
        <v>123</v>
      </c>
      <c r="B2374" s="6" t="s">
        <v>702</v>
      </c>
      <c r="C2374" s="20" t="s">
        <v>71</v>
      </c>
      <c r="D2374" s="51" t="n">
        <f aca="false">SUM(F2358:J2358)</f>
        <v>-16.1958676541515</v>
      </c>
      <c r="E2374" s="23"/>
      <c r="F2374" s="23"/>
      <c r="G2374" s="23"/>
      <c r="H2374" s="23"/>
      <c r="I2374" s="23"/>
      <c r="J2374" s="23"/>
      <c r="K2374" s="23"/>
      <c r="L2374" s="49"/>
    </row>
    <row r="2375" customFormat="false" ht="15" hidden="true" customHeight="false" outlineLevel="1" collapsed="false">
      <c r="A2375" s="20" t="n">
        <v>124</v>
      </c>
      <c r="B2375" s="6" t="s">
        <v>82</v>
      </c>
      <c r="C2375" s="20" t="s">
        <v>71</v>
      </c>
      <c r="D2375" s="51" t="n">
        <f aca="false">SUM(F2358:J2358)+SUM(F2360:J2360)</f>
        <v>-2.88622097646239</v>
      </c>
      <c r="E2375" s="23"/>
      <c r="F2375" s="23"/>
      <c r="G2375" s="23"/>
      <c r="H2375" s="23"/>
      <c r="I2375" s="23"/>
      <c r="J2375" s="23"/>
      <c r="K2375" s="23"/>
      <c r="L2375" s="49"/>
    </row>
    <row r="2376" customFormat="false" ht="15" hidden="true" customHeight="false" outlineLevel="1" collapsed="false">
      <c r="A2376" s="20" t="n">
        <v>125</v>
      </c>
      <c r="B2376" s="6" t="s">
        <v>83</v>
      </c>
      <c r="C2376" s="20" t="s">
        <v>68</v>
      </c>
      <c r="D2376" s="55" t="n">
        <f aca="false">IFERROR(IRR(F2361:J2361),"н/д")</f>
        <v>0.24373323588812</v>
      </c>
      <c r="E2376" s="23"/>
      <c r="F2376" s="23"/>
      <c r="G2376" s="23"/>
      <c r="H2376" s="23"/>
      <c r="I2376" s="23"/>
      <c r="J2376" s="23"/>
      <c r="K2376" s="23"/>
      <c r="L2376" s="49"/>
    </row>
    <row r="2377" customFormat="false" ht="15" hidden="true" customHeight="false" outlineLevel="1" collapsed="false">
      <c r="A2377" s="20" t="n">
        <v>126</v>
      </c>
      <c r="B2377" s="6" t="s">
        <v>13</v>
      </c>
      <c r="C2377" s="20" t="s">
        <v>79</v>
      </c>
      <c r="D2377" s="56" t="n">
        <f aca="false">IF(COUNT(F2362:J2362)=0,"после 2031",MIN(F2362:J2362))</f>
        <v>2029</v>
      </c>
      <c r="E2377" s="23"/>
      <c r="F2377" s="23"/>
      <c r="G2377" s="23"/>
      <c r="H2377" s="23"/>
      <c r="I2377" s="23"/>
      <c r="J2377" s="23"/>
      <c r="K2377" s="23"/>
      <c r="L2377" s="49"/>
    </row>
    <row r="2378" customFormat="false" ht="15" hidden="true" customHeight="false" outlineLevel="1" collapsed="false">
      <c r="A2378" s="20" t="n">
        <v>127</v>
      </c>
      <c r="B2378" s="6" t="s">
        <v>703</v>
      </c>
      <c r="C2378" s="20" t="s">
        <v>79</v>
      </c>
      <c r="D2378" s="56" t="str">
        <f aca="false">IF(COUNT(F2363:J2363)=0,"после 2031",MIN(F2363:J2363))</f>
        <v>после 2031</v>
      </c>
      <c r="E2378" s="23"/>
      <c r="F2378" s="23"/>
      <c r="G2378" s="23"/>
      <c r="H2378" s="23"/>
      <c r="I2378" s="23"/>
      <c r="J2378" s="23"/>
      <c r="K2378" s="23"/>
      <c r="L2378" s="49"/>
    </row>
    <row r="2381" customFormat="false" ht="15" hidden="true" customHeight="false" outlineLevel="1" collapsed="false">
      <c r="A2381" s="57" t="s">
        <v>740</v>
      </c>
    </row>
    <row r="2382" customFormat="false" ht="30" hidden="true" customHeight="true" outlineLevel="1" collapsed="false">
      <c r="A2382" s="4" t="s">
        <v>49</v>
      </c>
      <c r="B2382" s="4" t="s">
        <v>3</v>
      </c>
      <c r="C2382" s="5" t="s">
        <v>50</v>
      </c>
      <c r="D2382" s="5" t="s">
        <v>551</v>
      </c>
      <c r="E2382" s="5" t="s">
        <v>356</v>
      </c>
      <c r="F2382" s="5" t="s">
        <v>86</v>
      </c>
      <c r="G2382" s="5" t="s">
        <v>87</v>
      </c>
      <c r="H2382" s="5" t="s">
        <v>88</v>
      </c>
      <c r="I2382" s="5" t="s">
        <v>89</v>
      </c>
      <c r="J2382" s="5" t="s">
        <v>90</v>
      </c>
      <c r="K2382" s="5" t="s">
        <v>552</v>
      </c>
      <c r="L2382" s="5" t="s">
        <v>393</v>
      </c>
    </row>
    <row r="2383" customFormat="false" ht="15" hidden="true" customHeight="false" outlineLevel="1" collapsed="false">
      <c r="A2383" s="19" t="s">
        <v>553</v>
      </c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</row>
    <row r="2384" customFormat="false" ht="15" hidden="true" customHeight="false" outlineLevel="1" collapsed="false">
      <c r="A2384" s="20" t="n">
        <v>1</v>
      </c>
      <c r="B2384" s="6" t="s">
        <v>554</v>
      </c>
      <c r="C2384" s="20" t="s">
        <v>79</v>
      </c>
      <c r="D2384" s="10" t="n">
        <f aca="false">Допущения!$E$49</f>
        <v>2027</v>
      </c>
      <c r="E2384" s="23"/>
      <c r="F2384" s="23"/>
      <c r="G2384" s="23"/>
      <c r="H2384" s="23"/>
      <c r="I2384" s="23"/>
      <c r="J2384" s="23"/>
      <c r="K2384" s="23"/>
      <c r="L2384" s="49"/>
    </row>
    <row r="2385" customFormat="false" ht="15" hidden="true" customHeight="false" outlineLevel="1" collapsed="false">
      <c r="A2385" s="20" t="n">
        <v>2</v>
      </c>
      <c r="B2385" s="6" t="s">
        <v>555</v>
      </c>
      <c r="C2385" s="20" t="s">
        <v>105</v>
      </c>
      <c r="D2385" s="45" t="n">
        <f aca="false">Допущения!$E$7</f>
        <v>1.8</v>
      </c>
      <c r="E2385" s="23"/>
      <c r="F2385" s="23"/>
      <c r="G2385" s="23"/>
      <c r="H2385" s="23"/>
      <c r="I2385" s="23"/>
      <c r="J2385" s="23"/>
      <c r="K2385" s="23"/>
      <c r="L2385" s="49"/>
    </row>
    <row r="2386" customFormat="false" ht="15" hidden="true" customHeight="false" outlineLevel="1" collapsed="false">
      <c r="A2386" s="20" t="n">
        <v>3</v>
      </c>
      <c r="B2386" s="6" t="s">
        <v>556</v>
      </c>
      <c r="C2386" s="20" t="s">
        <v>55</v>
      </c>
      <c r="D2386" s="9" t="n">
        <f aca="false">Допущения!$E$42</f>
        <v>6</v>
      </c>
      <c r="E2386" s="23"/>
      <c r="F2386" s="23"/>
      <c r="G2386" s="23"/>
      <c r="H2386" s="23"/>
      <c r="I2386" s="23"/>
      <c r="J2386" s="23"/>
      <c r="K2386" s="23"/>
      <c r="L2386" s="49"/>
    </row>
    <row r="2387" customFormat="false" ht="15" hidden="true" customHeight="false" outlineLevel="1" collapsed="false">
      <c r="A2387" s="20" t="n">
        <v>4</v>
      </c>
      <c r="B2387" s="6" t="s">
        <v>557</v>
      </c>
      <c r="C2387" s="20" t="s">
        <v>244</v>
      </c>
      <c r="D2387" s="9" t="n">
        <f aca="false">Допущения!$E$43</f>
        <v>5</v>
      </c>
      <c r="E2387" s="23"/>
      <c r="F2387" s="23"/>
      <c r="G2387" s="23"/>
      <c r="H2387" s="23"/>
      <c r="I2387" s="23"/>
      <c r="J2387" s="23"/>
      <c r="K2387" s="23"/>
      <c r="L2387" s="49"/>
    </row>
    <row r="2388" customFormat="false" ht="15" hidden="true" customHeight="false" outlineLevel="1" collapsed="false">
      <c r="A2388" s="20" t="n">
        <v>5</v>
      </c>
      <c r="B2388" s="6" t="s">
        <v>558</v>
      </c>
      <c r="C2388" s="20" t="s">
        <v>55</v>
      </c>
      <c r="D2388" s="9" t="n">
        <f aca="false">Допущения!$E$44</f>
        <v>1.5</v>
      </c>
      <c r="E2388" s="23"/>
      <c r="F2388" s="23"/>
      <c r="G2388" s="23"/>
      <c r="H2388" s="23"/>
      <c r="I2388" s="23"/>
      <c r="J2388" s="23"/>
      <c r="K2388" s="23"/>
      <c r="L2388" s="49"/>
    </row>
    <row r="2389" customFormat="false" ht="15" hidden="true" customHeight="false" outlineLevel="1" collapsed="false">
      <c r="A2389" s="20" t="n">
        <v>6</v>
      </c>
      <c r="B2389" s="6" t="s">
        <v>559</v>
      </c>
      <c r="C2389" s="20" t="s">
        <v>71</v>
      </c>
      <c r="D2389" s="9" t="n">
        <f aca="false">Допущения!$E$45</f>
        <v>8</v>
      </c>
      <c r="E2389" s="23"/>
      <c r="F2389" s="23"/>
      <c r="G2389" s="23"/>
      <c r="H2389" s="23"/>
      <c r="I2389" s="23"/>
      <c r="J2389" s="23"/>
      <c r="K2389" s="23"/>
      <c r="L2389" s="49"/>
    </row>
    <row r="2390" customFormat="false" ht="15" hidden="true" customHeight="false" outlineLevel="1" collapsed="false">
      <c r="A2390" s="20" t="n">
        <v>7</v>
      </c>
      <c r="B2390" s="6" t="s">
        <v>560</v>
      </c>
      <c r="C2390" s="20" t="s">
        <v>71</v>
      </c>
      <c r="D2390" s="9" t="n">
        <f aca="false">Допущения!$E$46</f>
        <v>2</v>
      </c>
      <c r="E2390" s="23"/>
      <c r="F2390" s="23"/>
      <c r="G2390" s="23"/>
      <c r="H2390" s="23"/>
      <c r="I2390" s="23"/>
      <c r="J2390" s="23"/>
      <c r="K2390" s="23"/>
      <c r="L2390" s="49"/>
    </row>
    <row r="2391" customFormat="false" ht="15" hidden="true" customHeight="false" outlineLevel="1" collapsed="false">
      <c r="A2391" s="20" t="n">
        <v>8</v>
      </c>
      <c r="B2391" s="6" t="s">
        <v>260</v>
      </c>
      <c r="C2391" s="20" t="s">
        <v>261</v>
      </c>
      <c r="D2391" s="22" t="n">
        <f aca="false">Допущения!$E$47</f>
        <v>0.05</v>
      </c>
      <c r="E2391" s="23"/>
      <c r="F2391" s="23"/>
      <c r="G2391" s="23"/>
      <c r="H2391" s="23"/>
      <c r="I2391" s="23"/>
      <c r="J2391" s="23"/>
      <c r="K2391" s="23"/>
      <c r="L2391" s="49"/>
    </row>
    <row r="2392" customFormat="false" ht="15" hidden="true" customHeight="false" outlineLevel="1" collapsed="false">
      <c r="A2392" s="20" t="n">
        <v>9</v>
      </c>
      <c r="B2392" s="6" t="s">
        <v>561</v>
      </c>
      <c r="C2392" s="20" t="s">
        <v>261</v>
      </c>
      <c r="D2392" s="22" t="n">
        <f aca="false">Допущения!$E$48</f>
        <v>0.15</v>
      </c>
      <c r="E2392" s="23"/>
      <c r="F2392" s="23"/>
      <c r="G2392" s="23"/>
      <c r="H2392" s="23"/>
      <c r="I2392" s="23"/>
      <c r="J2392" s="23"/>
      <c r="K2392" s="23"/>
      <c r="L2392" s="49"/>
    </row>
    <row r="2393" customFormat="false" ht="15" hidden="true" customHeight="false" outlineLevel="1" collapsed="false">
      <c r="A2393" s="20" t="n">
        <v>10</v>
      </c>
      <c r="B2393" s="6" t="s">
        <v>274</v>
      </c>
      <c r="C2393" s="20" t="s">
        <v>261</v>
      </c>
      <c r="D2393" s="22" t="n">
        <f aca="false">Допущения!$E$51</f>
        <v>0.07</v>
      </c>
      <c r="E2393" s="23"/>
      <c r="F2393" s="23"/>
      <c r="G2393" s="23"/>
      <c r="H2393" s="23"/>
      <c r="I2393" s="23"/>
      <c r="J2393" s="23"/>
      <c r="K2393" s="23"/>
      <c r="L2393" s="49"/>
    </row>
    <row r="2394" customFormat="false" ht="15" hidden="true" customHeight="false" outlineLevel="1" collapsed="false">
      <c r="A2394" s="20" t="n">
        <v>11</v>
      </c>
      <c r="B2394" s="6" t="s">
        <v>562</v>
      </c>
      <c r="C2394" s="20" t="s">
        <v>68</v>
      </c>
      <c r="D2394" s="22" t="n">
        <f aca="false">Допущения!$E$52</f>
        <v>0.15</v>
      </c>
      <c r="E2394" s="23"/>
      <c r="F2394" s="23"/>
      <c r="G2394" s="23"/>
      <c r="H2394" s="23"/>
      <c r="I2394" s="23"/>
      <c r="J2394" s="23"/>
      <c r="K2394" s="23"/>
      <c r="L2394" s="49"/>
    </row>
    <row r="2395" customFormat="false" ht="15" hidden="true" customHeight="false" outlineLevel="1" collapsed="false">
      <c r="A2395" s="20" t="n">
        <v>12</v>
      </c>
      <c r="B2395" s="6" t="s">
        <v>563</v>
      </c>
      <c r="C2395" s="20" t="s">
        <v>68</v>
      </c>
      <c r="D2395" s="22" t="n">
        <f aca="false">Допущения!$E$53</f>
        <v>0.076</v>
      </c>
      <c r="E2395" s="23"/>
      <c r="F2395" s="23"/>
      <c r="G2395" s="23"/>
      <c r="H2395" s="23"/>
      <c r="I2395" s="23"/>
      <c r="J2395" s="23"/>
      <c r="K2395" s="23"/>
      <c r="L2395" s="49"/>
    </row>
    <row r="2396" customFormat="false" ht="15" hidden="true" customHeight="false" outlineLevel="1" collapsed="false">
      <c r="A2396" s="20" t="n">
        <v>13</v>
      </c>
      <c r="B2396" s="6" t="s">
        <v>284</v>
      </c>
      <c r="C2396" s="20" t="s">
        <v>68</v>
      </c>
      <c r="D2396" s="22" t="n">
        <f aca="false">Допущения!$E$54</f>
        <v>0.002</v>
      </c>
      <c r="E2396" s="23"/>
      <c r="F2396" s="23"/>
      <c r="G2396" s="23"/>
      <c r="H2396" s="23"/>
      <c r="I2396" s="23"/>
      <c r="J2396" s="23"/>
      <c r="K2396" s="23"/>
      <c r="L2396" s="49"/>
    </row>
    <row r="2397" customFormat="false" ht="15" hidden="true" customHeight="false" outlineLevel="1" collapsed="false">
      <c r="A2397" s="20" t="n">
        <v>14</v>
      </c>
      <c r="B2397" s="6" t="s">
        <v>564</v>
      </c>
      <c r="C2397" s="20" t="s">
        <v>55</v>
      </c>
      <c r="D2397" s="50" t="n">
        <f aca="false">Допущения!$E$55</f>
        <v>2.979</v>
      </c>
      <c r="E2397" s="23"/>
      <c r="F2397" s="23"/>
      <c r="G2397" s="23"/>
      <c r="H2397" s="23"/>
      <c r="I2397" s="23"/>
      <c r="J2397" s="23"/>
      <c r="K2397" s="23"/>
      <c r="L2397" s="49"/>
    </row>
    <row r="2398" customFormat="false" ht="15" hidden="true" customHeight="false" outlineLevel="1" collapsed="false">
      <c r="A2398" s="20" t="n">
        <v>15</v>
      </c>
      <c r="B2398" s="6" t="s">
        <v>565</v>
      </c>
      <c r="C2398" s="20" t="s">
        <v>261</v>
      </c>
      <c r="D2398" s="22" t="n">
        <f aca="false">Допущения!$E$56</f>
        <v>0.08</v>
      </c>
      <c r="E2398" s="23"/>
      <c r="F2398" s="23"/>
      <c r="G2398" s="23"/>
      <c r="H2398" s="23"/>
      <c r="I2398" s="23"/>
      <c r="J2398" s="23"/>
      <c r="K2398" s="23"/>
      <c r="L2398" s="49"/>
    </row>
    <row r="2399" customFormat="false" ht="15" hidden="true" customHeight="false" outlineLevel="1" collapsed="false">
      <c r="A2399" s="20" t="n">
        <v>16</v>
      </c>
      <c r="B2399" s="6" t="s">
        <v>566</v>
      </c>
      <c r="C2399" s="20" t="s">
        <v>71</v>
      </c>
      <c r="D2399" s="9" t="n">
        <f aca="false">Допущения!$E$58</f>
        <v>2.5</v>
      </c>
      <c r="E2399" s="23"/>
      <c r="F2399" s="23"/>
      <c r="G2399" s="23"/>
      <c r="H2399" s="23"/>
      <c r="I2399" s="23"/>
      <c r="J2399" s="23"/>
      <c r="K2399" s="23"/>
      <c r="L2399" s="49"/>
    </row>
    <row r="2400" customFormat="false" ht="15" hidden="true" customHeight="false" outlineLevel="1" collapsed="false">
      <c r="A2400" s="20" t="n">
        <v>17</v>
      </c>
      <c r="B2400" s="6" t="s">
        <v>299</v>
      </c>
      <c r="C2400" s="20" t="s">
        <v>55</v>
      </c>
      <c r="D2400" s="9" t="n">
        <f aca="false">Допущения!$E$59</f>
        <v>1</v>
      </c>
      <c r="E2400" s="23"/>
      <c r="F2400" s="23"/>
      <c r="G2400" s="23"/>
      <c r="H2400" s="23"/>
      <c r="I2400" s="23"/>
      <c r="J2400" s="23"/>
      <c r="K2400" s="23"/>
      <c r="L2400" s="49"/>
    </row>
    <row r="2401" customFormat="false" ht="15" hidden="true" customHeight="false" outlineLevel="1" collapsed="false">
      <c r="A2401" s="20" t="n">
        <v>18</v>
      </c>
      <c r="B2401" s="6" t="s">
        <v>302</v>
      </c>
      <c r="C2401" s="20" t="s">
        <v>55</v>
      </c>
      <c r="D2401" s="9" t="n">
        <f aca="false">Допущения!$E$60</f>
        <v>0.6</v>
      </c>
      <c r="E2401" s="23"/>
      <c r="F2401" s="23"/>
      <c r="G2401" s="23"/>
      <c r="H2401" s="23"/>
      <c r="I2401" s="23"/>
      <c r="J2401" s="23"/>
      <c r="K2401" s="23"/>
      <c r="L2401" s="49"/>
    </row>
    <row r="2402" customFormat="false" ht="15" hidden="true" customHeight="false" outlineLevel="1" collapsed="false">
      <c r="A2402" s="20" t="n">
        <v>19</v>
      </c>
      <c r="B2402" s="6" t="s">
        <v>567</v>
      </c>
      <c r="C2402" s="20" t="s">
        <v>55</v>
      </c>
      <c r="D2402" s="45" t="n">
        <f aca="false">Допущения!$E$61</f>
        <v>0.15</v>
      </c>
      <c r="E2402" s="23"/>
      <c r="F2402" s="23"/>
      <c r="G2402" s="23"/>
      <c r="H2402" s="23"/>
      <c r="I2402" s="23"/>
      <c r="J2402" s="23"/>
      <c r="K2402" s="23"/>
      <c r="L2402" s="49"/>
    </row>
    <row r="2403" customFormat="false" ht="15" hidden="true" customHeight="false" outlineLevel="1" collapsed="false">
      <c r="A2403" s="20" t="n">
        <v>20</v>
      </c>
      <c r="B2403" s="6" t="s">
        <v>568</v>
      </c>
      <c r="C2403" s="20" t="s">
        <v>55</v>
      </c>
      <c r="D2403" s="9" t="n">
        <f aca="false">Допущения!$E$62</f>
        <v>1</v>
      </c>
      <c r="E2403" s="23"/>
      <c r="F2403" s="23"/>
      <c r="G2403" s="23"/>
      <c r="H2403" s="23"/>
      <c r="I2403" s="23"/>
      <c r="J2403" s="23"/>
      <c r="K2403" s="23"/>
      <c r="L2403" s="49"/>
    </row>
    <row r="2404" customFormat="false" ht="15" hidden="true" customHeight="false" outlineLevel="1" collapsed="false">
      <c r="A2404" s="20" t="n">
        <v>21</v>
      </c>
      <c r="B2404" s="6" t="s">
        <v>569</v>
      </c>
      <c r="C2404" s="20" t="s">
        <v>71</v>
      </c>
      <c r="D2404" s="9" t="n">
        <f aca="false">Допущения!$E$63</f>
        <v>0.4</v>
      </c>
      <c r="E2404" s="23"/>
      <c r="F2404" s="23"/>
      <c r="G2404" s="23"/>
      <c r="H2404" s="23"/>
      <c r="I2404" s="23"/>
      <c r="J2404" s="23"/>
      <c r="K2404" s="23"/>
      <c r="L2404" s="49"/>
    </row>
    <row r="2405" customFormat="false" ht="15" hidden="true" customHeight="false" outlineLevel="1" collapsed="false">
      <c r="A2405" s="20" t="n">
        <v>22</v>
      </c>
      <c r="B2405" s="6" t="s">
        <v>314</v>
      </c>
      <c r="C2405" s="20" t="s">
        <v>55</v>
      </c>
      <c r="D2405" s="9" t="n">
        <f aca="false">Допущения!$E$64</f>
        <v>1.2</v>
      </c>
      <c r="E2405" s="23"/>
      <c r="F2405" s="23"/>
      <c r="G2405" s="23"/>
      <c r="H2405" s="23"/>
      <c r="I2405" s="23"/>
      <c r="J2405" s="23"/>
      <c r="K2405" s="23"/>
      <c r="L2405" s="49"/>
    </row>
    <row r="2406" customFormat="false" ht="15" hidden="true" customHeight="false" outlineLevel="1" collapsed="false">
      <c r="A2406" s="20" t="n">
        <v>23</v>
      </c>
      <c r="B2406" s="6" t="s">
        <v>317</v>
      </c>
      <c r="C2406" s="20" t="s">
        <v>55</v>
      </c>
      <c r="D2406" s="45" t="n">
        <f aca="false">Допущения!$E$65</f>
        <v>0.1</v>
      </c>
      <c r="E2406" s="23"/>
      <c r="F2406" s="23"/>
      <c r="G2406" s="23"/>
      <c r="H2406" s="23"/>
      <c r="I2406" s="23"/>
      <c r="J2406" s="23"/>
      <c r="K2406" s="23"/>
      <c r="L2406" s="49"/>
    </row>
    <row r="2407" customFormat="false" ht="15" hidden="true" customHeight="false" outlineLevel="1" collapsed="false">
      <c r="A2407" s="20" t="n">
        <v>24</v>
      </c>
      <c r="B2407" s="6" t="s">
        <v>320</v>
      </c>
      <c r="C2407" s="20" t="s">
        <v>71</v>
      </c>
      <c r="D2407" s="45" t="n">
        <f aca="false">Допущения!$E$66</f>
        <v>0.25</v>
      </c>
      <c r="E2407" s="23"/>
      <c r="F2407" s="23"/>
      <c r="G2407" s="23"/>
      <c r="H2407" s="23"/>
      <c r="I2407" s="23"/>
      <c r="J2407" s="23"/>
      <c r="K2407" s="23"/>
      <c r="L2407" s="49"/>
    </row>
    <row r="2408" customFormat="false" ht="15" hidden="true" customHeight="false" outlineLevel="1" collapsed="false">
      <c r="A2408" s="20" t="n">
        <v>25</v>
      </c>
      <c r="B2408" s="6" t="s">
        <v>570</v>
      </c>
      <c r="C2408" s="20" t="s">
        <v>71</v>
      </c>
      <c r="D2408" s="9" t="n">
        <f aca="false">Допущения!$E$67</f>
        <v>0.3</v>
      </c>
      <c r="E2408" s="23"/>
      <c r="F2408" s="23"/>
      <c r="G2408" s="23"/>
      <c r="H2408" s="23"/>
      <c r="I2408" s="23"/>
      <c r="J2408" s="23"/>
      <c r="K2408" s="23"/>
      <c r="L2408" s="49"/>
    </row>
    <row r="2409" customFormat="false" ht="15" hidden="true" customHeight="false" outlineLevel="1" collapsed="false">
      <c r="A2409" s="20" t="n">
        <v>26</v>
      </c>
      <c r="B2409" s="6" t="s">
        <v>326</v>
      </c>
      <c r="C2409" s="20" t="s">
        <v>261</v>
      </c>
      <c r="D2409" s="22" t="n">
        <f aca="false">Допущения!$E$68</f>
        <v>0.05</v>
      </c>
      <c r="E2409" s="23"/>
      <c r="F2409" s="23"/>
      <c r="G2409" s="23"/>
      <c r="H2409" s="23"/>
      <c r="I2409" s="23"/>
      <c r="J2409" s="23"/>
      <c r="K2409" s="23"/>
      <c r="L2409" s="49"/>
    </row>
    <row r="2410" customFormat="false" ht="15" hidden="true" customHeight="false" outlineLevel="1" collapsed="false">
      <c r="A2410" s="20" t="n">
        <v>27</v>
      </c>
      <c r="B2410" s="6" t="s">
        <v>571</v>
      </c>
      <c r="C2410" s="20" t="s">
        <v>330</v>
      </c>
      <c r="D2410" s="22" t="n">
        <f aca="false">Допущения!$E$69</f>
        <v>0.1</v>
      </c>
      <c r="E2410" s="23"/>
      <c r="F2410" s="23"/>
      <c r="G2410" s="23"/>
      <c r="H2410" s="23"/>
      <c r="I2410" s="23"/>
      <c r="J2410" s="23"/>
      <c r="K2410" s="23"/>
      <c r="L2410" s="49"/>
    </row>
    <row r="2411" customFormat="false" ht="15" hidden="true" customHeight="false" outlineLevel="1" collapsed="false">
      <c r="A2411" s="20" t="n">
        <v>28</v>
      </c>
      <c r="B2411" s="6" t="s">
        <v>572</v>
      </c>
      <c r="C2411" s="20" t="s">
        <v>68</v>
      </c>
      <c r="D2411" s="22" t="n">
        <f aca="false">Допущения!$E$71</f>
        <v>0.05</v>
      </c>
      <c r="E2411" s="23"/>
      <c r="F2411" s="23"/>
      <c r="G2411" s="23"/>
      <c r="H2411" s="23"/>
      <c r="I2411" s="23"/>
      <c r="J2411" s="23"/>
      <c r="K2411" s="23"/>
      <c r="L2411" s="49"/>
    </row>
    <row r="2412" customFormat="false" ht="15" hidden="true" customHeight="false" outlineLevel="1" collapsed="false">
      <c r="A2412" s="20" t="n">
        <v>29</v>
      </c>
      <c r="B2412" s="6" t="s">
        <v>573</v>
      </c>
      <c r="C2412" s="20" t="s">
        <v>68</v>
      </c>
      <c r="D2412" s="22" t="n">
        <f aca="false">Допущения!$E$72</f>
        <v>0.5</v>
      </c>
      <c r="E2412" s="23"/>
      <c r="F2412" s="23"/>
      <c r="G2412" s="23"/>
      <c r="H2412" s="23"/>
      <c r="I2412" s="23"/>
      <c r="J2412" s="23"/>
      <c r="K2412" s="23"/>
      <c r="L2412" s="49"/>
    </row>
    <row r="2413" customFormat="false" ht="15" hidden="true" customHeight="false" outlineLevel="1" collapsed="false">
      <c r="A2413" s="20" t="n">
        <v>30</v>
      </c>
      <c r="B2413" s="6" t="s">
        <v>574</v>
      </c>
      <c r="C2413" s="20" t="s">
        <v>575</v>
      </c>
      <c r="D2413" s="7" t="n">
        <f aca="false">Допущения!$E$73</f>
        <v>90</v>
      </c>
      <c r="E2413" s="23"/>
      <c r="F2413" s="23"/>
      <c r="G2413" s="23"/>
      <c r="H2413" s="23"/>
      <c r="I2413" s="23"/>
      <c r="J2413" s="23"/>
      <c r="K2413" s="23"/>
      <c r="L2413" s="49"/>
    </row>
    <row r="2414" customFormat="false" ht="15" hidden="true" customHeight="false" outlineLevel="1" collapsed="false">
      <c r="A2414" s="20" t="n">
        <v>31</v>
      </c>
      <c r="B2414" s="6" t="s">
        <v>345</v>
      </c>
      <c r="C2414" s="20" t="s">
        <v>68</v>
      </c>
      <c r="D2414" s="22" t="n">
        <f aca="false">Допущения!$E$74*0.8</f>
        <v>0.24</v>
      </c>
      <c r="E2414" s="23"/>
      <c r="F2414" s="23"/>
      <c r="G2414" s="23"/>
      <c r="H2414" s="23"/>
      <c r="I2414" s="23"/>
      <c r="J2414" s="23"/>
      <c r="K2414" s="23"/>
      <c r="L2414" s="49"/>
    </row>
    <row r="2415" customFormat="false" ht="15" hidden="true" customHeight="false" outlineLevel="1" collapsed="false">
      <c r="A2415" s="20" t="n">
        <v>32</v>
      </c>
      <c r="B2415" s="6" t="s">
        <v>576</v>
      </c>
      <c r="C2415" s="20" t="s">
        <v>261</v>
      </c>
      <c r="D2415" s="22" t="n">
        <f aca="false">Допущения!$E$75</f>
        <v>0.04</v>
      </c>
      <c r="E2415" s="23"/>
      <c r="F2415" s="23"/>
      <c r="G2415" s="23"/>
      <c r="H2415" s="23"/>
      <c r="I2415" s="23"/>
      <c r="J2415" s="23"/>
      <c r="K2415" s="23"/>
      <c r="L2415" s="49"/>
    </row>
    <row r="2416" customFormat="false" ht="15" hidden="true" customHeight="false" outlineLevel="1" collapsed="false">
      <c r="A2416" s="20" t="n">
        <v>33</v>
      </c>
      <c r="B2416" s="6" t="s">
        <v>577</v>
      </c>
      <c r="C2416" s="20" t="s">
        <v>68</v>
      </c>
      <c r="D2416" s="22" t="n">
        <f aca="false">Допущения!$E$76</f>
        <v>0.2</v>
      </c>
      <c r="E2416" s="23"/>
      <c r="F2416" s="23"/>
      <c r="G2416" s="23"/>
      <c r="H2416" s="23"/>
      <c r="I2416" s="23"/>
      <c r="J2416" s="23"/>
      <c r="K2416" s="23"/>
      <c r="L2416" s="49"/>
    </row>
    <row r="2417" customFormat="false" ht="15" hidden="true" customHeight="false" outlineLevel="1" collapsed="false">
      <c r="A2417" s="20" t="n">
        <v>34</v>
      </c>
      <c r="B2417" s="6" t="s">
        <v>578</v>
      </c>
      <c r="C2417" s="20" t="s">
        <v>105</v>
      </c>
      <c r="D2417" s="50" t="n">
        <f aca="false">Рынок!$E$30</f>
        <v>0.490909090909091</v>
      </c>
      <c r="E2417" s="23"/>
      <c r="F2417" s="23"/>
      <c r="G2417" s="23"/>
      <c r="H2417" s="23"/>
      <c r="I2417" s="23"/>
      <c r="J2417" s="23"/>
      <c r="K2417" s="23"/>
      <c r="L2417" s="49" t="s">
        <v>579</v>
      </c>
    </row>
    <row r="2418" customFormat="false" ht="15" hidden="true" customHeight="false" outlineLevel="1" collapsed="false">
      <c r="A2418" s="20" t="n">
        <v>35</v>
      </c>
      <c r="B2418" s="6" t="s">
        <v>580</v>
      </c>
      <c r="C2418" s="20" t="s">
        <v>105</v>
      </c>
      <c r="D2418" s="50" t="n">
        <f aca="false">Рынок!$E$31</f>
        <v>0.028125</v>
      </c>
      <c r="E2418" s="23"/>
      <c r="F2418" s="23"/>
      <c r="G2418" s="23"/>
      <c r="H2418" s="23"/>
      <c r="I2418" s="23"/>
      <c r="J2418" s="23"/>
      <c r="K2418" s="23"/>
      <c r="L2418" s="49" t="s">
        <v>579</v>
      </c>
    </row>
    <row r="2419" customFormat="false" ht="15" hidden="true" customHeight="false" outlineLevel="1" collapsed="false">
      <c r="A2419" s="20" t="n">
        <v>36</v>
      </c>
      <c r="B2419" s="6" t="s">
        <v>581</v>
      </c>
      <c r="C2419" s="20" t="s">
        <v>142</v>
      </c>
      <c r="D2419" s="7" t="n">
        <f aca="false">План!$D$18</f>
        <v>200</v>
      </c>
      <c r="E2419" s="23"/>
      <c r="F2419" s="23"/>
      <c r="G2419" s="23"/>
      <c r="H2419" s="23"/>
      <c r="I2419" s="23"/>
      <c r="J2419" s="23"/>
      <c r="K2419" s="23"/>
      <c r="L2419" s="49" t="s">
        <v>582</v>
      </c>
    </row>
    <row r="2420" customFormat="false" ht="15" hidden="true" customHeight="false" outlineLevel="1" collapsed="false">
      <c r="A2420" s="20" t="n">
        <v>37</v>
      </c>
      <c r="B2420" s="6" t="s">
        <v>583</v>
      </c>
      <c r="C2420" s="20" t="s">
        <v>142</v>
      </c>
      <c r="D2420" s="7" t="n">
        <f aca="false">План!$D$19</f>
        <v>280</v>
      </c>
      <c r="E2420" s="23"/>
      <c r="F2420" s="23"/>
      <c r="G2420" s="23"/>
      <c r="H2420" s="23"/>
      <c r="I2420" s="23"/>
      <c r="J2420" s="23"/>
      <c r="K2420" s="23"/>
      <c r="L2420" s="49" t="s">
        <v>582</v>
      </c>
    </row>
    <row r="2421" customFormat="false" ht="15" hidden="true" customHeight="false" outlineLevel="1" collapsed="false">
      <c r="A2421" s="20" t="n">
        <v>38</v>
      </c>
      <c r="B2421" s="6" t="s">
        <v>584</v>
      </c>
      <c r="C2421" s="20" t="s">
        <v>142</v>
      </c>
      <c r="D2421" s="7" t="n">
        <f aca="false">План!$D$20</f>
        <v>230</v>
      </c>
      <c r="E2421" s="23"/>
      <c r="F2421" s="23"/>
      <c r="G2421" s="23"/>
      <c r="H2421" s="23"/>
      <c r="I2421" s="23"/>
      <c r="J2421" s="23"/>
      <c r="K2421" s="23"/>
      <c r="L2421" s="49" t="s">
        <v>582</v>
      </c>
    </row>
    <row r="2422" customFormat="false" ht="15" hidden="true" customHeight="false" outlineLevel="1" collapsed="false">
      <c r="A2422" s="20" t="n">
        <v>39</v>
      </c>
      <c r="B2422" s="6" t="s">
        <v>585</v>
      </c>
      <c r="C2422" s="20" t="s">
        <v>142</v>
      </c>
      <c r="D2422" s="7" t="n">
        <f aca="false">План!$D$21</f>
        <v>220</v>
      </c>
      <c r="E2422" s="23"/>
      <c r="F2422" s="23"/>
      <c r="G2422" s="23"/>
      <c r="H2422" s="23"/>
      <c r="I2422" s="23"/>
      <c r="J2422" s="23"/>
      <c r="K2422" s="23"/>
      <c r="L2422" s="49" t="s">
        <v>582</v>
      </c>
    </row>
    <row r="2423" customFormat="false" ht="15" hidden="true" customHeight="false" outlineLevel="1" collapsed="false">
      <c r="A2423" s="20" t="n">
        <v>40</v>
      </c>
      <c r="B2423" s="6" t="s">
        <v>586</v>
      </c>
      <c r="C2423" s="20" t="s">
        <v>142</v>
      </c>
      <c r="D2423" s="7" t="n">
        <f aca="false">План!$D$22</f>
        <v>250</v>
      </c>
      <c r="E2423" s="23"/>
      <c r="F2423" s="23"/>
      <c r="G2423" s="23"/>
      <c r="H2423" s="23"/>
      <c r="I2423" s="23"/>
      <c r="J2423" s="23"/>
      <c r="K2423" s="23"/>
      <c r="L2423" s="49" t="s">
        <v>582</v>
      </c>
    </row>
    <row r="2424" customFormat="false" ht="15" hidden="true" customHeight="false" outlineLevel="1" collapsed="false">
      <c r="A2424" s="20" t="n">
        <v>41</v>
      </c>
      <c r="B2424" s="6" t="s">
        <v>587</v>
      </c>
      <c r="C2424" s="20" t="s">
        <v>142</v>
      </c>
      <c r="D2424" s="7" t="n">
        <f aca="false">План!$D$23</f>
        <v>220</v>
      </c>
      <c r="E2424" s="23"/>
      <c r="F2424" s="23"/>
      <c r="G2424" s="23"/>
      <c r="H2424" s="23"/>
      <c r="I2424" s="23"/>
      <c r="J2424" s="23"/>
      <c r="K2424" s="23"/>
      <c r="L2424" s="49" t="s">
        <v>582</v>
      </c>
    </row>
    <row r="2425" customFormat="false" ht="15" hidden="true" customHeight="false" outlineLevel="1" collapsed="false">
      <c r="A2425" s="20" t="n">
        <v>42</v>
      </c>
      <c r="B2425" s="6" t="s">
        <v>359</v>
      </c>
      <c r="C2425" s="20" t="s">
        <v>76</v>
      </c>
      <c r="D2425" s="23"/>
      <c r="E2425" s="9" t="n">
        <f aca="false">План!E16</f>
        <v>0</v>
      </c>
      <c r="F2425" s="9" t="n">
        <f aca="false">План!F16</f>
        <v>0</v>
      </c>
      <c r="G2425" s="9" t="n">
        <f aca="false">План!G16</f>
        <v>0</v>
      </c>
      <c r="H2425" s="9" t="n">
        <f aca="false">План!H16</f>
        <v>1</v>
      </c>
      <c r="I2425" s="9" t="n">
        <f aca="false">План!I16</f>
        <v>0</v>
      </c>
      <c r="J2425" s="9" t="n">
        <f aca="false">План!J16</f>
        <v>1</v>
      </c>
      <c r="K2425" s="51" t="n">
        <f aca="false">SUM(F2425:J2425)</f>
        <v>2</v>
      </c>
      <c r="L2425" s="49" t="s">
        <v>582</v>
      </c>
    </row>
    <row r="2426" customFormat="false" ht="15" hidden="true" customHeight="false" outlineLevel="1" collapsed="false">
      <c r="A2426" s="20" t="n">
        <v>43</v>
      </c>
      <c r="B2426" s="6" t="s">
        <v>361</v>
      </c>
      <c r="C2426" s="20" t="s">
        <v>76</v>
      </c>
      <c r="D2426" s="23"/>
      <c r="E2426" s="9" t="n">
        <f aca="false">План!E17</f>
        <v>0</v>
      </c>
      <c r="F2426" s="9" t="n">
        <f aca="false">План!F17</f>
        <v>0</v>
      </c>
      <c r="G2426" s="9" t="n">
        <f aca="false">План!G17</f>
        <v>1</v>
      </c>
      <c r="H2426" s="9" t="n">
        <f aca="false">План!H17</f>
        <v>2</v>
      </c>
      <c r="I2426" s="9" t="n">
        <f aca="false">План!I17</f>
        <v>2</v>
      </c>
      <c r="J2426" s="9" t="n">
        <f aca="false">План!J17</f>
        <v>3</v>
      </c>
      <c r="K2426" s="51" t="n">
        <f aca="false">SUM(F2426:J2426)</f>
        <v>8</v>
      </c>
      <c r="L2426" s="49" t="s">
        <v>582</v>
      </c>
    </row>
    <row r="2427" customFormat="false" ht="15" hidden="true" customHeight="false" outlineLevel="1" collapsed="false">
      <c r="A2427" s="20" t="n">
        <v>44</v>
      </c>
      <c r="B2427" s="6" t="s">
        <v>588</v>
      </c>
      <c r="C2427" s="20" t="s">
        <v>53</v>
      </c>
      <c r="D2427" s="23"/>
      <c r="E2427" s="9" t="n">
        <f aca="false">План!E18</f>
        <v>2</v>
      </c>
      <c r="F2427" s="9" t="n">
        <f aca="false">План!F18</f>
        <v>2</v>
      </c>
      <c r="G2427" s="9" t="n">
        <f aca="false">План!G18</f>
        <v>2</v>
      </c>
      <c r="H2427" s="9" t="n">
        <f aca="false">План!H18</f>
        <v>2</v>
      </c>
      <c r="I2427" s="9" t="n">
        <f aca="false">План!I18</f>
        <v>2</v>
      </c>
      <c r="J2427" s="9" t="n">
        <f aca="false">План!J18</f>
        <v>2</v>
      </c>
      <c r="K2427" s="23"/>
      <c r="L2427" s="49" t="s">
        <v>582</v>
      </c>
    </row>
    <row r="2428" customFormat="false" ht="15" hidden="true" customHeight="false" outlineLevel="1" collapsed="false">
      <c r="A2428" s="20" t="n">
        <v>45</v>
      </c>
      <c r="B2428" s="6" t="s">
        <v>589</v>
      </c>
      <c r="C2428" s="20" t="s">
        <v>53</v>
      </c>
      <c r="D2428" s="23"/>
      <c r="E2428" s="9" t="n">
        <f aca="false">План!E19</f>
        <v>0</v>
      </c>
      <c r="F2428" s="9" t="n">
        <f aca="false">План!F19</f>
        <v>1</v>
      </c>
      <c r="G2428" s="9" t="n">
        <f aca="false">План!G19</f>
        <v>1</v>
      </c>
      <c r="H2428" s="9" t="n">
        <f aca="false">План!H19</f>
        <v>1</v>
      </c>
      <c r="I2428" s="9" t="n">
        <f aca="false">План!I19</f>
        <v>2</v>
      </c>
      <c r="J2428" s="9" t="n">
        <f aca="false">План!J19</f>
        <v>2</v>
      </c>
      <c r="K2428" s="23"/>
      <c r="L2428" s="49" t="s">
        <v>582</v>
      </c>
    </row>
    <row r="2429" customFormat="false" ht="15" hidden="true" customHeight="false" outlineLevel="1" collapsed="false">
      <c r="A2429" s="20" t="n">
        <v>46</v>
      </c>
      <c r="B2429" s="6" t="s">
        <v>590</v>
      </c>
      <c r="C2429" s="20" t="s">
        <v>53</v>
      </c>
      <c r="D2429" s="23"/>
      <c r="E2429" s="9" t="n">
        <f aca="false">План!E20</f>
        <v>0</v>
      </c>
      <c r="F2429" s="9" t="n">
        <f aca="false">План!F20</f>
        <v>1</v>
      </c>
      <c r="G2429" s="9" t="n">
        <f aca="false">План!G20</f>
        <v>1</v>
      </c>
      <c r="H2429" s="9" t="n">
        <f aca="false">План!H20</f>
        <v>1</v>
      </c>
      <c r="I2429" s="9" t="n">
        <f aca="false">План!I20</f>
        <v>1</v>
      </c>
      <c r="J2429" s="9" t="n">
        <f aca="false">План!J20</f>
        <v>1</v>
      </c>
      <c r="K2429" s="23"/>
      <c r="L2429" s="49" t="s">
        <v>582</v>
      </c>
    </row>
    <row r="2430" customFormat="false" ht="15" hidden="true" customHeight="false" outlineLevel="1" collapsed="false">
      <c r="A2430" s="20" t="n">
        <v>47</v>
      </c>
      <c r="B2430" s="6" t="s">
        <v>591</v>
      </c>
      <c r="C2430" s="20" t="s">
        <v>53</v>
      </c>
      <c r="D2430" s="23"/>
      <c r="E2430" s="9" t="n">
        <f aca="false">План!E21</f>
        <v>0</v>
      </c>
      <c r="F2430" s="9" t="n">
        <f aca="false">План!F21</f>
        <v>0</v>
      </c>
      <c r="G2430" s="9" t="n">
        <f aca="false">План!G21</f>
        <v>1</v>
      </c>
      <c r="H2430" s="9" t="n">
        <f aca="false">План!H21</f>
        <v>1</v>
      </c>
      <c r="I2430" s="9" t="n">
        <f aca="false">План!I21</f>
        <v>1</v>
      </c>
      <c r="J2430" s="9" t="n">
        <f aca="false">План!J21</f>
        <v>1</v>
      </c>
      <c r="K2430" s="23"/>
      <c r="L2430" s="49" t="s">
        <v>582</v>
      </c>
    </row>
    <row r="2431" customFormat="false" ht="15" hidden="true" customHeight="false" outlineLevel="1" collapsed="false">
      <c r="A2431" s="20" t="n">
        <v>48</v>
      </c>
      <c r="B2431" s="6" t="s">
        <v>592</v>
      </c>
      <c r="C2431" s="20" t="s">
        <v>53</v>
      </c>
      <c r="D2431" s="23"/>
      <c r="E2431" s="9" t="n">
        <f aca="false">План!E22</f>
        <v>0</v>
      </c>
      <c r="F2431" s="9" t="n">
        <f aca="false">План!F22</f>
        <v>0</v>
      </c>
      <c r="G2431" s="9" t="n">
        <f aca="false">План!G22</f>
        <v>0</v>
      </c>
      <c r="H2431" s="9" t="n">
        <f aca="false">План!H22</f>
        <v>1</v>
      </c>
      <c r="I2431" s="9" t="n">
        <f aca="false">План!I22</f>
        <v>1</v>
      </c>
      <c r="J2431" s="9" t="n">
        <f aca="false">План!J22</f>
        <v>1</v>
      </c>
      <c r="K2431" s="23"/>
      <c r="L2431" s="49" t="s">
        <v>582</v>
      </c>
    </row>
    <row r="2432" customFormat="false" ht="15" hidden="true" customHeight="false" outlineLevel="1" collapsed="false">
      <c r="A2432" s="20" t="n">
        <v>49</v>
      </c>
      <c r="B2432" s="6" t="s">
        <v>593</v>
      </c>
      <c r="C2432" s="20" t="s">
        <v>53</v>
      </c>
      <c r="D2432" s="23"/>
      <c r="E2432" s="9" t="n">
        <f aca="false">План!E23</f>
        <v>0</v>
      </c>
      <c r="F2432" s="9" t="n">
        <f aca="false">План!F23</f>
        <v>0</v>
      </c>
      <c r="G2432" s="9" t="n">
        <f aca="false">План!G23</f>
        <v>0</v>
      </c>
      <c r="H2432" s="9" t="n">
        <f aca="false">План!H23</f>
        <v>0</v>
      </c>
      <c r="I2432" s="9" t="n">
        <f aca="false">План!I23</f>
        <v>0</v>
      </c>
      <c r="J2432" s="9" t="n">
        <f aca="false">План!J23</f>
        <v>1</v>
      </c>
      <c r="K2432" s="23"/>
      <c r="L2432" s="49" t="s">
        <v>582</v>
      </c>
    </row>
    <row r="2433" customFormat="false" ht="15" hidden="true" customHeight="false" outlineLevel="1" collapsed="false">
      <c r="A2433" s="19" t="s">
        <v>594</v>
      </c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</row>
    <row r="2434" customFormat="false" ht="15" hidden="true" customHeight="false" outlineLevel="1" collapsed="false">
      <c r="A2434" s="20" t="n">
        <v>50</v>
      </c>
      <c r="B2434" s="6" t="s">
        <v>595</v>
      </c>
      <c r="C2434" s="20"/>
      <c r="D2434" s="23"/>
      <c r="E2434" s="10" t="n">
        <f aca="false">Допущения!$D$3</f>
        <v>2026</v>
      </c>
      <c r="F2434" s="52" t="n">
        <f aca="false">E2434+1</f>
        <v>2027</v>
      </c>
      <c r="G2434" s="52" t="n">
        <f aca="false">F2434+1</f>
        <v>2028</v>
      </c>
      <c r="H2434" s="52" t="n">
        <f aca="false">G2434+1</f>
        <v>2029</v>
      </c>
      <c r="I2434" s="52" t="n">
        <f aca="false">H2434+1</f>
        <v>2030</v>
      </c>
      <c r="J2434" s="52" t="n">
        <f aca="false">I2434+1</f>
        <v>2031</v>
      </c>
      <c r="K2434" s="23"/>
      <c r="L2434" s="49" t="s">
        <v>596</v>
      </c>
    </row>
    <row r="2435" customFormat="false" ht="15" hidden="true" customHeight="false" outlineLevel="1" collapsed="false">
      <c r="A2435" s="20" t="n">
        <v>51</v>
      </c>
      <c r="B2435" s="6" t="s">
        <v>597</v>
      </c>
      <c r="C2435" s="20" t="s">
        <v>62</v>
      </c>
      <c r="D2435" s="23"/>
      <c r="E2435" s="23"/>
      <c r="F2435" s="53" t="n">
        <f aca="false">(1+$D$2391)^(F$2434-$E$2434-1)</f>
        <v>1</v>
      </c>
      <c r="G2435" s="53" t="n">
        <f aca="false">(1+$D$2391)^(G$2434-$E$2434-1)</f>
        <v>1.05</v>
      </c>
      <c r="H2435" s="53" t="n">
        <f aca="false">(1+$D$2391)^(H$2434-$E$2434-1)</f>
        <v>1.1025</v>
      </c>
      <c r="I2435" s="53" t="n">
        <f aca="false">(1+$D$2391)^(I$2434-$E$2434-1)</f>
        <v>1.157625</v>
      </c>
      <c r="J2435" s="53" t="n">
        <f aca="false">(1+$D$2391)^(J$2434-$E$2434-1)</f>
        <v>1.21550625</v>
      </c>
      <c r="K2435" s="23"/>
      <c r="L2435" s="49" t="s">
        <v>598</v>
      </c>
    </row>
    <row r="2436" customFormat="false" ht="15" hidden="true" customHeight="false" outlineLevel="1" collapsed="false">
      <c r="A2436" s="20" t="n">
        <v>52</v>
      </c>
      <c r="B2436" s="6" t="s">
        <v>599</v>
      </c>
      <c r="C2436" s="20" t="s">
        <v>62</v>
      </c>
      <c r="D2436" s="23"/>
      <c r="E2436" s="23"/>
      <c r="F2436" s="53" t="n">
        <f aca="false">(1+$D$2409)^(F$2434-$E$2434-1)</f>
        <v>1</v>
      </c>
      <c r="G2436" s="53" t="n">
        <f aca="false">(1+$D$2409)^(G$2434-$E$2434-1)</f>
        <v>1.05</v>
      </c>
      <c r="H2436" s="53" t="n">
        <f aca="false">(1+$D$2409)^(H$2434-$E$2434-1)</f>
        <v>1.1025</v>
      </c>
      <c r="I2436" s="53" t="n">
        <f aca="false">(1+$D$2409)^(I$2434-$E$2434-1)</f>
        <v>1.157625</v>
      </c>
      <c r="J2436" s="53" t="n">
        <f aca="false">(1+$D$2409)^(J$2434-$E$2434-1)</f>
        <v>1.21550625</v>
      </c>
      <c r="K2436" s="23"/>
      <c r="L2436" s="49" t="s">
        <v>600</v>
      </c>
    </row>
    <row r="2437" customFormat="false" ht="15" hidden="true" customHeight="false" outlineLevel="1" collapsed="false">
      <c r="A2437" s="20" t="n">
        <v>53</v>
      </c>
      <c r="B2437" s="6" t="s">
        <v>601</v>
      </c>
      <c r="C2437" s="20" t="s">
        <v>62</v>
      </c>
      <c r="D2437" s="23"/>
      <c r="E2437" s="23"/>
      <c r="F2437" s="53" t="n">
        <f aca="false">(1+$D$2393)^(F$2434-$E$2434-1)</f>
        <v>1</v>
      </c>
      <c r="G2437" s="53" t="n">
        <f aca="false">(1+$D$2393)^(G$2434-$E$2434-1)</f>
        <v>1.07</v>
      </c>
      <c r="H2437" s="53" t="n">
        <f aca="false">(1+$D$2393)^(H$2434-$E$2434-1)</f>
        <v>1.1449</v>
      </c>
      <c r="I2437" s="53" t="n">
        <f aca="false">(1+$D$2393)^(I$2434-$E$2434-1)</f>
        <v>1.225043</v>
      </c>
      <c r="J2437" s="53" t="n">
        <f aca="false">(1+$D$2393)^(J$2434-$E$2434-1)</f>
        <v>1.31079601</v>
      </c>
      <c r="K2437" s="23"/>
      <c r="L2437" s="49" t="s">
        <v>602</v>
      </c>
    </row>
    <row r="2438" customFormat="false" ht="15" hidden="true" customHeight="false" outlineLevel="1" collapsed="false">
      <c r="A2438" s="20" t="n">
        <v>54</v>
      </c>
      <c r="B2438" s="6" t="s">
        <v>603</v>
      </c>
      <c r="C2438" s="20" t="s">
        <v>55</v>
      </c>
      <c r="D2438" s="23"/>
      <c r="E2438" s="23"/>
      <c r="F2438" s="46" t="n">
        <f aca="false">$D$2397*(1+$D$2398)^(F$2434-$E$2434)</f>
        <v>3.21732</v>
      </c>
      <c r="G2438" s="46" t="n">
        <f aca="false">$D$2397*(1+$D$2398)^(G$2434-$E$2434)</f>
        <v>3.4747056</v>
      </c>
      <c r="H2438" s="46" t="n">
        <f aca="false">$D$2397*(1+$D$2398)^(H$2434-$E$2434)</f>
        <v>3.752682048</v>
      </c>
      <c r="I2438" s="46" t="n">
        <f aca="false">$D$2397*(1+$D$2398)^(I$2434-$E$2434)</f>
        <v>4.05289661184</v>
      </c>
      <c r="J2438" s="46" t="n">
        <f aca="false">$D$2397*(1+$D$2398)^(J$2434-$E$2434)</f>
        <v>4.3771283407872</v>
      </c>
      <c r="K2438" s="23"/>
      <c r="L2438" s="49" t="s">
        <v>604</v>
      </c>
    </row>
    <row r="2439" customFormat="false" ht="15" hidden="true" customHeight="false" outlineLevel="1" collapsed="false">
      <c r="A2439" s="19" t="s">
        <v>605</v>
      </c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</row>
    <row r="2440" customFormat="false" ht="15" hidden="true" customHeight="false" outlineLevel="1" collapsed="false">
      <c r="A2440" s="20" t="n">
        <v>55</v>
      </c>
      <c r="B2440" s="6" t="s">
        <v>606</v>
      </c>
      <c r="C2440" s="20" t="s">
        <v>76</v>
      </c>
      <c r="D2440" s="23"/>
      <c r="E2440" s="23"/>
      <c r="F2440" s="38" t="n">
        <f aca="false">IF(F$2434=$D$2384,1,0)</f>
        <v>1</v>
      </c>
      <c r="G2440" s="38" t="n">
        <f aca="false">IF(G$2434=$D$2384,1,0)</f>
        <v>0</v>
      </c>
      <c r="H2440" s="38" t="n">
        <f aca="false">IF(H$2434=$D$2384,1,0)</f>
        <v>0</v>
      </c>
      <c r="I2440" s="38" t="n">
        <f aca="false">IF(I$2434=$D$2384,1,0)</f>
        <v>0</v>
      </c>
      <c r="J2440" s="38" t="n">
        <f aca="false">IF(J$2434=$D$2384,1,0)</f>
        <v>0</v>
      </c>
      <c r="K2440" s="23"/>
      <c r="L2440" s="49" t="s">
        <v>607</v>
      </c>
    </row>
    <row r="2441" customFormat="false" ht="15" hidden="true" customHeight="false" outlineLevel="1" collapsed="false">
      <c r="A2441" s="20" t="n">
        <v>56</v>
      </c>
      <c r="B2441" s="6" t="s">
        <v>608</v>
      </c>
      <c r="C2441" s="20" t="s">
        <v>76</v>
      </c>
      <c r="D2441" s="23"/>
      <c r="E2441" s="38" t="n">
        <f aca="false">0</f>
        <v>0</v>
      </c>
      <c r="F2441" s="38" t="n">
        <f aca="false">F2440+F2425</f>
        <v>1</v>
      </c>
      <c r="G2441" s="38" t="n">
        <f aca="false">G2440+G2425</f>
        <v>0</v>
      </c>
      <c r="H2441" s="38" t="n">
        <f aca="false">H2440+H2425</f>
        <v>1</v>
      </c>
      <c r="I2441" s="38" t="n">
        <f aca="false">I2440+I2425</f>
        <v>0</v>
      </c>
      <c r="J2441" s="38" t="n">
        <f aca="false">J2440+J2425</f>
        <v>1</v>
      </c>
      <c r="K2441" s="54" t="n">
        <f aca="false">SUM(F2441:J2441)</f>
        <v>3</v>
      </c>
      <c r="L2441" s="49" t="s">
        <v>609</v>
      </c>
    </row>
    <row r="2442" customFormat="false" ht="15" hidden="true" customHeight="false" outlineLevel="1" collapsed="false">
      <c r="A2442" s="20" t="n">
        <v>57</v>
      </c>
      <c r="B2442" s="6" t="s">
        <v>610</v>
      </c>
      <c r="C2442" s="20" t="s">
        <v>76</v>
      </c>
      <c r="D2442" s="23"/>
      <c r="E2442" s="38" t="n">
        <f aca="false">0</f>
        <v>0</v>
      </c>
      <c r="F2442" s="38" t="n">
        <f aca="false">E2442+F2441</f>
        <v>1</v>
      </c>
      <c r="G2442" s="38" t="n">
        <f aca="false">F2442+G2441</f>
        <v>1</v>
      </c>
      <c r="H2442" s="38" t="n">
        <f aca="false">G2442+H2441</f>
        <v>2</v>
      </c>
      <c r="I2442" s="38" t="n">
        <f aca="false">H2442+I2441</f>
        <v>2</v>
      </c>
      <c r="J2442" s="38" t="n">
        <f aca="false">I2442+J2441</f>
        <v>3</v>
      </c>
      <c r="K2442" s="23"/>
      <c r="L2442" s="49" t="s">
        <v>611</v>
      </c>
    </row>
    <row r="2443" customFormat="false" ht="15" hidden="true" customHeight="false" outlineLevel="1" collapsed="false">
      <c r="A2443" s="20" t="n">
        <v>58</v>
      </c>
      <c r="B2443" s="6" t="s">
        <v>612</v>
      </c>
      <c r="C2443" s="20" t="s">
        <v>76</v>
      </c>
      <c r="D2443" s="23"/>
      <c r="E2443" s="38" t="n">
        <f aca="false">0</f>
        <v>0</v>
      </c>
      <c r="F2443" s="38" t="n">
        <f aca="false">E2443+F2426</f>
        <v>0</v>
      </c>
      <c r="G2443" s="38" t="n">
        <f aca="false">F2443+G2426</f>
        <v>1</v>
      </c>
      <c r="H2443" s="38" t="n">
        <f aca="false">G2443+H2426</f>
        <v>3</v>
      </c>
      <c r="I2443" s="38" t="n">
        <f aca="false">H2443+I2426</f>
        <v>5</v>
      </c>
      <c r="J2443" s="38" t="n">
        <f aca="false">I2443+J2426</f>
        <v>8</v>
      </c>
      <c r="K2443" s="23"/>
      <c r="L2443" s="49" t="s">
        <v>611</v>
      </c>
    </row>
    <row r="2444" customFormat="false" ht="15" hidden="true" customHeight="false" outlineLevel="1" collapsed="false">
      <c r="A2444" s="20" t="n">
        <v>59</v>
      </c>
      <c r="B2444" s="6" t="s">
        <v>613</v>
      </c>
      <c r="C2444" s="20" t="s">
        <v>76</v>
      </c>
      <c r="D2444" s="23"/>
      <c r="E2444" s="38" t="n">
        <f aca="false">0</f>
        <v>0</v>
      </c>
      <c r="F2444" s="38" t="n">
        <f aca="false">F2442+F2443</f>
        <v>1</v>
      </c>
      <c r="G2444" s="38" t="n">
        <f aca="false">G2442+G2443</f>
        <v>2</v>
      </c>
      <c r="H2444" s="38" t="n">
        <f aca="false">H2442+H2443</f>
        <v>5</v>
      </c>
      <c r="I2444" s="38" t="n">
        <f aca="false">I2442+I2443</f>
        <v>7</v>
      </c>
      <c r="J2444" s="38" t="n">
        <f aca="false">J2442+J2443</f>
        <v>11</v>
      </c>
      <c r="K2444" s="23"/>
      <c r="L2444" s="49" t="s">
        <v>614</v>
      </c>
    </row>
    <row r="2445" customFormat="false" ht="15" hidden="true" customHeight="false" outlineLevel="1" collapsed="false">
      <c r="A2445" s="20" t="n">
        <v>60</v>
      </c>
      <c r="B2445" s="6" t="s">
        <v>615</v>
      </c>
      <c r="C2445" s="20" t="s">
        <v>76</v>
      </c>
      <c r="D2445" s="23"/>
      <c r="E2445" s="23"/>
      <c r="F2445" s="38" t="n">
        <f aca="false">F2441+F2426</f>
        <v>1</v>
      </c>
      <c r="G2445" s="38" t="n">
        <f aca="false">G2441+G2426</f>
        <v>1</v>
      </c>
      <c r="H2445" s="38" t="n">
        <f aca="false">H2441+H2426</f>
        <v>3</v>
      </c>
      <c r="I2445" s="38" t="n">
        <f aca="false">I2441+I2426</f>
        <v>2</v>
      </c>
      <c r="J2445" s="38" t="n">
        <f aca="false">J2441+J2426</f>
        <v>4</v>
      </c>
      <c r="K2445" s="54" t="n">
        <f aca="false">SUM(F2445:J2445)</f>
        <v>11</v>
      </c>
      <c r="L2445" s="49"/>
    </row>
    <row r="2446" customFormat="false" ht="15" hidden="true" customHeight="false" outlineLevel="1" collapsed="false">
      <c r="A2446" s="19" t="s">
        <v>616</v>
      </c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</row>
    <row r="2447" customFormat="false" ht="15" hidden="true" customHeight="false" outlineLevel="1" collapsed="false">
      <c r="A2447" s="20" t="n">
        <v>61</v>
      </c>
      <c r="B2447" s="6" t="s">
        <v>617</v>
      </c>
      <c r="C2447" s="20" t="s">
        <v>71</v>
      </c>
      <c r="D2447" s="23"/>
      <c r="E2447" s="23"/>
      <c r="F2447" s="40" t="n">
        <f aca="false">IF(F$2434&gt;$D$2384,($D$2386+$D$2385*$D$2387)*(1+$D$2392)^(F$2434-$D$2384-1)*F2435,0)</f>
        <v>0</v>
      </c>
      <c r="G2447" s="40" t="n">
        <f aca="false">IF(G$2434&gt;$D$2384,($D$2386+$D$2385*$D$2387)*(1+$D$2392)^(G$2434-$D$2384-1)*G2435,0)</f>
        <v>15.75</v>
      </c>
      <c r="H2447" s="40" t="n">
        <f aca="false">IF(H$2434&gt;$D$2384,($D$2386+$D$2385*$D$2387)*(1+$D$2392)^(H$2434-$D$2384-1)*H2435,0)</f>
        <v>19.018125</v>
      </c>
      <c r="I2447" s="40" t="n">
        <f aca="false">IF(I$2434&gt;$D$2384,($D$2386+$D$2385*$D$2387)*(1+$D$2392)^(I$2434-$D$2384-1)*I2435,0)</f>
        <v>22.9643859375</v>
      </c>
      <c r="J2447" s="40" t="n">
        <f aca="false">IF(J$2434&gt;$D$2384,($D$2386+$D$2385*$D$2387)*(1+$D$2392)^(J$2434-$D$2384-1)*J2435,0)</f>
        <v>27.7294960195313</v>
      </c>
      <c r="K2447" s="51" t="n">
        <f aca="false">SUM(F2447:J2447)</f>
        <v>85.4620069570313</v>
      </c>
      <c r="L2447" s="49" t="s">
        <v>618</v>
      </c>
    </row>
    <row r="2448" customFormat="false" ht="15" hidden="true" customHeight="false" outlineLevel="1" collapsed="false">
      <c r="A2448" s="20" t="n">
        <v>62</v>
      </c>
      <c r="B2448" s="6" t="s">
        <v>619</v>
      </c>
      <c r="C2448" s="20" t="s">
        <v>71</v>
      </c>
      <c r="D2448" s="23"/>
      <c r="E2448" s="23"/>
      <c r="F2448" s="40" t="n">
        <f aca="false">($D$2386+$D$2417*$D$2387)*F2435*SUMPRODUCT($E$2425:E$2425,(1+$D$2392)^(F$2434-$E$2434:E$2434-1))</f>
        <v>0</v>
      </c>
      <c r="G2448" s="40" t="n">
        <f aca="false">($D$2386+$D$2417*$D$2387)*G2435*SUMPRODUCT($E$2425:F$2425,(1+$D$2392)^(G$2434-$E$2434:F$2434-1))</f>
        <v>0</v>
      </c>
      <c r="H2448" s="40" t="n">
        <f aca="false">($D$2386+$D$2417*$D$2387)*H2435*SUMPRODUCT($E$2425:G$2425,(1+$D$2392)^(H$2434-$E$2434:G$2434-1))</f>
        <v>0</v>
      </c>
      <c r="I2448" s="40" t="n">
        <f aca="false">($D$2386+$D$2417*$D$2387)*I2435*SUMPRODUCT($E$2425:H$2425,(1+$D$2392)^(I$2434-$E$2434:H$2434-1))</f>
        <v>9.78719318181818</v>
      </c>
      <c r="J2448" s="40" t="n">
        <f aca="false">($D$2386+$D$2417*$D$2387)*J2435*SUMPRODUCT($E$2425:I$2425,(1+$D$2392)^(J$2434-$E$2434:I$2434-1))</f>
        <v>11.8180357670455</v>
      </c>
      <c r="K2448" s="51" t="n">
        <f aca="false">SUM(F2448:J2448)</f>
        <v>21.6052289488636</v>
      </c>
      <c r="L2448" s="49" t="s">
        <v>620</v>
      </c>
    </row>
    <row r="2449" customFormat="false" ht="15" hidden="true" customHeight="false" outlineLevel="1" collapsed="false">
      <c r="A2449" s="20" t="n">
        <v>63</v>
      </c>
      <c r="B2449" s="6" t="s">
        <v>621</v>
      </c>
      <c r="C2449" s="20" t="s">
        <v>71</v>
      </c>
      <c r="D2449" s="23"/>
      <c r="E2449" s="23"/>
      <c r="F2449" s="40" t="n">
        <f aca="false">($D$2388+$D$2418*$D$2387)*F2435*SUMPRODUCT($E$2426:E$2426,(1+$D$2392)^(F$2434-$E$2434:E$2434-1))</f>
        <v>0</v>
      </c>
      <c r="G2449" s="40" t="n">
        <f aca="false">($D$2388+$D$2418*$D$2387)*G2435*SUMPRODUCT($E$2426:F$2426,(1+$D$2392)^(G$2434-$E$2434:F$2434-1))</f>
        <v>0</v>
      </c>
      <c r="H2449" s="40" t="n">
        <f aca="false">($D$2388+$D$2418*$D$2387)*H2435*SUMPRODUCT($E$2426:G$2426,(1+$D$2392)^(H$2434-$E$2434:G$2434-1))</f>
        <v>1.8087890625</v>
      </c>
      <c r="I2449" s="40" t="n">
        <f aca="false">($D$2388+$D$2418*$D$2387)*I2435*SUMPRODUCT($E$2426:H$2426,(1+$D$2392)^(I$2434-$E$2434:H$2434-1))</f>
        <v>5.98256982421875</v>
      </c>
      <c r="J2449" s="40" t="n">
        <f aca="false">($D$2388+$D$2418*$D$2387)*J2435*SUMPRODUCT($E$2426:I$2426,(1+$D$2392)^(J$2434-$E$2434:I$2434-1))</f>
        <v>11.2123329455566</v>
      </c>
      <c r="K2449" s="51" t="n">
        <f aca="false">SUM(F2449:J2449)</f>
        <v>19.0036918322754</v>
      </c>
      <c r="L2449" s="49" t="s">
        <v>622</v>
      </c>
    </row>
    <row r="2450" customFormat="false" ht="15" hidden="true" customHeight="false" outlineLevel="1" collapsed="false">
      <c r="A2450" s="20" t="n">
        <v>64</v>
      </c>
      <c r="B2450" s="6" t="s">
        <v>623</v>
      </c>
      <c r="C2450" s="20" t="s">
        <v>71</v>
      </c>
      <c r="D2450" s="23"/>
      <c r="E2450" s="23"/>
      <c r="F2450" s="40" t="n">
        <f aca="false">(F2441*$D$2389+F2426*$D$2390)*F2435</f>
        <v>8</v>
      </c>
      <c r="G2450" s="40" t="n">
        <f aca="false">(G2441*$D$2389+G2426*$D$2390)*G2435</f>
        <v>2.1</v>
      </c>
      <c r="H2450" s="40" t="n">
        <f aca="false">(H2441*$D$2389+H2426*$D$2390)*H2435</f>
        <v>13.23</v>
      </c>
      <c r="I2450" s="40" t="n">
        <f aca="false">(I2441*$D$2389+I2426*$D$2390)*I2435</f>
        <v>4.6305</v>
      </c>
      <c r="J2450" s="40" t="n">
        <f aca="false">(J2441*$D$2389+J2426*$D$2390)*J2435</f>
        <v>17.0170875</v>
      </c>
      <c r="K2450" s="51" t="n">
        <f aca="false">SUM(F2450:J2450)</f>
        <v>44.9775875</v>
      </c>
      <c r="L2450" s="49" t="s">
        <v>624</v>
      </c>
    </row>
    <row r="2451" customFormat="false" ht="15" hidden="true" customHeight="false" outlineLevel="1" collapsed="false">
      <c r="A2451" s="20" t="n">
        <v>65</v>
      </c>
      <c r="B2451" s="6" t="s">
        <v>625</v>
      </c>
      <c r="C2451" s="20" t="s">
        <v>71</v>
      </c>
      <c r="D2451" s="23"/>
      <c r="E2451" s="23"/>
      <c r="F2451" s="40" t="n">
        <f aca="false">F2447+F2448+F2449</f>
        <v>0</v>
      </c>
      <c r="G2451" s="40" t="n">
        <f aca="false">G2447+G2448+G2449</f>
        <v>15.75</v>
      </c>
      <c r="H2451" s="40" t="n">
        <f aca="false">H2447+H2448+H2449</f>
        <v>20.8269140625</v>
      </c>
      <c r="I2451" s="40" t="n">
        <f aca="false">I2447+I2448+I2449</f>
        <v>38.7341489435369</v>
      </c>
      <c r="J2451" s="40" t="n">
        <f aca="false">J2447+J2448+J2449</f>
        <v>50.7598647321333</v>
      </c>
      <c r="K2451" s="51" t="n">
        <f aca="false">SUM(F2451:J2451)</f>
        <v>126.07092773817</v>
      </c>
      <c r="L2451" s="49"/>
    </row>
    <row r="2452" customFormat="false" ht="15" hidden="true" customHeight="false" outlineLevel="1" collapsed="false">
      <c r="A2452" s="20" t="n">
        <v>66</v>
      </c>
      <c r="B2452" s="6" t="s">
        <v>91</v>
      </c>
      <c r="C2452" s="20" t="s">
        <v>71</v>
      </c>
      <c r="D2452" s="23"/>
      <c r="E2452" s="23"/>
      <c r="F2452" s="40" t="n">
        <f aca="false">F2451+F2450</f>
        <v>8</v>
      </c>
      <c r="G2452" s="40" t="n">
        <f aca="false">G2451+G2450</f>
        <v>17.85</v>
      </c>
      <c r="H2452" s="40" t="n">
        <f aca="false">H2451+H2450</f>
        <v>34.0569140625</v>
      </c>
      <c r="I2452" s="40" t="n">
        <f aca="false">I2451+I2450</f>
        <v>43.3646489435369</v>
      </c>
      <c r="J2452" s="40" t="n">
        <f aca="false">J2451+J2450</f>
        <v>67.7769522321333</v>
      </c>
      <c r="K2452" s="51" t="n">
        <f aca="false">SUM(F2452:J2452)</f>
        <v>171.04851523817</v>
      </c>
      <c r="L2452" s="49" t="s">
        <v>626</v>
      </c>
    </row>
    <row r="2453" customFormat="false" ht="15" hidden="true" customHeight="false" outlineLevel="1" collapsed="false">
      <c r="A2453" s="20" t="n">
        <v>67</v>
      </c>
      <c r="B2453" s="6" t="s">
        <v>627</v>
      </c>
      <c r="C2453" s="20" t="s">
        <v>55</v>
      </c>
      <c r="D2453" s="23"/>
      <c r="E2453" s="23"/>
      <c r="F2453" s="40" t="n">
        <f aca="false">IF(F$2434&gt;=$D$2384,($D$2386+$D$2385*$D$2387)*(1+$D$2392)^(F$2434-$D$2384)*F2435,0)+($D$2386+$D$2417*$D$2387)*F2435*SUMPRODUCT($E$2425:F$2425,(1+$D$2392)^(F$2434-$E$2434:F$2434))+($D$2388+$D$2418*$D$2387)*F2435*SUMPRODUCT($E$2426:F$2426,(1+$D$2392)^(F$2434-$E$2434:F$2434))</f>
        <v>15</v>
      </c>
      <c r="G2453" s="40" t="n">
        <f aca="false">IF(G$2434&gt;=$D$2384,($D$2386+$D$2385*$D$2387)*(1+$D$2392)^(G$2434-$D$2384)*G2435,0)+($D$2386+$D$2417*$D$2387)*G2435*SUMPRODUCT($E$2425:G$2425,(1+$D$2392)^(G$2434-$E$2434:G$2434))+($D$2388+$D$2418*$D$2387)*G2435*SUMPRODUCT($E$2426:G$2426,(1+$D$2392)^(G$2434-$E$2434:G$2434))</f>
        <v>19.83515625</v>
      </c>
      <c r="H2453" s="40" t="n">
        <f aca="false">IF(H$2434&gt;=$D$2384,($D$2386+$D$2385*$D$2387)*(1+$D$2392)^(H$2434-$D$2384)*H2435,0)+($D$2386+$D$2417*$D$2387)*H2435*SUMPRODUCT($E$2425:H$2425,(1+$D$2392)^(H$2434-$E$2434:H$2434))+($D$2388+$D$2418*$D$2387)*H2435*SUMPRODUCT($E$2426:H$2426,(1+$D$2392)^(H$2434-$E$2434:H$2434))</f>
        <v>36.8896656605114</v>
      </c>
      <c r="I2453" s="40" t="n">
        <f aca="false">IF(I$2434&gt;=$D$2384,($D$2386+$D$2385*$D$2387)*(1+$D$2392)^(I$2434-$D$2384)*I2435,0)+($D$2386+$D$2417*$D$2387)*I2435*SUMPRODUCT($E$2425:I$2425,(1+$D$2392)^(I$2434-$E$2434:I$2434))+($D$2388+$D$2418*$D$2387)*I2435*SUMPRODUCT($E$2426:I$2426,(1+$D$2392)^(I$2434-$E$2434:I$2434))</f>
        <v>48.3427283163175</v>
      </c>
      <c r="J2453" s="40" t="n">
        <f aca="false">IF(J$2434&gt;=$D$2384,($D$2386+$D$2385*$D$2387)*(1+$D$2392)^(J$2434-$D$2384)*J2435,0)+($D$2386+$D$2417*$D$2387)*J2435*SUMPRODUCT($E$2425:J$2425,(1+$D$2392)^(J$2434-$E$2434:J$2434))+($D$2388+$D$2418*$D$2387)*J2435*SUMPRODUCT($E$2426:J$2426,(1+$D$2392)^(J$2434-$E$2434:J$2434))</f>
        <v>74.6329671070812</v>
      </c>
      <c r="K2453" s="23"/>
      <c r="L2453" s="49" t="s">
        <v>628</v>
      </c>
    </row>
    <row r="2454" customFormat="false" ht="15" hidden="true" customHeight="false" outlineLevel="1" collapsed="false">
      <c r="A2454" s="19" t="s">
        <v>629</v>
      </c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</row>
    <row r="2455" customFormat="false" ht="15" hidden="true" customHeight="false" outlineLevel="1" collapsed="false">
      <c r="A2455" s="20" t="n">
        <v>68</v>
      </c>
      <c r="B2455" s="6" t="s">
        <v>630</v>
      </c>
      <c r="C2455" s="20" t="s">
        <v>53</v>
      </c>
      <c r="D2455" s="23"/>
      <c r="E2455" s="40" t="n">
        <f aca="false">E2427+E2428+E2429+E2430+E2431+E2432</f>
        <v>2</v>
      </c>
      <c r="F2455" s="40" t="n">
        <f aca="false">F2427+F2428+F2429+F2430+F2431+F2432</f>
        <v>4</v>
      </c>
      <c r="G2455" s="40" t="n">
        <f aca="false">G2427+G2428+G2429+G2430+G2431+G2432</f>
        <v>5</v>
      </c>
      <c r="H2455" s="40" t="n">
        <f aca="false">H2427+H2428+H2429+H2430+H2431+H2432</f>
        <v>6</v>
      </c>
      <c r="I2455" s="40" t="n">
        <f aca="false">I2427+I2428+I2429+I2430+I2431+I2432</f>
        <v>7</v>
      </c>
      <c r="J2455" s="40" t="n">
        <f aca="false">J2427+J2428+J2429+J2430+J2431+J2432</f>
        <v>8</v>
      </c>
      <c r="K2455" s="23"/>
      <c r="L2455" s="49" t="s">
        <v>631</v>
      </c>
    </row>
    <row r="2456" customFormat="false" ht="15" hidden="true" customHeight="false" outlineLevel="1" collapsed="false">
      <c r="A2456" s="20" t="n">
        <v>69</v>
      </c>
      <c r="B2456" s="6" t="s">
        <v>632</v>
      </c>
      <c r="C2456" s="20" t="s">
        <v>53</v>
      </c>
      <c r="D2456" s="23"/>
      <c r="E2456" s="23"/>
      <c r="F2456" s="40" t="n">
        <f aca="false">MAX(0,F2455-E2455)</f>
        <v>2</v>
      </c>
      <c r="G2456" s="40" t="n">
        <f aca="false">MAX(0,G2455-F2455)</f>
        <v>1</v>
      </c>
      <c r="H2456" s="40" t="n">
        <f aca="false">MAX(0,H2455-G2455)</f>
        <v>1</v>
      </c>
      <c r="I2456" s="40" t="n">
        <f aca="false">MAX(0,I2455-H2455)</f>
        <v>1</v>
      </c>
      <c r="J2456" s="40" t="n">
        <f aca="false">MAX(0,J2455-I2455)</f>
        <v>1</v>
      </c>
      <c r="K2456" s="23"/>
      <c r="L2456" s="49" t="s">
        <v>633</v>
      </c>
    </row>
    <row r="2457" customFormat="false" ht="15" hidden="true" customHeight="false" outlineLevel="1" collapsed="false">
      <c r="A2457" s="20" t="n">
        <v>70</v>
      </c>
      <c r="B2457" s="6" t="s">
        <v>634</v>
      </c>
      <c r="C2457" s="20" t="s">
        <v>71</v>
      </c>
      <c r="D2457" s="23"/>
      <c r="E2457" s="23"/>
      <c r="F2457" s="41" t="n">
        <f aca="false">$D$2419*12/1000*F2437</f>
        <v>2.4</v>
      </c>
      <c r="G2457" s="41" t="n">
        <f aca="false">$D$2419*12/1000*G2437</f>
        <v>2.568</v>
      </c>
      <c r="H2457" s="41" t="n">
        <f aca="false">$D$2419*12/1000*H2437</f>
        <v>2.74776</v>
      </c>
      <c r="I2457" s="41" t="n">
        <f aca="false">$D$2419*12/1000*I2437</f>
        <v>2.9401032</v>
      </c>
      <c r="J2457" s="41" t="n">
        <f aca="false">$D$2419*12/1000*J2437</f>
        <v>3.145910424</v>
      </c>
      <c r="K2457" s="23"/>
      <c r="L2457" s="49" t="s">
        <v>635</v>
      </c>
    </row>
    <row r="2458" customFormat="false" ht="15" hidden="true" customHeight="false" outlineLevel="1" collapsed="false">
      <c r="A2458" s="20" t="n">
        <v>71</v>
      </c>
      <c r="B2458" s="6" t="s">
        <v>636</v>
      </c>
      <c r="C2458" s="20" t="s">
        <v>71</v>
      </c>
      <c r="D2458" s="23"/>
      <c r="E2458" s="23"/>
      <c r="F2458" s="41" t="n">
        <f aca="false">$D$2420*12/1000*F2437</f>
        <v>3.36</v>
      </c>
      <c r="G2458" s="41" t="n">
        <f aca="false">$D$2420*12/1000*G2437</f>
        <v>3.5952</v>
      </c>
      <c r="H2458" s="41" t="n">
        <f aca="false">$D$2420*12/1000*H2437</f>
        <v>3.846864</v>
      </c>
      <c r="I2458" s="41" t="n">
        <f aca="false">$D$2420*12/1000*I2437</f>
        <v>4.11614448</v>
      </c>
      <c r="J2458" s="41" t="n">
        <f aca="false">$D$2420*12/1000*J2437</f>
        <v>4.4042745936</v>
      </c>
      <c r="K2458" s="23"/>
      <c r="L2458" s="49" t="s">
        <v>635</v>
      </c>
    </row>
    <row r="2459" customFormat="false" ht="15" hidden="true" customHeight="false" outlineLevel="1" collapsed="false">
      <c r="A2459" s="20" t="n">
        <v>72</v>
      </c>
      <c r="B2459" s="6" t="s">
        <v>637</v>
      </c>
      <c r="C2459" s="20" t="s">
        <v>71</v>
      </c>
      <c r="D2459" s="23"/>
      <c r="E2459" s="23"/>
      <c r="F2459" s="41" t="n">
        <f aca="false">$D$2421*12/1000*F2437</f>
        <v>2.76</v>
      </c>
      <c r="G2459" s="41" t="n">
        <f aca="false">$D$2421*12/1000*G2437</f>
        <v>2.9532</v>
      </c>
      <c r="H2459" s="41" t="n">
        <f aca="false">$D$2421*12/1000*H2437</f>
        <v>3.159924</v>
      </c>
      <c r="I2459" s="41" t="n">
        <f aca="false">$D$2421*12/1000*I2437</f>
        <v>3.38111868</v>
      </c>
      <c r="J2459" s="41" t="n">
        <f aca="false">$D$2421*12/1000*J2437</f>
        <v>3.6177969876</v>
      </c>
      <c r="K2459" s="23"/>
      <c r="L2459" s="49" t="s">
        <v>635</v>
      </c>
    </row>
    <row r="2460" customFormat="false" ht="15" hidden="true" customHeight="false" outlineLevel="1" collapsed="false">
      <c r="A2460" s="20" t="n">
        <v>73</v>
      </c>
      <c r="B2460" s="6" t="s">
        <v>638</v>
      </c>
      <c r="C2460" s="20" t="s">
        <v>71</v>
      </c>
      <c r="D2460" s="23"/>
      <c r="E2460" s="23"/>
      <c r="F2460" s="41" t="n">
        <f aca="false">$D$2422*12/1000*F2437</f>
        <v>2.64</v>
      </c>
      <c r="G2460" s="41" t="n">
        <f aca="false">$D$2422*12/1000*G2437</f>
        <v>2.8248</v>
      </c>
      <c r="H2460" s="41" t="n">
        <f aca="false">$D$2422*12/1000*H2437</f>
        <v>3.022536</v>
      </c>
      <c r="I2460" s="41" t="n">
        <f aca="false">$D$2422*12/1000*I2437</f>
        <v>3.23411352</v>
      </c>
      <c r="J2460" s="41" t="n">
        <f aca="false">$D$2422*12/1000*J2437</f>
        <v>3.4605014664</v>
      </c>
      <c r="K2460" s="23"/>
      <c r="L2460" s="49" t="s">
        <v>635</v>
      </c>
    </row>
    <row r="2461" customFormat="false" ht="15" hidden="true" customHeight="false" outlineLevel="1" collapsed="false">
      <c r="A2461" s="20" t="n">
        <v>74</v>
      </c>
      <c r="B2461" s="6" t="s">
        <v>639</v>
      </c>
      <c r="C2461" s="20" t="s">
        <v>71</v>
      </c>
      <c r="D2461" s="23"/>
      <c r="E2461" s="23"/>
      <c r="F2461" s="41" t="n">
        <f aca="false">$D$2423*12/1000*F2437</f>
        <v>3</v>
      </c>
      <c r="G2461" s="41" t="n">
        <f aca="false">$D$2423*12/1000*G2437</f>
        <v>3.21</v>
      </c>
      <c r="H2461" s="41" t="n">
        <f aca="false">$D$2423*12/1000*H2437</f>
        <v>3.4347</v>
      </c>
      <c r="I2461" s="41" t="n">
        <f aca="false">$D$2423*12/1000*I2437</f>
        <v>3.675129</v>
      </c>
      <c r="J2461" s="41" t="n">
        <f aca="false">$D$2423*12/1000*J2437</f>
        <v>3.93238803</v>
      </c>
      <c r="K2461" s="23"/>
      <c r="L2461" s="49" t="s">
        <v>635</v>
      </c>
    </row>
    <row r="2462" customFormat="false" ht="15" hidden="true" customHeight="false" outlineLevel="1" collapsed="false">
      <c r="A2462" s="20" t="n">
        <v>75</v>
      </c>
      <c r="B2462" s="6" t="s">
        <v>640</v>
      </c>
      <c r="C2462" s="20" t="s">
        <v>71</v>
      </c>
      <c r="D2462" s="23"/>
      <c r="E2462" s="23"/>
      <c r="F2462" s="41" t="n">
        <f aca="false">$D$2424*12/1000*F2437</f>
        <v>2.64</v>
      </c>
      <c r="G2462" s="41" t="n">
        <f aca="false">$D$2424*12/1000*G2437</f>
        <v>2.8248</v>
      </c>
      <c r="H2462" s="41" t="n">
        <f aca="false">$D$2424*12/1000*H2437</f>
        <v>3.022536</v>
      </c>
      <c r="I2462" s="41" t="n">
        <f aca="false">$D$2424*12/1000*I2437</f>
        <v>3.23411352</v>
      </c>
      <c r="J2462" s="41" t="n">
        <f aca="false">$D$2424*12/1000*J2437</f>
        <v>3.4605014664</v>
      </c>
      <c r="K2462" s="23"/>
      <c r="L2462" s="49" t="s">
        <v>635</v>
      </c>
    </row>
    <row r="2463" customFormat="false" ht="15" hidden="true" customHeight="false" outlineLevel="1" collapsed="false">
      <c r="A2463" s="20" t="n">
        <v>76</v>
      </c>
      <c r="B2463" s="6" t="s">
        <v>641</v>
      </c>
      <c r="C2463" s="20" t="s">
        <v>71</v>
      </c>
      <c r="D2463" s="23"/>
      <c r="E2463" s="23"/>
      <c r="F2463" s="40" t="n">
        <f aca="false">F2427*F2457</f>
        <v>4.8</v>
      </c>
      <c r="G2463" s="40" t="n">
        <f aca="false">G2427*G2457</f>
        <v>5.136</v>
      </c>
      <c r="H2463" s="40" t="n">
        <f aca="false">H2427*H2457</f>
        <v>5.49552</v>
      </c>
      <c r="I2463" s="40" t="n">
        <f aca="false">I2427*I2457</f>
        <v>5.8802064</v>
      </c>
      <c r="J2463" s="40" t="n">
        <f aca="false">J2427*J2457</f>
        <v>6.291820848</v>
      </c>
      <c r="K2463" s="51" t="n">
        <f aca="false">SUM(F2463:J2463)</f>
        <v>27.603547248</v>
      </c>
      <c r="L2463" s="49" t="s">
        <v>642</v>
      </c>
    </row>
    <row r="2464" customFormat="false" ht="15" hidden="true" customHeight="false" outlineLevel="1" collapsed="false">
      <c r="A2464" s="20" t="n">
        <v>77</v>
      </c>
      <c r="B2464" s="6" t="s">
        <v>643</v>
      </c>
      <c r="C2464" s="20" t="s">
        <v>71</v>
      </c>
      <c r="D2464" s="23"/>
      <c r="E2464" s="23"/>
      <c r="F2464" s="40" t="n">
        <f aca="false">F2428*F2458</f>
        <v>3.36</v>
      </c>
      <c r="G2464" s="40" t="n">
        <f aca="false">G2428*G2458</f>
        <v>3.5952</v>
      </c>
      <c r="H2464" s="40" t="n">
        <f aca="false">H2428*H2458</f>
        <v>3.846864</v>
      </c>
      <c r="I2464" s="40" t="n">
        <f aca="false">I2428*I2458</f>
        <v>8.23228896</v>
      </c>
      <c r="J2464" s="40" t="n">
        <f aca="false">J2428*J2458</f>
        <v>8.8085491872</v>
      </c>
      <c r="K2464" s="51" t="n">
        <f aca="false">SUM(F2464:J2464)</f>
        <v>27.8429021472</v>
      </c>
      <c r="L2464" s="49" t="s">
        <v>642</v>
      </c>
    </row>
    <row r="2465" customFormat="false" ht="15" hidden="true" customHeight="false" outlineLevel="1" collapsed="false">
      <c r="A2465" s="20" t="n">
        <v>78</v>
      </c>
      <c r="B2465" s="6" t="s">
        <v>644</v>
      </c>
      <c r="C2465" s="20" t="s">
        <v>71</v>
      </c>
      <c r="D2465" s="23"/>
      <c r="E2465" s="23"/>
      <c r="F2465" s="40" t="n">
        <f aca="false">F2429*F2459</f>
        <v>2.76</v>
      </c>
      <c r="G2465" s="40" t="n">
        <f aca="false">G2429*G2459</f>
        <v>2.9532</v>
      </c>
      <c r="H2465" s="40" t="n">
        <f aca="false">H2429*H2459</f>
        <v>3.159924</v>
      </c>
      <c r="I2465" s="40" t="n">
        <f aca="false">I2429*I2459</f>
        <v>3.38111868</v>
      </c>
      <c r="J2465" s="40" t="n">
        <f aca="false">J2429*J2459</f>
        <v>3.6177969876</v>
      </c>
      <c r="K2465" s="51" t="n">
        <f aca="false">SUM(F2465:J2465)</f>
        <v>15.8720396676</v>
      </c>
      <c r="L2465" s="49" t="s">
        <v>642</v>
      </c>
    </row>
    <row r="2466" customFormat="false" ht="15" hidden="true" customHeight="false" outlineLevel="1" collapsed="false">
      <c r="A2466" s="20" t="n">
        <v>79</v>
      </c>
      <c r="B2466" s="6" t="s">
        <v>645</v>
      </c>
      <c r="C2466" s="20" t="s">
        <v>71</v>
      </c>
      <c r="D2466" s="23"/>
      <c r="E2466" s="23"/>
      <c r="F2466" s="40" t="n">
        <f aca="false">F2430*F2460</f>
        <v>0</v>
      </c>
      <c r="G2466" s="40" t="n">
        <f aca="false">G2430*G2460</f>
        <v>2.8248</v>
      </c>
      <c r="H2466" s="40" t="n">
        <f aca="false">H2430*H2460</f>
        <v>3.022536</v>
      </c>
      <c r="I2466" s="40" t="n">
        <f aca="false">I2430*I2460</f>
        <v>3.23411352</v>
      </c>
      <c r="J2466" s="40" t="n">
        <f aca="false">J2430*J2460</f>
        <v>3.4605014664</v>
      </c>
      <c r="K2466" s="51" t="n">
        <f aca="false">SUM(F2466:J2466)</f>
        <v>12.5419509864</v>
      </c>
      <c r="L2466" s="49" t="s">
        <v>642</v>
      </c>
    </row>
    <row r="2467" customFormat="false" ht="15" hidden="true" customHeight="false" outlineLevel="1" collapsed="false">
      <c r="A2467" s="20" t="n">
        <v>80</v>
      </c>
      <c r="B2467" s="6" t="s">
        <v>646</v>
      </c>
      <c r="C2467" s="20" t="s">
        <v>71</v>
      </c>
      <c r="D2467" s="23"/>
      <c r="E2467" s="23"/>
      <c r="F2467" s="40" t="n">
        <f aca="false">F2431*F2461</f>
        <v>0</v>
      </c>
      <c r="G2467" s="40" t="n">
        <f aca="false">G2431*G2461</f>
        <v>0</v>
      </c>
      <c r="H2467" s="40" t="n">
        <f aca="false">H2431*H2461</f>
        <v>3.4347</v>
      </c>
      <c r="I2467" s="40" t="n">
        <f aca="false">I2431*I2461</f>
        <v>3.675129</v>
      </c>
      <c r="J2467" s="40" t="n">
        <f aca="false">J2431*J2461</f>
        <v>3.93238803</v>
      </c>
      <c r="K2467" s="51" t="n">
        <f aca="false">SUM(F2467:J2467)</f>
        <v>11.04221703</v>
      </c>
      <c r="L2467" s="49" t="s">
        <v>642</v>
      </c>
    </row>
    <row r="2468" customFormat="false" ht="15" hidden="true" customHeight="false" outlineLevel="1" collapsed="false">
      <c r="A2468" s="20" t="n">
        <v>81</v>
      </c>
      <c r="B2468" s="6" t="s">
        <v>647</v>
      </c>
      <c r="C2468" s="20" t="s">
        <v>71</v>
      </c>
      <c r="D2468" s="23"/>
      <c r="E2468" s="23"/>
      <c r="F2468" s="40" t="n">
        <f aca="false">F2432*F2462</f>
        <v>0</v>
      </c>
      <c r="G2468" s="40" t="n">
        <f aca="false">G2432*G2462</f>
        <v>0</v>
      </c>
      <c r="H2468" s="40" t="n">
        <f aca="false">H2432*H2462</f>
        <v>0</v>
      </c>
      <c r="I2468" s="40" t="n">
        <f aca="false">I2432*I2462</f>
        <v>0</v>
      </c>
      <c r="J2468" s="40" t="n">
        <f aca="false">J2432*J2462</f>
        <v>3.4605014664</v>
      </c>
      <c r="K2468" s="51" t="n">
        <f aca="false">SUM(F2468:J2468)</f>
        <v>3.4605014664</v>
      </c>
      <c r="L2468" s="49" t="s">
        <v>642</v>
      </c>
    </row>
    <row r="2469" customFormat="false" ht="15" hidden="true" customHeight="false" outlineLevel="1" collapsed="false">
      <c r="A2469" s="20" t="n">
        <v>82</v>
      </c>
      <c r="B2469" s="6" t="s">
        <v>648</v>
      </c>
      <c r="C2469" s="20" t="s">
        <v>71</v>
      </c>
      <c r="D2469" s="23"/>
      <c r="E2469" s="23"/>
      <c r="F2469" s="40" t="n">
        <f aca="false">F2463+F2464+F2465+F2466+F2467+F2468</f>
        <v>10.92</v>
      </c>
      <c r="G2469" s="40" t="n">
        <f aca="false">G2463+G2464+G2465+G2466+G2467+G2468</f>
        <v>14.5092</v>
      </c>
      <c r="H2469" s="40" t="n">
        <f aca="false">H2463+H2464+H2465+H2466+H2467+H2468</f>
        <v>18.959544</v>
      </c>
      <c r="I2469" s="40" t="n">
        <f aca="false">I2463+I2464+I2465+I2466+I2467+I2468</f>
        <v>24.40285656</v>
      </c>
      <c r="J2469" s="40" t="n">
        <f aca="false">J2463+J2464+J2465+J2466+J2467+J2468</f>
        <v>29.5715579856</v>
      </c>
      <c r="K2469" s="51" t="n">
        <f aca="false">SUM(F2469:J2469)</f>
        <v>98.3631585456</v>
      </c>
      <c r="L2469" s="49"/>
    </row>
    <row r="2470" customFormat="false" ht="15" hidden="true" customHeight="false" outlineLevel="1" collapsed="false">
      <c r="A2470" s="20" t="n">
        <v>83</v>
      </c>
      <c r="B2470" s="6" t="s">
        <v>649</v>
      </c>
      <c r="C2470" s="20" t="s">
        <v>71</v>
      </c>
      <c r="D2470" s="23"/>
      <c r="E2470" s="23"/>
      <c r="F2470" s="40" t="n">
        <f aca="false">F2427*(MIN(F2457,F2438)*$D$2394+MAX(0,F2457-F2438)*$D$2395+F2457*$D$2396)+F2428*(MIN(F2458,F2438)*$D$2394+MAX(0,F2458-F2438)*$D$2395+F2458*$D$2396)+F2429*(MIN(F2459,F2438)*$D$2394+MAX(0,F2459-F2438)*$D$2395+F2459*$D$2396)+F2430*(MIN(F2460,F2438)*$D$2394+MAX(0,F2460-F2438)*$D$2395+F2460*$D$2396)+F2431*(MIN(F2461,F2438)*$D$2394+MAX(0,F2461-F2438)*$D$2395+F2461*$D$2396)+F2432*(MIN(F2462,F2438)*$D$2394+MAX(0,F2462-F2438)*$D$2395+F2462*$D$2396)</f>
        <v>1.64928168</v>
      </c>
      <c r="G2470" s="40" t="n">
        <f aca="false">G2427*(MIN(G2457,G2438)*$D$2394+MAX(0,G2457-G2438)*$D$2395+G2457*$D$2396)+G2428*(MIN(G2458,G2438)*$D$2394+MAX(0,G2458-G2438)*$D$2395+G2458*$D$2396)+G2429*(MIN(G2459,G2438)*$D$2394+MAX(0,G2459-G2438)*$D$2395+G2459*$D$2396)+G2430*(MIN(G2460,G2438)*$D$2394+MAX(0,G2460-G2438)*$D$2395+G2460*$D$2396)+G2431*(MIN(G2461,G2438)*$D$2394+MAX(0,G2461-G2438)*$D$2395+G2461*$D$2396)+G2432*(MIN(G2462,G2438)*$D$2394+MAX(0,G2462-G2438)*$D$2395+G2462*$D$2396)</f>
        <v>2.1964818144</v>
      </c>
      <c r="H2470" s="40" t="n">
        <f aca="false">H2427*(MIN(H2457,H2438)*$D$2394+MAX(0,H2457-H2438)*$D$2395+H2457*$D$2396)+H2428*(MIN(H2458,H2438)*$D$2394+MAX(0,H2458-H2438)*$D$2395+H2458*$D$2396)+H2429*(MIN(H2459,H2438)*$D$2394+MAX(0,H2459-H2438)*$D$2395+H2459*$D$2396)+H2430*(MIN(H2460,H2438)*$D$2394+MAX(0,H2460-H2438)*$D$2395+H2460*$D$2396)+H2431*(MIN(H2461,H2438)*$D$2394+MAX(0,H2461-H2438)*$D$2395+H2461*$D$2396)+H2432*(MIN(H2462,H2438)*$D$2394+MAX(0,H2462-H2438)*$D$2395+H2462*$D$2396)</f>
        <v>2.874881223552</v>
      </c>
      <c r="I2470" s="40" t="n">
        <f aca="false">I2427*(MIN(I2457,I2438)*$D$2394+MAX(0,I2457-I2438)*$D$2395+I2457*$D$2396)+I2428*(MIN(I2458,I2438)*$D$2394+MAX(0,I2458-I2438)*$D$2395+I2458*$D$2396)+I2429*(MIN(I2459,I2438)*$D$2394+MAX(0,I2459-I2438)*$D$2395+I2459*$D$2396)+I2430*(MIN(I2460,I2438)*$D$2394+MAX(0,I2460-I2438)*$D$2395+I2460*$D$2396)+I2431*(MIN(I2461,I2438)*$D$2394+MAX(0,I2461-I2438)*$D$2395+I2461*$D$2396)+I2432*(MIN(I2462,I2438)*$D$2394+MAX(0,I2462-I2438)*$D$2395+I2462*$D$2396)</f>
        <v>3.69987351263232</v>
      </c>
      <c r="J2470" s="40" t="n">
        <f aca="false">J2427*(MIN(J2457,J2438)*$D$2394+MAX(0,J2457-J2438)*$D$2395+J2457*$D$2396)+J2428*(MIN(J2458,J2438)*$D$2394+MAX(0,J2458-J2438)*$D$2395+J2458*$D$2396)+J2429*(MIN(J2459,J2438)*$D$2394+MAX(0,J2459-J2438)*$D$2395+J2459*$D$2396)+J2430*(MIN(J2460,J2438)*$D$2394+MAX(0,J2460-J2438)*$D$2395+J2460*$D$2396)+J2431*(MIN(J2461,J2438)*$D$2394+MAX(0,J2461-J2438)*$D$2395+J2461*$D$2396)+J2432*(MIN(J2462,J2438)*$D$2394+MAX(0,J2462-J2438)*$D$2395+J2462*$D$2396)</f>
        <v>4.49085916839491</v>
      </c>
      <c r="K2470" s="51" t="n">
        <f aca="false">SUM(F2470:J2470)</f>
        <v>14.9113773989792</v>
      </c>
      <c r="L2470" s="49" t="s">
        <v>650</v>
      </c>
    </row>
    <row r="2471" customFormat="false" ht="15" hidden="true" customHeight="false" outlineLevel="1" collapsed="false">
      <c r="A2471" s="20" t="n">
        <v>84</v>
      </c>
      <c r="B2471" s="6" t="s">
        <v>651</v>
      </c>
      <c r="C2471" s="20"/>
      <c r="D2471" s="23"/>
      <c r="E2471" s="23"/>
      <c r="F2471" s="38" t="n">
        <f aca="false">IF(AND(F2444&gt;0,E2444=0),1,0)</f>
        <v>1</v>
      </c>
      <c r="G2471" s="38" t="n">
        <f aca="false">IF(AND(G2444&gt;0,F2444=0),1,0)</f>
        <v>0</v>
      </c>
      <c r="H2471" s="38" t="n">
        <f aca="false">IF(AND(H2444&gt;0,G2444=0),1,0)</f>
        <v>0</v>
      </c>
      <c r="I2471" s="38" t="n">
        <f aca="false">IF(AND(I2444&gt;0,H2444=0),1,0)</f>
        <v>0</v>
      </c>
      <c r="J2471" s="38" t="n">
        <f aca="false">IF(AND(J2444&gt;0,I2444=0),1,0)</f>
        <v>0</v>
      </c>
      <c r="K2471" s="23"/>
      <c r="L2471" s="49"/>
    </row>
    <row r="2472" customFormat="false" ht="15" hidden="true" customHeight="false" outlineLevel="1" collapsed="false">
      <c r="A2472" s="20" t="n">
        <v>85</v>
      </c>
      <c r="B2472" s="6" t="s">
        <v>652</v>
      </c>
      <c r="C2472" s="20" t="s">
        <v>71</v>
      </c>
      <c r="D2472" s="23"/>
      <c r="E2472" s="23"/>
      <c r="F2472" s="40" t="n">
        <f aca="false">(F2471*$D$2399+IF(E2444&gt;0,1,0)*$D$2400)*F2436</f>
        <v>2.5</v>
      </c>
      <c r="G2472" s="40" t="n">
        <f aca="false">(G2471*$D$2399+IF(F2444&gt;0,1,0)*$D$2400)*G2436</f>
        <v>1.05</v>
      </c>
      <c r="H2472" s="40" t="n">
        <f aca="false">(H2471*$D$2399+IF(G2444&gt;0,1,0)*$D$2400)*H2436</f>
        <v>1.1025</v>
      </c>
      <c r="I2472" s="40" t="n">
        <f aca="false">(I2471*$D$2399+IF(H2444&gt;0,1,0)*$D$2400)*I2436</f>
        <v>1.157625</v>
      </c>
      <c r="J2472" s="40" t="n">
        <f aca="false">(J2471*$D$2399+IF(I2444&gt;0,1,0)*$D$2400)*J2436</f>
        <v>1.21550625</v>
      </c>
      <c r="K2472" s="51" t="n">
        <f aca="false">SUM(F2472:J2472)</f>
        <v>7.02563125</v>
      </c>
      <c r="L2472" s="49" t="s">
        <v>653</v>
      </c>
    </row>
    <row r="2473" customFormat="false" ht="15" hidden="true" customHeight="false" outlineLevel="1" collapsed="false">
      <c r="A2473" s="20" t="n">
        <v>86</v>
      </c>
      <c r="B2473" s="6" t="s">
        <v>302</v>
      </c>
      <c r="C2473" s="20" t="s">
        <v>71</v>
      </c>
      <c r="D2473" s="23"/>
      <c r="E2473" s="23"/>
      <c r="F2473" s="40" t="n">
        <f aca="false">$D$2401*F2436</f>
        <v>0.6</v>
      </c>
      <c r="G2473" s="40" t="n">
        <f aca="false">$D$2401*G2436</f>
        <v>0.63</v>
      </c>
      <c r="H2473" s="40" t="n">
        <f aca="false">$D$2401*H2436</f>
        <v>0.6615</v>
      </c>
      <c r="I2473" s="40" t="n">
        <f aca="false">$D$2401*I2436</f>
        <v>0.694575</v>
      </c>
      <c r="J2473" s="40" t="n">
        <f aca="false">$D$2401*J2436</f>
        <v>0.72930375</v>
      </c>
      <c r="K2473" s="51" t="n">
        <f aca="false">SUM(F2473:J2473)</f>
        <v>3.31537875</v>
      </c>
      <c r="L2473" s="49"/>
    </row>
    <row r="2474" customFormat="false" ht="15" hidden="true" customHeight="false" outlineLevel="1" collapsed="false">
      <c r="A2474" s="20" t="n">
        <v>87</v>
      </c>
      <c r="B2474" s="6" t="s">
        <v>654</v>
      </c>
      <c r="C2474" s="20" t="s">
        <v>71</v>
      </c>
      <c r="D2474" s="23"/>
      <c r="E2474" s="23"/>
      <c r="F2474" s="40" t="n">
        <f aca="false">$D$2402*F2455*F2436</f>
        <v>0.6</v>
      </c>
      <c r="G2474" s="40" t="n">
        <f aca="false">$D$2402*G2455*G2436</f>
        <v>0.7875</v>
      </c>
      <c r="H2474" s="40" t="n">
        <f aca="false">$D$2402*H2455*H2436</f>
        <v>0.99225</v>
      </c>
      <c r="I2474" s="40" t="n">
        <f aca="false">$D$2402*I2455*I2436</f>
        <v>1.21550625</v>
      </c>
      <c r="J2474" s="40" t="n">
        <f aca="false">$D$2402*J2455*J2436</f>
        <v>1.4586075</v>
      </c>
      <c r="K2474" s="51" t="n">
        <f aca="false">SUM(F2474:J2474)</f>
        <v>5.05386375</v>
      </c>
      <c r="L2474" s="49" t="s">
        <v>655</v>
      </c>
    </row>
    <row r="2475" customFormat="false" ht="15" hidden="true" customHeight="false" outlineLevel="1" collapsed="false">
      <c r="A2475" s="20" t="n">
        <v>88</v>
      </c>
      <c r="B2475" s="6" t="s">
        <v>656</v>
      </c>
      <c r="C2475" s="20" t="s">
        <v>71</v>
      </c>
      <c r="D2475" s="23"/>
      <c r="E2475" s="23"/>
      <c r="F2475" s="40" t="n">
        <f aca="false">($D$2403+$D$2404*F2445)*F2436</f>
        <v>1.4</v>
      </c>
      <c r="G2475" s="40" t="n">
        <f aca="false">($D$2403+$D$2404*G2445)*G2436</f>
        <v>1.47</v>
      </c>
      <c r="H2475" s="40" t="n">
        <f aca="false">($D$2403+$D$2404*H2445)*H2436</f>
        <v>2.4255</v>
      </c>
      <c r="I2475" s="40" t="n">
        <f aca="false">($D$2403+$D$2404*I2445)*I2436</f>
        <v>2.083725</v>
      </c>
      <c r="J2475" s="40" t="n">
        <f aca="false">($D$2403+$D$2404*J2445)*J2436</f>
        <v>3.16031625</v>
      </c>
      <c r="K2475" s="51" t="n">
        <f aca="false">SUM(F2475:J2475)</f>
        <v>10.53954125</v>
      </c>
      <c r="L2475" s="49" t="s">
        <v>657</v>
      </c>
    </row>
    <row r="2476" customFormat="false" ht="15" hidden="true" customHeight="false" outlineLevel="1" collapsed="false">
      <c r="A2476" s="20" t="n">
        <v>89</v>
      </c>
      <c r="B2476" s="6" t="s">
        <v>658</v>
      </c>
      <c r="C2476" s="20" t="s">
        <v>71</v>
      </c>
      <c r="D2476" s="23"/>
      <c r="E2476" s="23"/>
      <c r="F2476" s="40" t="n">
        <f aca="false">($D$2405+$D$2406*F2455)*F2436</f>
        <v>1.6</v>
      </c>
      <c r="G2476" s="40" t="n">
        <f aca="false">($D$2405+$D$2406*G2455)*G2436</f>
        <v>1.785</v>
      </c>
      <c r="H2476" s="40" t="n">
        <f aca="false">($D$2405+$D$2406*H2455)*H2436</f>
        <v>1.9845</v>
      </c>
      <c r="I2476" s="40" t="n">
        <f aca="false">($D$2405+$D$2406*I2455)*I2436</f>
        <v>2.1994875</v>
      </c>
      <c r="J2476" s="40" t="n">
        <f aca="false">($D$2405+$D$2406*J2455)*J2436</f>
        <v>2.4310125</v>
      </c>
      <c r="K2476" s="51" t="n">
        <f aca="false">SUM(F2476:J2476)</f>
        <v>10</v>
      </c>
      <c r="L2476" s="49" t="s">
        <v>659</v>
      </c>
    </row>
    <row r="2477" customFormat="false" ht="15" hidden="true" customHeight="false" outlineLevel="1" collapsed="false">
      <c r="A2477" s="20" t="n">
        <v>90</v>
      </c>
      <c r="B2477" s="6" t="s">
        <v>660</v>
      </c>
      <c r="C2477" s="20" t="s">
        <v>71</v>
      </c>
      <c r="D2477" s="23"/>
      <c r="E2477" s="23"/>
      <c r="F2477" s="40" t="n">
        <f aca="false">$D$2407*F2456*F2436</f>
        <v>0.5</v>
      </c>
      <c r="G2477" s="40" t="n">
        <f aca="false">$D$2407*G2456*G2436</f>
        <v>0.2625</v>
      </c>
      <c r="H2477" s="40" t="n">
        <f aca="false">$D$2407*H2456*H2436</f>
        <v>0.275625</v>
      </c>
      <c r="I2477" s="40" t="n">
        <f aca="false">$D$2407*I2456*I2436</f>
        <v>0.28940625</v>
      </c>
      <c r="J2477" s="40" t="n">
        <f aca="false">$D$2407*J2456*J2436</f>
        <v>0.3038765625</v>
      </c>
      <c r="K2477" s="51" t="n">
        <f aca="false">SUM(F2477:J2477)</f>
        <v>1.6314078125</v>
      </c>
      <c r="L2477" s="49" t="s">
        <v>661</v>
      </c>
    </row>
    <row r="2478" customFormat="false" ht="15" hidden="true" customHeight="false" outlineLevel="1" collapsed="false">
      <c r="A2478" s="20" t="n">
        <v>91</v>
      </c>
      <c r="B2478" s="6" t="s">
        <v>570</v>
      </c>
      <c r="C2478" s="20" t="s">
        <v>71</v>
      </c>
      <c r="D2478" s="23"/>
      <c r="E2478" s="23"/>
      <c r="F2478" s="40" t="n">
        <f aca="false">IF(F$2434=$F$2434,$D$2408,0)</f>
        <v>0.3</v>
      </c>
      <c r="G2478" s="40" t="n">
        <f aca="false">IF(G$2434=$F$2434,$D$2408,0)</f>
        <v>0</v>
      </c>
      <c r="H2478" s="40" t="n">
        <f aca="false">IF(H$2434=$F$2434,$D$2408,0)</f>
        <v>0</v>
      </c>
      <c r="I2478" s="40" t="n">
        <f aca="false">IF(I$2434=$F$2434,$D$2408,0)</f>
        <v>0</v>
      </c>
      <c r="J2478" s="40" t="n">
        <f aca="false">IF(J$2434=$F$2434,$D$2408,0)</f>
        <v>0</v>
      </c>
      <c r="K2478" s="51" t="n">
        <f aca="false">SUM(F2478:J2478)</f>
        <v>0.3</v>
      </c>
      <c r="L2478" s="49" t="s">
        <v>662</v>
      </c>
    </row>
    <row r="2479" customFormat="false" ht="15" hidden="true" customHeight="false" outlineLevel="1" collapsed="false">
      <c r="A2479" s="20" t="n">
        <v>92</v>
      </c>
      <c r="B2479" s="6" t="s">
        <v>663</v>
      </c>
      <c r="C2479" s="20" t="s">
        <v>71</v>
      </c>
      <c r="D2479" s="23"/>
      <c r="E2479" s="23"/>
      <c r="F2479" s="40" t="n">
        <f aca="false">F2469+F2470+F2472+F2473+F2474+F2475+F2476+F2477+F2478</f>
        <v>20.06928168</v>
      </c>
      <c r="G2479" s="40" t="n">
        <f aca="false">G2469+G2470+G2472+G2473+G2474+G2475+G2476+G2477+G2478</f>
        <v>22.6906818144</v>
      </c>
      <c r="H2479" s="40" t="n">
        <f aca="false">H2469+H2470+H2472+H2473+H2474+H2475+H2476+H2477+H2478</f>
        <v>29.276300223552</v>
      </c>
      <c r="I2479" s="40" t="n">
        <f aca="false">I2469+I2470+I2472+I2473+I2474+I2475+I2476+I2477+I2478</f>
        <v>35.7430550726323</v>
      </c>
      <c r="J2479" s="40" t="n">
        <f aca="false">J2469+J2470+J2472+J2473+J2474+J2475+J2476+J2477+J2478</f>
        <v>43.3610399664949</v>
      </c>
      <c r="K2479" s="51" t="n">
        <f aca="false">SUM(F2479:J2479)</f>
        <v>151.140358757079</v>
      </c>
      <c r="L2479" s="49"/>
    </row>
    <row r="2480" customFormat="false" ht="15" hidden="true" customHeight="false" outlineLevel="1" collapsed="false">
      <c r="A2480" s="20" t="n">
        <v>93</v>
      </c>
      <c r="B2480" s="6" t="s">
        <v>329</v>
      </c>
      <c r="C2480" s="20" t="s">
        <v>71</v>
      </c>
      <c r="D2480" s="23"/>
      <c r="E2480" s="23"/>
      <c r="F2480" s="40" t="n">
        <f aca="false">F2479*$D$2410</f>
        <v>2.006928168</v>
      </c>
      <c r="G2480" s="40" t="n">
        <f aca="false">G2479*$D$2410</f>
        <v>2.26906818144</v>
      </c>
      <c r="H2480" s="40" t="n">
        <f aca="false">H2479*$D$2410</f>
        <v>2.9276300223552</v>
      </c>
      <c r="I2480" s="40" t="n">
        <f aca="false">I2479*$D$2410</f>
        <v>3.57430550726323</v>
      </c>
      <c r="J2480" s="40" t="n">
        <f aca="false">J2479*$D$2410</f>
        <v>4.33610399664949</v>
      </c>
      <c r="K2480" s="51" t="n">
        <f aca="false">SUM(F2480:J2480)</f>
        <v>15.1140358757079</v>
      </c>
      <c r="L2480" s="49"/>
    </row>
    <row r="2481" customFormat="false" ht="15" hidden="true" customHeight="false" outlineLevel="1" collapsed="false">
      <c r="A2481" s="20" t="n">
        <v>94</v>
      </c>
      <c r="B2481" s="6" t="s">
        <v>664</v>
      </c>
      <c r="C2481" s="20" t="s">
        <v>71</v>
      </c>
      <c r="D2481" s="23"/>
      <c r="E2481" s="23"/>
      <c r="F2481" s="40" t="n">
        <f aca="false">F2479+F2480</f>
        <v>22.076209848</v>
      </c>
      <c r="G2481" s="40" t="n">
        <f aca="false">G2479+G2480</f>
        <v>24.95974999584</v>
      </c>
      <c r="H2481" s="40" t="n">
        <f aca="false">H2479+H2480</f>
        <v>32.2039302459072</v>
      </c>
      <c r="I2481" s="40" t="n">
        <f aca="false">I2479+I2480</f>
        <v>39.3173605798956</v>
      </c>
      <c r="J2481" s="40" t="n">
        <f aca="false">J2479+J2480</f>
        <v>47.6971439631444</v>
      </c>
      <c r="K2481" s="51" t="n">
        <f aca="false">SUM(F2481:J2481)</f>
        <v>166.254394632787</v>
      </c>
      <c r="L2481" s="49"/>
    </row>
    <row r="2482" customFormat="false" ht="15" hidden="true" customHeight="false" outlineLevel="1" collapsed="false">
      <c r="A2482" s="19" t="s">
        <v>665</v>
      </c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</row>
    <row r="2483" customFormat="false" ht="15" hidden="true" customHeight="false" outlineLevel="1" collapsed="false">
      <c r="A2483" s="20" t="n">
        <v>95</v>
      </c>
      <c r="B2483" s="6" t="s">
        <v>666</v>
      </c>
      <c r="C2483" s="20" t="s">
        <v>71</v>
      </c>
      <c r="D2483" s="23"/>
      <c r="E2483" s="23"/>
      <c r="F2483" s="40" t="n">
        <f aca="false">F2452-F2481</f>
        <v>-14.076209848</v>
      </c>
      <c r="G2483" s="40" t="n">
        <f aca="false">G2452-G2481</f>
        <v>-7.10974999584</v>
      </c>
      <c r="H2483" s="40" t="n">
        <f aca="false">H2452-H2481</f>
        <v>1.8529838165928</v>
      </c>
      <c r="I2483" s="40" t="n">
        <f aca="false">I2452-I2481</f>
        <v>4.04728836364139</v>
      </c>
      <c r="J2483" s="40" t="n">
        <f aca="false">J2452-J2481</f>
        <v>20.0798082689889</v>
      </c>
      <c r="K2483" s="51" t="n">
        <f aca="false">SUM(F2483:J2483)</f>
        <v>4.79412060538312</v>
      </c>
      <c r="L2483" s="49" t="s">
        <v>667</v>
      </c>
    </row>
    <row r="2484" customFormat="false" ht="15" hidden="true" customHeight="false" outlineLevel="1" collapsed="false">
      <c r="A2484" s="20" t="n">
        <v>96</v>
      </c>
      <c r="B2484" s="6" t="s">
        <v>668</v>
      </c>
      <c r="C2484" s="20" t="s">
        <v>68</v>
      </c>
      <c r="D2484" s="23"/>
      <c r="E2484" s="23"/>
      <c r="F2484" s="44" t="n">
        <f aca="false">IF(F2452&gt;0,F2483/F2452,0)</f>
        <v>-1.759526231</v>
      </c>
      <c r="G2484" s="44" t="n">
        <f aca="false">IF(G2452&gt;0,G2483/G2452,0)</f>
        <v>-0.398305321895798</v>
      </c>
      <c r="H2484" s="44" t="n">
        <f aca="false">IF(H2452&gt;0,H2483/H2452,0)</f>
        <v>0.0544084473770075</v>
      </c>
      <c r="I2484" s="44" t="n">
        <f aca="false">IF(I2452&gt;0,I2483/I2452,0)</f>
        <v>0.0933315145456653</v>
      </c>
      <c r="J2484" s="44" t="n">
        <f aca="false">IF(J2452&gt;0,J2483/J2452,0)</f>
        <v>0.296263074801835</v>
      </c>
      <c r="K2484" s="23"/>
      <c r="L2484" s="49"/>
    </row>
    <row r="2485" customFormat="false" ht="15" hidden="true" customHeight="false" outlineLevel="1" collapsed="false">
      <c r="A2485" s="20" t="n">
        <v>97</v>
      </c>
      <c r="B2485" s="6" t="s">
        <v>669</v>
      </c>
      <c r="C2485" s="20" t="s">
        <v>71</v>
      </c>
      <c r="D2485" s="23"/>
      <c r="E2485" s="23"/>
      <c r="F2485" s="40" t="n">
        <f aca="false">E2489</f>
        <v>0</v>
      </c>
      <c r="G2485" s="40" t="n">
        <f aca="false">F2489</f>
        <v>14.076209848</v>
      </c>
      <c r="H2485" s="40" t="n">
        <f aca="false">G2489</f>
        <v>21.18595984384</v>
      </c>
      <c r="I2485" s="40" t="n">
        <f aca="false">H2489</f>
        <v>20.2594679355436</v>
      </c>
      <c r="J2485" s="40" t="n">
        <f aca="false">I2489</f>
        <v>18.2358237537229</v>
      </c>
      <c r="K2485" s="23"/>
      <c r="L2485" s="49"/>
    </row>
    <row r="2486" customFormat="false" ht="15" hidden="true" customHeight="false" outlineLevel="1" collapsed="false">
      <c r="A2486" s="20" t="n">
        <v>98</v>
      </c>
      <c r="B2486" s="6" t="s">
        <v>670</v>
      </c>
      <c r="C2486" s="20" t="s">
        <v>71</v>
      </c>
      <c r="D2486" s="23"/>
      <c r="E2486" s="23"/>
      <c r="F2486" s="40" t="n">
        <f aca="false">MIN(F2485,MAX(0,F2483)*$D$2412)</f>
        <v>0</v>
      </c>
      <c r="G2486" s="40" t="n">
        <f aca="false">MIN(G2485,MAX(0,G2483)*$D$2412)</f>
        <v>0</v>
      </c>
      <c r="H2486" s="40" t="n">
        <f aca="false">MIN(H2485,MAX(0,H2483)*$D$2412)</f>
        <v>0.926491908296399</v>
      </c>
      <c r="I2486" s="40" t="n">
        <f aca="false">MIN(I2485,MAX(0,I2483)*$D$2412)</f>
        <v>2.02364418182069</v>
      </c>
      <c r="J2486" s="40" t="n">
        <f aca="false">MIN(J2485,MAX(0,J2483)*$D$2412)</f>
        <v>10.0399041344945</v>
      </c>
      <c r="K2486" s="23"/>
      <c r="L2486" s="49" t="s">
        <v>671</v>
      </c>
    </row>
    <row r="2487" customFormat="false" ht="15" hidden="true" customHeight="false" outlineLevel="1" collapsed="false">
      <c r="A2487" s="20" t="n">
        <v>99</v>
      </c>
      <c r="B2487" s="6" t="s">
        <v>672</v>
      </c>
      <c r="C2487" s="20" t="s">
        <v>71</v>
      </c>
      <c r="D2487" s="23"/>
      <c r="E2487" s="23"/>
      <c r="F2487" s="40" t="n">
        <f aca="false">MAX(0,F2483)-F2486</f>
        <v>0</v>
      </c>
      <c r="G2487" s="40" t="n">
        <f aca="false">MAX(0,G2483)-G2486</f>
        <v>0</v>
      </c>
      <c r="H2487" s="40" t="n">
        <f aca="false">MAX(0,H2483)-H2486</f>
        <v>0.926491908296399</v>
      </c>
      <c r="I2487" s="40" t="n">
        <f aca="false">MAX(0,I2483)-I2486</f>
        <v>2.02364418182069</v>
      </c>
      <c r="J2487" s="40" t="n">
        <f aca="false">MAX(0,J2483)-J2486</f>
        <v>10.0399041344945</v>
      </c>
      <c r="K2487" s="23"/>
      <c r="L2487" s="49"/>
    </row>
    <row r="2488" customFormat="false" ht="15" hidden="true" customHeight="false" outlineLevel="1" collapsed="false">
      <c r="A2488" s="20" t="n">
        <v>100</v>
      </c>
      <c r="B2488" s="6" t="s">
        <v>572</v>
      </c>
      <c r="C2488" s="20" t="s">
        <v>71</v>
      </c>
      <c r="D2488" s="23"/>
      <c r="E2488" s="23"/>
      <c r="F2488" s="40" t="n">
        <f aca="false">F2487*$D$2411</f>
        <v>0</v>
      </c>
      <c r="G2488" s="40" t="n">
        <f aca="false">G2487*$D$2411</f>
        <v>0</v>
      </c>
      <c r="H2488" s="40" t="n">
        <f aca="false">H2487*$D$2411</f>
        <v>0.0463245954148199</v>
      </c>
      <c r="I2488" s="40" t="n">
        <f aca="false">I2487*$D$2411</f>
        <v>0.101182209091035</v>
      </c>
      <c r="J2488" s="40" t="n">
        <f aca="false">J2487*$D$2411</f>
        <v>0.501995206724723</v>
      </c>
      <c r="K2488" s="51" t="n">
        <f aca="false">SUM(F2488:J2488)</f>
        <v>0.649502011230578</v>
      </c>
      <c r="L2488" s="49"/>
    </row>
    <row r="2489" customFormat="false" ht="15" hidden="true" customHeight="false" outlineLevel="1" collapsed="false">
      <c r="A2489" s="20" t="n">
        <v>101</v>
      </c>
      <c r="B2489" s="6" t="s">
        <v>673</v>
      </c>
      <c r="C2489" s="20" t="s">
        <v>71</v>
      </c>
      <c r="D2489" s="23"/>
      <c r="E2489" s="40" t="n">
        <f aca="false">0</f>
        <v>0</v>
      </c>
      <c r="F2489" s="40" t="n">
        <f aca="false">F2485-F2486+MAX(0,-F2483)</f>
        <v>14.076209848</v>
      </c>
      <c r="G2489" s="40" t="n">
        <f aca="false">G2485-G2486+MAX(0,-G2483)</f>
        <v>21.18595984384</v>
      </c>
      <c r="H2489" s="40" t="n">
        <f aca="false">H2485-H2486+MAX(0,-H2483)</f>
        <v>20.2594679355436</v>
      </c>
      <c r="I2489" s="40" t="n">
        <f aca="false">I2485-I2486+MAX(0,-I2483)</f>
        <v>18.2358237537229</v>
      </c>
      <c r="J2489" s="40" t="n">
        <f aca="false">J2485-J2486+MAX(0,-J2483)</f>
        <v>8.19591961922844</v>
      </c>
      <c r="K2489" s="23"/>
      <c r="L2489" s="49"/>
    </row>
    <row r="2490" customFormat="false" ht="15" hidden="true" customHeight="false" outlineLevel="1" collapsed="false">
      <c r="A2490" s="20" t="n">
        <v>102</v>
      </c>
      <c r="B2490" s="6" t="s">
        <v>674</v>
      </c>
      <c r="C2490" s="20" t="s">
        <v>71</v>
      </c>
      <c r="D2490" s="23"/>
      <c r="E2490" s="23"/>
      <c r="F2490" s="40" t="n">
        <f aca="false">F2483-F2488</f>
        <v>-14.076209848</v>
      </c>
      <c r="G2490" s="40" t="n">
        <f aca="false">G2483-G2488</f>
        <v>-7.10974999584</v>
      </c>
      <c r="H2490" s="40" t="n">
        <f aca="false">H2483-H2488</f>
        <v>1.80665922117798</v>
      </c>
      <c r="I2490" s="40" t="n">
        <f aca="false">I2483-I2488</f>
        <v>3.94610615455035</v>
      </c>
      <c r="J2490" s="40" t="n">
        <f aca="false">J2483-J2488</f>
        <v>19.5778130622642</v>
      </c>
      <c r="K2490" s="51" t="n">
        <f aca="false">SUM(F2490:J2490)</f>
        <v>4.14461859415254</v>
      </c>
      <c r="L2490" s="49"/>
    </row>
    <row r="2491" customFormat="false" ht="15" hidden="true" customHeight="false" outlineLevel="1" collapsed="false">
      <c r="A2491" s="19" t="s">
        <v>675</v>
      </c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</row>
    <row r="2492" customFormat="false" ht="15" hidden="true" customHeight="false" outlineLevel="1" collapsed="false">
      <c r="A2492" s="20" t="n">
        <v>103</v>
      </c>
      <c r="B2492" s="6" t="s">
        <v>676</v>
      </c>
      <c r="C2492" s="20" t="s">
        <v>71</v>
      </c>
      <c r="D2492" s="23"/>
      <c r="E2492" s="40" t="n">
        <f aca="false">0</f>
        <v>0</v>
      </c>
      <c r="F2492" s="40" t="n">
        <f aca="false">F2452*$D$2413/365</f>
        <v>1.97260273972603</v>
      </c>
      <c r="G2492" s="40" t="n">
        <f aca="false">G2452*$D$2413/365</f>
        <v>4.4013698630137</v>
      </c>
      <c r="H2492" s="40" t="n">
        <f aca="false">H2452*$D$2413/365</f>
        <v>8.39759524828767</v>
      </c>
      <c r="I2492" s="40" t="n">
        <f aca="false">I2452*$D$2413/365</f>
        <v>10.6926531641598</v>
      </c>
      <c r="J2492" s="40" t="n">
        <f aca="false">J2452*$D$2413/365</f>
        <v>16.7121252079233</v>
      </c>
      <c r="K2492" s="23"/>
      <c r="L2492" s="49" t="s">
        <v>677</v>
      </c>
    </row>
    <row r="2493" customFormat="false" ht="15" hidden="true" customHeight="false" outlineLevel="1" collapsed="false">
      <c r="A2493" s="20" t="n">
        <v>104</v>
      </c>
      <c r="B2493" s="6" t="s">
        <v>678</v>
      </c>
      <c r="C2493" s="20" t="s">
        <v>71</v>
      </c>
      <c r="D2493" s="23"/>
      <c r="E2493" s="23"/>
      <c r="F2493" s="40" t="n">
        <f aca="false">F2492-E2492</f>
        <v>1.97260273972603</v>
      </c>
      <c r="G2493" s="40" t="n">
        <f aca="false">G2492-F2492</f>
        <v>2.42876712328767</v>
      </c>
      <c r="H2493" s="40" t="n">
        <f aca="false">H2492-G2492</f>
        <v>3.99622538527397</v>
      </c>
      <c r="I2493" s="40" t="n">
        <f aca="false">I2492-H2492</f>
        <v>2.29505791587212</v>
      </c>
      <c r="J2493" s="40" t="n">
        <f aca="false">J2492-I2492</f>
        <v>6.0194720437635</v>
      </c>
      <c r="K2493" s="51" t="n">
        <f aca="false">SUM(F2493:J2493)</f>
        <v>16.7121252079233</v>
      </c>
      <c r="L2493" s="49"/>
    </row>
    <row r="2494" customFormat="false" ht="15" hidden="true" customHeight="false" outlineLevel="1" collapsed="false">
      <c r="A2494" s="20" t="n">
        <v>105</v>
      </c>
      <c r="B2494" s="6" t="s">
        <v>679</v>
      </c>
      <c r="C2494" s="20" t="s">
        <v>71</v>
      </c>
      <c r="D2494" s="23"/>
      <c r="E2494" s="23"/>
      <c r="F2494" s="40" t="n">
        <f aca="false">F2490-F2493</f>
        <v>-16.048812587726</v>
      </c>
      <c r="G2494" s="40" t="n">
        <f aca="false">G2490-G2493</f>
        <v>-9.53851711912767</v>
      </c>
      <c r="H2494" s="40" t="n">
        <f aca="false">H2490-H2493</f>
        <v>-2.18956616409599</v>
      </c>
      <c r="I2494" s="40" t="n">
        <f aca="false">I2490-I2493</f>
        <v>1.65104823867823</v>
      </c>
      <c r="J2494" s="40" t="n">
        <f aca="false">J2490-J2493</f>
        <v>13.5583410185007</v>
      </c>
      <c r="K2494" s="51" t="n">
        <f aca="false">SUM(F2494:J2494)</f>
        <v>-12.5675066137707</v>
      </c>
      <c r="L2494" s="49" t="s">
        <v>680</v>
      </c>
    </row>
    <row r="2495" customFormat="false" ht="15" hidden="true" customHeight="false" outlineLevel="1" collapsed="false">
      <c r="A2495" s="20" t="n">
        <v>106</v>
      </c>
      <c r="B2495" s="6" t="s">
        <v>93</v>
      </c>
      <c r="C2495" s="20" t="s">
        <v>71</v>
      </c>
      <c r="D2495" s="23"/>
      <c r="E2495" s="40" t="n">
        <f aca="false">0</f>
        <v>0</v>
      </c>
      <c r="F2495" s="40" t="n">
        <f aca="false">E2495+F2494</f>
        <v>-16.048812587726</v>
      </c>
      <c r="G2495" s="40" t="n">
        <f aca="false">F2495+G2494</f>
        <v>-25.5873297068537</v>
      </c>
      <c r="H2495" s="40" t="n">
        <f aca="false">G2495+H2494</f>
        <v>-27.7768958709497</v>
      </c>
      <c r="I2495" s="40" t="n">
        <f aca="false">H2495+I2494</f>
        <v>-26.1258476322715</v>
      </c>
      <c r="J2495" s="40" t="n">
        <f aca="false">I2495+J2494</f>
        <v>-12.5675066137707</v>
      </c>
      <c r="K2495" s="23"/>
      <c r="L2495" s="49" t="s">
        <v>681</v>
      </c>
    </row>
    <row r="2496" customFormat="false" ht="15" hidden="true" customHeight="false" outlineLevel="1" collapsed="false">
      <c r="A2496" s="20" t="n">
        <v>107</v>
      </c>
      <c r="B2496" s="6" t="s">
        <v>682</v>
      </c>
      <c r="C2496" s="20"/>
      <c r="D2496" s="23"/>
      <c r="E2496" s="23"/>
      <c r="F2496" s="53" t="n">
        <f aca="false">1/(1+$D$2414)^(F$2434-$E$2434)</f>
        <v>0.806451612903226</v>
      </c>
      <c r="G2496" s="53" t="n">
        <f aca="false">1/(1+$D$2414)^(G$2434-$E$2434)</f>
        <v>0.650364203954214</v>
      </c>
      <c r="H2496" s="53" t="n">
        <f aca="false">1/(1+$D$2414)^(H$2434-$E$2434)</f>
        <v>0.524487261253399</v>
      </c>
      <c r="I2496" s="53" t="n">
        <f aca="false">1/(1+$D$2414)^(I$2434-$E$2434)</f>
        <v>0.422973597784999</v>
      </c>
      <c r="J2496" s="53" t="n">
        <f aca="false">1/(1+$D$2414)^(J$2434-$E$2434)</f>
        <v>0.341107740149193</v>
      </c>
      <c r="K2496" s="23"/>
      <c r="L2496" s="49" t="s">
        <v>683</v>
      </c>
    </row>
    <row r="2497" customFormat="false" ht="15" hidden="true" customHeight="false" outlineLevel="1" collapsed="false">
      <c r="A2497" s="20" t="n">
        <v>108</v>
      </c>
      <c r="B2497" s="6" t="s">
        <v>684</v>
      </c>
      <c r="C2497" s="20" t="s">
        <v>71</v>
      </c>
      <c r="D2497" s="23"/>
      <c r="E2497" s="23"/>
      <c r="F2497" s="40" t="n">
        <f aca="false">F2494*F2496</f>
        <v>-12.9425907965532</v>
      </c>
      <c r="G2497" s="40" t="n">
        <f aca="false">G2494*G2496</f>
        <v>-6.20351009308511</v>
      </c>
      <c r="H2497" s="40" t="n">
        <f aca="false">H2494*H2496</f>
        <v>-1.14839956073982</v>
      </c>
      <c r="I2497" s="40" t="n">
        <f aca="false">I2494*I2496</f>
        <v>0.698349813630317</v>
      </c>
      <c r="J2497" s="40" t="n">
        <f aca="false">J2494*J2496</f>
        <v>4.62485506499288</v>
      </c>
      <c r="K2497" s="51" t="n">
        <f aca="false">SUM(F2497:J2497)</f>
        <v>-14.971295571755</v>
      </c>
      <c r="L2497" s="49"/>
    </row>
    <row r="2498" customFormat="false" ht="15" hidden="true" customHeight="false" outlineLevel="1" collapsed="false">
      <c r="A2498" s="20" t="n">
        <v>109</v>
      </c>
      <c r="B2498" s="6" t="s">
        <v>685</v>
      </c>
      <c r="C2498" s="20" t="s">
        <v>71</v>
      </c>
      <c r="D2498" s="23"/>
      <c r="E2498" s="23"/>
      <c r="F2498" s="40" t="n">
        <f aca="false">IF(F$2434=$J$2434,MAX(0,F2494)*(1+$D$2415)/($D$2414-$D$2415),0)</f>
        <v>0</v>
      </c>
      <c r="G2498" s="40" t="n">
        <f aca="false">IF(G$2434=$J$2434,MAX(0,G2494)*(1+$D$2415)/($D$2414-$D$2415),0)</f>
        <v>0</v>
      </c>
      <c r="H2498" s="40" t="n">
        <f aca="false">IF(H$2434=$J$2434,MAX(0,H2494)*(1+$D$2415)/($D$2414-$D$2415),0)</f>
        <v>0</v>
      </c>
      <c r="I2498" s="40" t="n">
        <f aca="false">IF(I$2434=$J$2434,MAX(0,I2494)*(1+$D$2415)/($D$2414-$D$2415),0)</f>
        <v>0</v>
      </c>
      <c r="J2498" s="40" t="n">
        <f aca="false">IF(J$2434=$J$2434,MAX(0,J2494)*(1+$D$2415)/($D$2414-$D$2415),0)</f>
        <v>70.5033732962037</v>
      </c>
      <c r="K2498" s="23"/>
      <c r="L2498" s="49" t="s">
        <v>686</v>
      </c>
    </row>
    <row r="2499" customFormat="false" ht="15" hidden="true" customHeight="false" outlineLevel="1" collapsed="false">
      <c r="A2499" s="20" t="n">
        <v>110</v>
      </c>
      <c r="B2499" s="6" t="s">
        <v>687</v>
      </c>
      <c r="C2499" s="20" t="s">
        <v>71</v>
      </c>
      <c r="D2499" s="23"/>
      <c r="E2499" s="23"/>
      <c r="F2499" s="40" t="n">
        <f aca="false">F2498*F2496</f>
        <v>0</v>
      </c>
      <c r="G2499" s="40" t="n">
        <f aca="false">G2498*G2496</f>
        <v>0</v>
      </c>
      <c r="H2499" s="40" t="n">
        <f aca="false">H2498*H2496</f>
        <v>0</v>
      </c>
      <c r="I2499" s="40" t="n">
        <f aca="false">I2498*I2496</f>
        <v>0</v>
      </c>
      <c r="J2499" s="40" t="n">
        <f aca="false">J2498*J2496</f>
        <v>24.049246337963</v>
      </c>
      <c r="K2499" s="51" t="n">
        <f aca="false">SUM(F2499:J2499)</f>
        <v>24.049246337963</v>
      </c>
      <c r="L2499" s="49"/>
    </row>
    <row r="2500" customFormat="false" ht="15" hidden="true" customHeight="false" outlineLevel="1" collapsed="false">
      <c r="A2500" s="20" t="n">
        <v>111</v>
      </c>
      <c r="B2500" s="6" t="s">
        <v>688</v>
      </c>
      <c r="C2500" s="20" t="s">
        <v>71</v>
      </c>
      <c r="D2500" s="23"/>
      <c r="E2500" s="23"/>
      <c r="F2500" s="40" t="n">
        <f aca="false">F2494+F2498</f>
        <v>-16.048812587726</v>
      </c>
      <c r="G2500" s="40" t="n">
        <f aca="false">G2494+G2498</f>
        <v>-9.53851711912767</v>
      </c>
      <c r="H2500" s="40" t="n">
        <f aca="false">H2494+H2498</f>
        <v>-2.18956616409599</v>
      </c>
      <c r="I2500" s="40" t="n">
        <f aca="false">I2494+I2498</f>
        <v>1.65104823867823</v>
      </c>
      <c r="J2500" s="40" t="n">
        <f aca="false">J2494+J2498</f>
        <v>84.0617143147044</v>
      </c>
      <c r="K2500" s="23"/>
      <c r="L2500" s="49" t="s">
        <v>689</v>
      </c>
    </row>
    <row r="2501" customFormat="false" ht="15" hidden="true" customHeight="false" outlineLevel="1" collapsed="false">
      <c r="A2501" s="20" t="n">
        <v>112</v>
      </c>
      <c r="B2501" s="6" t="s">
        <v>690</v>
      </c>
      <c r="C2501" s="20"/>
      <c r="D2501" s="23"/>
      <c r="E2501" s="23"/>
      <c r="F2501" s="52" t="str">
        <f aca="false">IF(AND(F2483&gt;0,COUNTIF($F$2483:F$2483,"&gt;0")=1),F$2434,"")</f>
        <v/>
      </c>
      <c r="G2501" s="52" t="str">
        <f aca="false">IF(AND(G2483&gt;0,COUNTIF($F$2483:G$2483,"&gt;0")=1),G$2434,"")</f>
        <v/>
      </c>
      <c r="H2501" s="52" t="n">
        <f aca="false">IF(AND(H2483&gt;0,COUNTIF($F$2483:H$2483,"&gt;0")=1),H$2434,"")</f>
        <v>2029</v>
      </c>
      <c r="I2501" s="52" t="str">
        <f aca="false">IF(AND(I2483&gt;0,COUNTIF($F$2483:I$2483,"&gt;0")=1),I$2434,"")</f>
        <v/>
      </c>
      <c r="J2501" s="52" t="str">
        <f aca="false">IF(AND(J2483&gt;0,COUNTIF($F$2483:J$2483,"&gt;0")=1),J$2434,"")</f>
        <v/>
      </c>
      <c r="K2501" s="23"/>
      <c r="L2501" s="49" t="s">
        <v>691</v>
      </c>
    </row>
    <row r="2502" customFormat="false" ht="15" hidden="true" customHeight="false" outlineLevel="1" collapsed="false">
      <c r="A2502" s="20" t="n">
        <v>113</v>
      </c>
      <c r="B2502" s="6" t="s">
        <v>692</v>
      </c>
      <c r="C2502" s="20"/>
      <c r="D2502" s="23"/>
      <c r="E2502" s="23"/>
      <c r="F2502" s="52" t="str">
        <f aca="false">IF(AND(F2495&gt;0,COUNTIF($F$2495:F$2495,"&gt;0")=1),F$2434,"")</f>
        <v/>
      </c>
      <c r="G2502" s="52" t="str">
        <f aca="false">IF(AND(G2495&gt;0,COUNTIF($F$2495:G$2495,"&gt;0")=1),G$2434,"")</f>
        <v/>
      </c>
      <c r="H2502" s="52" t="str">
        <f aca="false">IF(AND(H2495&gt;0,COUNTIF($F$2495:H$2495,"&gt;0")=1),H$2434,"")</f>
        <v/>
      </c>
      <c r="I2502" s="52" t="str">
        <f aca="false">IF(AND(I2495&gt;0,COUNTIF($F$2495:I$2495,"&gt;0")=1),I$2434,"")</f>
        <v/>
      </c>
      <c r="J2502" s="52" t="str">
        <f aca="false">IF(AND(J2495&gt;0,COUNTIF($F$2495:J$2495,"&gt;0")=1),J$2434,"")</f>
        <v/>
      </c>
      <c r="K2502" s="23"/>
      <c r="L2502" s="49" t="s">
        <v>691</v>
      </c>
    </row>
    <row r="2503" customFormat="false" ht="15" hidden="true" customHeight="false" outlineLevel="1" collapsed="false">
      <c r="A2503" s="19" t="s">
        <v>693</v>
      </c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</row>
    <row r="2504" customFormat="false" ht="15" hidden="true" customHeight="false" outlineLevel="1" collapsed="false">
      <c r="A2504" s="20" t="n">
        <v>114</v>
      </c>
      <c r="B2504" s="6" t="s">
        <v>70</v>
      </c>
      <c r="C2504" s="20" t="s">
        <v>71</v>
      </c>
      <c r="D2504" s="51" t="n">
        <f aca="false">SUM(F2452:J2452)</f>
        <v>171.04851523817</v>
      </c>
      <c r="E2504" s="23"/>
      <c r="F2504" s="23"/>
      <c r="G2504" s="23"/>
      <c r="H2504" s="23"/>
      <c r="I2504" s="23"/>
      <c r="J2504" s="23"/>
      <c r="K2504" s="23"/>
      <c r="L2504" s="49"/>
    </row>
    <row r="2505" customFormat="false" ht="15" hidden="true" customHeight="false" outlineLevel="1" collapsed="false">
      <c r="A2505" s="20" t="n">
        <v>115</v>
      </c>
      <c r="B2505" s="6" t="s">
        <v>694</v>
      </c>
      <c r="C2505" s="20" t="s">
        <v>71</v>
      </c>
      <c r="D2505" s="51" t="n">
        <f aca="false">J2452</f>
        <v>67.7769522321333</v>
      </c>
      <c r="E2505" s="23"/>
      <c r="F2505" s="23"/>
      <c r="G2505" s="23"/>
      <c r="H2505" s="23"/>
      <c r="I2505" s="23"/>
      <c r="J2505" s="23"/>
      <c r="K2505" s="23"/>
      <c r="L2505" s="49"/>
    </row>
    <row r="2506" customFormat="false" ht="15" hidden="true" customHeight="false" outlineLevel="1" collapsed="false">
      <c r="A2506" s="20" t="n">
        <v>116</v>
      </c>
      <c r="B2506" s="6" t="s">
        <v>695</v>
      </c>
      <c r="C2506" s="20" t="s">
        <v>71</v>
      </c>
      <c r="D2506" s="51" t="n">
        <f aca="false">J2453</f>
        <v>74.6329671070812</v>
      </c>
      <c r="E2506" s="23"/>
      <c r="F2506" s="23"/>
      <c r="G2506" s="23"/>
      <c r="H2506" s="23"/>
      <c r="I2506" s="23"/>
      <c r="J2506" s="23"/>
      <c r="K2506" s="23"/>
      <c r="L2506" s="49"/>
    </row>
    <row r="2507" customFormat="false" ht="15" hidden="true" customHeight="false" outlineLevel="1" collapsed="false">
      <c r="A2507" s="20" t="n">
        <v>117</v>
      </c>
      <c r="B2507" s="6" t="s">
        <v>696</v>
      </c>
      <c r="C2507" s="20" t="s">
        <v>71</v>
      </c>
      <c r="D2507" s="51" t="n">
        <f aca="false">J2483</f>
        <v>20.0798082689889</v>
      </c>
      <c r="E2507" s="23"/>
      <c r="F2507" s="23"/>
      <c r="G2507" s="23"/>
      <c r="H2507" s="23"/>
      <c r="I2507" s="23"/>
      <c r="J2507" s="23"/>
      <c r="K2507" s="23"/>
      <c r="L2507" s="49"/>
    </row>
    <row r="2508" customFormat="false" ht="15" hidden="true" customHeight="false" outlineLevel="1" collapsed="false">
      <c r="A2508" s="20" t="n">
        <v>118</v>
      </c>
      <c r="B2508" s="6" t="s">
        <v>697</v>
      </c>
      <c r="C2508" s="20" t="s">
        <v>76</v>
      </c>
      <c r="D2508" s="54" t="n">
        <f aca="false">J2444</f>
        <v>11</v>
      </c>
      <c r="E2508" s="23"/>
      <c r="F2508" s="23"/>
      <c r="G2508" s="23"/>
      <c r="H2508" s="23"/>
      <c r="I2508" s="23"/>
      <c r="J2508" s="23"/>
      <c r="K2508" s="23"/>
      <c r="L2508" s="49"/>
    </row>
    <row r="2509" customFormat="false" ht="15" hidden="true" customHeight="false" outlineLevel="1" collapsed="false">
      <c r="A2509" s="20" t="n">
        <v>119</v>
      </c>
      <c r="B2509" s="6" t="s">
        <v>698</v>
      </c>
      <c r="C2509" s="20" t="s">
        <v>53</v>
      </c>
      <c r="D2509" s="51" t="n">
        <f aca="false">J2455</f>
        <v>8</v>
      </c>
      <c r="E2509" s="23"/>
      <c r="F2509" s="23"/>
      <c r="G2509" s="23"/>
      <c r="H2509" s="23"/>
      <c r="I2509" s="23"/>
      <c r="J2509" s="23"/>
      <c r="K2509" s="23"/>
      <c r="L2509" s="49"/>
    </row>
    <row r="2510" customFormat="false" ht="15" hidden="true" customHeight="false" outlineLevel="1" collapsed="false">
      <c r="A2510" s="20" t="n">
        <v>120</v>
      </c>
      <c r="B2510" s="6" t="s">
        <v>699</v>
      </c>
      <c r="C2510" s="20" t="s">
        <v>71</v>
      </c>
      <c r="D2510" s="51" t="n">
        <f aca="false">MIN(0,MIN(F2495:J2495))</f>
        <v>-27.7768958709497</v>
      </c>
      <c r="E2510" s="23"/>
      <c r="F2510" s="23"/>
      <c r="G2510" s="23"/>
      <c r="H2510" s="23"/>
      <c r="I2510" s="23"/>
      <c r="J2510" s="23"/>
      <c r="K2510" s="23"/>
      <c r="L2510" s="49"/>
    </row>
    <row r="2511" customFormat="false" ht="15" hidden="true" customHeight="false" outlineLevel="1" collapsed="false">
      <c r="A2511" s="20" t="n">
        <v>121</v>
      </c>
      <c r="B2511" s="6" t="s">
        <v>700</v>
      </c>
      <c r="C2511" s="20" t="s">
        <v>71</v>
      </c>
      <c r="D2511" s="51" t="n">
        <f aca="false">-$D$2510*(1+$D$2416)</f>
        <v>33.3322750451396</v>
      </c>
      <c r="E2511" s="23"/>
      <c r="F2511" s="23"/>
      <c r="G2511" s="23"/>
      <c r="H2511" s="23"/>
      <c r="I2511" s="23"/>
      <c r="J2511" s="23"/>
      <c r="K2511" s="23"/>
      <c r="L2511" s="49"/>
    </row>
    <row r="2512" customFormat="false" ht="15" hidden="true" customHeight="false" outlineLevel="1" collapsed="false">
      <c r="A2512" s="20" t="n">
        <v>122</v>
      </c>
      <c r="B2512" s="6" t="s">
        <v>701</v>
      </c>
      <c r="C2512" s="20" t="s">
        <v>71</v>
      </c>
      <c r="D2512" s="51" t="n">
        <f aca="false">J2495</f>
        <v>-12.5675066137707</v>
      </c>
      <c r="E2512" s="23"/>
      <c r="F2512" s="23"/>
      <c r="G2512" s="23"/>
      <c r="H2512" s="23"/>
      <c r="I2512" s="23"/>
      <c r="J2512" s="23"/>
      <c r="K2512" s="23"/>
      <c r="L2512" s="49"/>
    </row>
    <row r="2513" customFormat="false" ht="15" hidden="true" customHeight="false" outlineLevel="1" collapsed="false">
      <c r="A2513" s="20" t="n">
        <v>123</v>
      </c>
      <c r="B2513" s="6" t="s">
        <v>702</v>
      </c>
      <c r="C2513" s="20" t="s">
        <v>71</v>
      </c>
      <c r="D2513" s="51" t="n">
        <f aca="false">SUM(F2497:J2497)</f>
        <v>-14.971295571755</v>
      </c>
      <c r="E2513" s="23"/>
      <c r="F2513" s="23"/>
      <c r="G2513" s="23"/>
      <c r="H2513" s="23"/>
      <c r="I2513" s="23"/>
      <c r="J2513" s="23"/>
      <c r="K2513" s="23"/>
      <c r="L2513" s="49"/>
    </row>
    <row r="2514" customFormat="false" ht="15" hidden="true" customHeight="false" outlineLevel="1" collapsed="false">
      <c r="A2514" s="20" t="n">
        <v>124</v>
      </c>
      <c r="B2514" s="6" t="s">
        <v>82</v>
      </c>
      <c r="C2514" s="20" t="s">
        <v>71</v>
      </c>
      <c r="D2514" s="51" t="n">
        <f aca="false">SUM(F2497:J2497)+SUM(F2499:J2499)</f>
        <v>9.07795076620801</v>
      </c>
      <c r="E2514" s="23"/>
      <c r="F2514" s="23"/>
      <c r="G2514" s="23"/>
      <c r="H2514" s="23"/>
      <c r="I2514" s="23"/>
      <c r="J2514" s="23"/>
      <c r="K2514" s="23"/>
      <c r="L2514" s="49"/>
    </row>
    <row r="2515" customFormat="false" ht="15" hidden="true" customHeight="false" outlineLevel="1" collapsed="false">
      <c r="A2515" s="20" t="n">
        <v>125</v>
      </c>
      <c r="B2515" s="6" t="s">
        <v>83</v>
      </c>
      <c r="C2515" s="20" t="s">
        <v>68</v>
      </c>
      <c r="D2515" s="55" t="n">
        <f aca="false">IFERROR(IRR(F2500:J2500),"н/д")</f>
        <v>0.375132900192487</v>
      </c>
      <c r="E2515" s="23"/>
      <c r="F2515" s="23"/>
      <c r="G2515" s="23"/>
      <c r="H2515" s="23"/>
      <c r="I2515" s="23"/>
      <c r="J2515" s="23"/>
      <c r="K2515" s="23"/>
      <c r="L2515" s="49"/>
    </row>
    <row r="2516" customFormat="false" ht="15" hidden="true" customHeight="false" outlineLevel="1" collapsed="false">
      <c r="A2516" s="20" t="n">
        <v>126</v>
      </c>
      <c r="B2516" s="6" t="s">
        <v>13</v>
      </c>
      <c r="C2516" s="20" t="s">
        <v>79</v>
      </c>
      <c r="D2516" s="56" t="n">
        <f aca="false">IF(COUNT(F2501:J2501)=0,"после 2031",MIN(F2501:J2501))</f>
        <v>2029</v>
      </c>
      <c r="E2516" s="23"/>
      <c r="F2516" s="23"/>
      <c r="G2516" s="23"/>
      <c r="H2516" s="23"/>
      <c r="I2516" s="23"/>
      <c r="J2516" s="23"/>
      <c r="K2516" s="23"/>
      <c r="L2516" s="49"/>
    </row>
    <row r="2517" customFormat="false" ht="15" hidden="true" customHeight="false" outlineLevel="1" collapsed="false">
      <c r="A2517" s="20" t="n">
        <v>127</v>
      </c>
      <c r="B2517" s="6" t="s">
        <v>703</v>
      </c>
      <c r="C2517" s="20" t="s">
        <v>79</v>
      </c>
      <c r="D2517" s="56" t="str">
        <f aca="false">IF(COUNT(F2502:J2502)=0,"после 2031",MIN(F2502:J2502))</f>
        <v>после 2031</v>
      </c>
      <c r="E2517" s="23"/>
      <c r="F2517" s="23"/>
      <c r="G2517" s="23"/>
      <c r="H2517" s="23"/>
      <c r="I2517" s="23"/>
      <c r="J2517" s="23"/>
      <c r="K2517" s="23"/>
      <c r="L2517" s="49"/>
    </row>
    <row r="2520" customFormat="false" ht="15" hidden="true" customHeight="false" outlineLevel="1" collapsed="false">
      <c r="A2520" s="57" t="s">
        <v>741</v>
      </c>
    </row>
    <row r="2521" customFormat="false" ht="30" hidden="true" customHeight="true" outlineLevel="1" collapsed="false">
      <c r="A2521" s="4" t="s">
        <v>49</v>
      </c>
      <c r="B2521" s="4" t="s">
        <v>3</v>
      </c>
      <c r="C2521" s="5" t="s">
        <v>50</v>
      </c>
      <c r="D2521" s="5" t="s">
        <v>551</v>
      </c>
      <c r="E2521" s="5" t="s">
        <v>356</v>
      </c>
      <c r="F2521" s="5" t="s">
        <v>86</v>
      </c>
      <c r="G2521" s="5" t="s">
        <v>87</v>
      </c>
      <c r="H2521" s="5" t="s">
        <v>88</v>
      </c>
      <c r="I2521" s="5" t="s">
        <v>89</v>
      </c>
      <c r="J2521" s="5" t="s">
        <v>90</v>
      </c>
      <c r="K2521" s="5" t="s">
        <v>552</v>
      </c>
      <c r="L2521" s="5" t="s">
        <v>393</v>
      </c>
    </row>
    <row r="2522" customFormat="false" ht="15" hidden="true" customHeight="false" outlineLevel="1" collapsed="false">
      <c r="A2522" s="19" t="s">
        <v>553</v>
      </c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</row>
    <row r="2523" customFormat="false" ht="15" hidden="true" customHeight="false" outlineLevel="1" collapsed="false">
      <c r="A2523" s="20" t="n">
        <v>1</v>
      </c>
      <c r="B2523" s="6" t="s">
        <v>554</v>
      </c>
      <c r="C2523" s="20" t="s">
        <v>79</v>
      </c>
      <c r="D2523" s="10" t="n">
        <f aca="false">Допущения!$E$49</f>
        <v>2027</v>
      </c>
      <c r="E2523" s="23"/>
      <c r="F2523" s="23"/>
      <c r="G2523" s="23"/>
      <c r="H2523" s="23"/>
      <c r="I2523" s="23"/>
      <c r="J2523" s="23"/>
      <c r="K2523" s="23"/>
      <c r="L2523" s="49"/>
    </row>
    <row r="2524" customFormat="false" ht="15" hidden="true" customHeight="false" outlineLevel="1" collapsed="false">
      <c r="A2524" s="20" t="n">
        <v>2</v>
      </c>
      <c r="B2524" s="6" t="s">
        <v>555</v>
      </c>
      <c r="C2524" s="20" t="s">
        <v>105</v>
      </c>
      <c r="D2524" s="45" t="n">
        <f aca="false">Допущения!$E$7</f>
        <v>1.8</v>
      </c>
      <c r="E2524" s="23"/>
      <c r="F2524" s="23"/>
      <c r="G2524" s="23"/>
      <c r="H2524" s="23"/>
      <c r="I2524" s="23"/>
      <c r="J2524" s="23"/>
      <c r="K2524" s="23"/>
      <c r="L2524" s="49"/>
    </row>
    <row r="2525" customFormat="false" ht="15" hidden="true" customHeight="false" outlineLevel="1" collapsed="false">
      <c r="A2525" s="20" t="n">
        <v>3</v>
      </c>
      <c r="B2525" s="6" t="s">
        <v>556</v>
      </c>
      <c r="C2525" s="20" t="s">
        <v>55</v>
      </c>
      <c r="D2525" s="9" t="n">
        <f aca="false">Допущения!$E$42</f>
        <v>6</v>
      </c>
      <c r="E2525" s="23"/>
      <c r="F2525" s="23"/>
      <c r="G2525" s="23"/>
      <c r="H2525" s="23"/>
      <c r="I2525" s="23"/>
      <c r="J2525" s="23"/>
      <c r="K2525" s="23"/>
      <c r="L2525" s="49"/>
    </row>
    <row r="2526" customFormat="false" ht="15" hidden="true" customHeight="false" outlineLevel="1" collapsed="false">
      <c r="A2526" s="20" t="n">
        <v>4</v>
      </c>
      <c r="B2526" s="6" t="s">
        <v>557</v>
      </c>
      <c r="C2526" s="20" t="s">
        <v>244</v>
      </c>
      <c r="D2526" s="9" t="n">
        <f aca="false">Допущения!$E$43</f>
        <v>5</v>
      </c>
      <c r="E2526" s="23"/>
      <c r="F2526" s="23"/>
      <c r="G2526" s="23"/>
      <c r="H2526" s="23"/>
      <c r="I2526" s="23"/>
      <c r="J2526" s="23"/>
      <c r="K2526" s="23"/>
      <c r="L2526" s="49"/>
    </row>
    <row r="2527" customFormat="false" ht="15" hidden="true" customHeight="false" outlineLevel="1" collapsed="false">
      <c r="A2527" s="20" t="n">
        <v>5</v>
      </c>
      <c r="B2527" s="6" t="s">
        <v>558</v>
      </c>
      <c r="C2527" s="20" t="s">
        <v>55</v>
      </c>
      <c r="D2527" s="9" t="n">
        <f aca="false">Допущения!$E$44</f>
        <v>1.5</v>
      </c>
      <c r="E2527" s="23"/>
      <c r="F2527" s="23"/>
      <c r="G2527" s="23"/>
      <c r="H2527" s="23"/>
      <c r="I2527" s="23"/>
      <c r="J2527" s="23"/>
      <c r="K2527" s="23"/>
      <c r="L2527" s="49"/>
    </row>
    <row r="2528" customFormat="false" ht="15" hidden="true" customHeight="false" outlineLevel="1" collapsed="false">
      <c r="A2528" s="20" t="n">
        <v>6</v>
      </c>
      <c r="B2528" s="6" t="s">
        <v>559</v>
      </c>
      <c r="C2528" s="20" t="s">
        <v>71</v>
      </c>
      <c r="D2528" s="9" t="n">
        <f aca="false">Допущения!$E$45</f>
        <v>8</v>
      </c>
      <c r="E2528" s="23"/>
      <c r="F2528" s="23"/>
      <c r="G2528" s="23"/>
      <c r="H2528" s="23"/>
      <c r="I2528" s="23"/>
      <c r="J2528" s="23"/>
      <c r="K2528" s="23"/>
      <c r="L2528" s="49"/>
    </row>
    <row r="2529" customFormat="false" ht="15" hidden="true" customHeight="false" outlineLevel="1" collapsed="false">
      <c r="A2529" s="20" t="n">
        <v>7</v>
      </c>
      <c r="B2529" s="6" t="s">
        <v>560</v>
      </c>
      <c r="C2529" s="20" t="s">
        <v>71</v>
      </c>
      <c r="D2529" s="9" t="n">
        <f aca="false">Допущения!$E$46</f>
        <v>2</v>
      </c>
      <c r="E2529" s="23"/>
      <c r="F2529" s="23"/>
      <c r="G2529" s="23"/>
      <c r="H2529" s="23"/>
      <c r="I2529" s="23"/>
      <c r="J2529" s="23"/>
      <c r="K2529" s="23"/>
      <c r="L2529" s="49"/>
    </row>
    <row r="2530" customFormat="false" ht="15" hidden="true" customHeight="false" outlineLevel="1" collapsed="false">
      <c r="A2530" s="20" t="n">
        <v>8</v>
      </c>
      <c r="B2530" s="6" t="s">
        <v>260</v>
      </c>
      <c r="C2530" s="20" t="s">
        <v>261</v>
      </c>
      <c r="D2530" s="22" t="n">
        <f aca="false">Допущения!$E$47</f>
        <v>0.05</v>
      </c>
      <c r="E2530" s="23"/>
      <c r="F2530" s="23"/>
      <c r="G2530" s="23"/>
      <c r="H2530" s="23"/>
      <c r="I2530" s="23"/>
      <c r="J2530" s="23"/>
      <c r="K2530" s="23"/>
      <c r="L2530" s="49"/>
    </row>
    <row r="2531" customFormat="false" ht="15" hidden="true" customHeight="false" outlineLevel="1" collapsed="false">
      <c r="A2531" s="20" t="n">
        <v>9</v>
      </c>
      <c r="B2531" s="6" t="s">
        <v>561</v>
      </c>
      <c r="C2531" s="20" t="s">
        <v>261</v>
      </c>
      <c r="D2531" s="22" t="n">
        <f aca="false">Допущения!$E$48</f>
        <v>0.15</v>
      </c>
      <c r="E2531" s="23"/>
      <c r="F2531" s="23"/>
      <c r="G2531" s="23"/>
      <c r="H2531" s="23"/>
      <c r="I2531" s="23"/>
      <c r="J2531" s="23"/>
      <c r="K2531" s="23"/>
      <c r="L2531" s="49"/>
    </row>
    <row r="2532" customFormat="false" ht="15" hidden="true" customHeight="false" outlineLevel="1" collapsed="false">
      <c r="A2532" s="20" t="n">
        <v>10</v>
      </c>
      <c r="B2532" s="6" t="s">
        <v>274</v>
      </c>
      <c r="C2532" s="20" t="s">
        <v>261</v>
      </c>
      <c r="D2532" s="22" t="n">
        <f aca="false">Допущения!$E$51</f>
        <v>0.07</v>
      </c>
      <c r="E2532" s="23"/>
      <c r="F2532" s="23"/>
      <c r="G2532" s="23"/>
      <c r="H2532" s="23"/>
      <c r="I2532" s="23"/>
      <c r="J2532" s="23"/>
      <c r="K2532" s="23"/>
      <c r="L2532" s="49"/>
    </row>
    <row r="2533" customFormat="false" ht="15" hidden="true" customHeight="false" outlineLevel="1" collapsed="false">
      <c r="A2533" s="20" t="n">
        <v>11</v>
      </c>
      <c r="B2533" s="6" t="s">
        <v>562</v>
      </c>
      <c r="C2533" s="20" t="s">
        <v>68</v>
      </c>
      <c r="D2533" s="22" t="n">
        <f aca="false">Допущения!$E$52</f>
        <v>0.15</v>
      </c>
      <c r="E2533" s="23"/>
      <c r="F2533" s="23"/>
      <c r="G2533" s="23"/>
      <c r="H2533" s="23"/>
      <c r="I2533" s="23"/>
      <c r="J2533" s="23"/>
      <c r="K2533" s="23"/>
      <c r="L2533" s="49"/>
    </row>
    <row r="2534" customFormat="false" ht="15" hidden="true" customHeight="false" outlineLevel="1" collapsed="false">
      <c r="A2534" s="20" t="n">
        <v>12</v>
      </c>
      <c r="B2534" s="6" t="s">
        <v>563</v>
      </c>
      <c r="C2534" s="20" t="s">
        <v>68</v>
      </c>
      <c r="D2534" s="22" t="n">
        <f aca="false">Допущения!$E$53</f>
        <v>0.076</v>
      </c>
      <c r="E2534" s="23"/>
      <c r="F2534" s="23"/>
      <c r="G2534" s="23"/>
      <c r="H2534" s="23"/>
      <c r="I2534" s="23"/>
      <c r="J2534" s="23"/>
      <c r="K2534" s="23"/>
      <c r="L2534" s="49"/>
    </row>
    <row r="2535" customFormat="false" ht="15" hidden="true" customHeight="false" outlineLevel="1" collapsed="false">
      <c r="A2535" s="20" t="n">
        <v>13</v>
      </c>
      <c r="B2535" s="6" t="s">
        <v>284</v>
      </c>
      <c r="C2535" s="20" t="s">
        <v>68</v>
      </c>
      <c r="D2535" s="22" t="n">
        <f aca="false">Допущения!$E$54</f>
        <v>0.002</v>
      </c>
      <c r="E2535" s="23"/>
      <c r="F2535" s="23"/>
      <c r="G2535" s="23"/>
      <c r="H2535" s="23"/>
      <c r="I2535" s="23"/>
      <c r="J2535" s="23"/>
      <c r="K2535" s="23"/>
      <c r="L2535" s="49"/>
    </row>
    <row r="2536" customFormat="false" ht="15" hidden="true" customHeight="false" outlineLevel="1" collapsed="false">
      <c r="A2536" s="20" t="n">
        <v>14</v>
      </c>
      <c r="B2536" s="6" t="s">
        <v>564</v>
      </c>
      <c r="C2536" s="20" t="s">
        <v>55</v>
      </c>
      <c r="D2536" s="50" t="n">
        <f aca="false">Допущения!$E$55</f>
        <v>2.979</v>
      </c>
      <c r="E2536" s="23"/>
      <c r="F2536" s="23"/>
      <c r="G2536" s="23"/>
      <c r="H2536" s="23"/>
      <c r="I2536" s="23"/>
      <c r="J2536" s="23"/>
      <c r="K2536" s="23"/>
      <c r="L2536" s="49"/>
    </row>
    <row r="2537" customFormat="false" ht="15" hidden="true" customHeight="false" outlineLevel="1" collapsed="false">
      <c r="A2537" s="20" t="n">
        <v>15</v>
      </c>
      <c r="B2537" s="6" t="s">
        <v>565</v>
      </c>
      <c r="C2537" s="20" t="s">
        <v>261</v>
      </c>
      <c r="D2537" s="22" t="n">
        <f aca="false">Допущения!$E$56</f>
        <v>0.08</v>
      </c>
      <c r="E2537" s="23"/>
      <c r="F2537" s="23"/>
      <c r="G2537" s="23"/>
      <c r="H2537" s="23"/>
      <c r="I2537" s="23"/>
      <c r="J2537" s="23"/>
      <c r="K2537" s="23"/>
      <c r="L2537" s="49"/>
    </row>
    <row r="2538" customFormat="false" ht="15" hidden="true" customHeight="false" outlineLevel="1" collapsed="false">
      <c r="A2538" s="20" t="n">
        <v>16</v>
      </c>
      <c r="B2538" s="6" t="s">
        <v>566</v>
      </c>
      <c r="C2538" s="20" t="s">
        <v>71</v>
      </c>
      <c r="D2538" s="9" t="n">
        <f aca="false">Допущения!$E$58</f>
        <v>2.5</v>
      </c>
      <c r="E2538" s="23"/>
      <c r="F2538" s="23"/>
      <c r="G2538" s="23"/>
      <c r="H2538" s="23"/>
      <c r="I2538" s="23"/>
      <c r="J2538" s="23"/>
      <c r="K2538" s="23"/>
      <c r="L2538" s="49"/>
    </row>
    <row r="2539" customFormat="false" ht="15" hidden="true" customHeight="false" outlineLevel="1" collapsed="false">
      <c r="A2539" s="20" t="n">
        <v>17</v>
      </c>
      <c r="B2539" s="6" t="s">
        <v>299</v>
      </c>
      <c r="C2539" s="20" t="s">
        <v>55</v>
      </c>
      <c r="D2539" s="9" t="n">
        <f aca="false">Допущения!$E$59</f>
        <v>1</v>
      </c>
      <c r="E2539" s="23"/>
      <c r="F2539" s="23"/>
      <c r="G2539" s="23"/>
      <c r="H2539" s="23"/>
      <c r="I2539" s="23"/>
      <c r="J2539" s="23"/>
      <c r="K2539" s="23"/>
      <c r="L2539" s="49"/>
    </row>
    <row r="2540" customFormat="false" ht="15" hidden="true" customHeight="false" outlineLevel="1" collapsed="false">
      <c r="A2540" s="20" t="n">
        <v>18</v>
      </c>
      <c r="B2540" s="6" t="s">
        <v>302</v>
      </c>
      <c r="C2540" s="20" t="s">
        <v>55</v>
      </c>
      <c r="D2540" s="9" t="n">
        <f aca="false">Допущения!$E$60</f>
        <v>0.6</v>
      </c>
      <c r="E2540" s="23"/>
      <c r="F2540" s="23"/>
      <c r="G2540" s="23"/>
      <c r="H2540" s="23"/>
      <c r="I2540" s="23"/>
      <c r="J2540" s="23"/>
      <c r="K2540" s="23"/>
      <c r="L2540" s="49"/>
    </row>
    <row r="2541" customFormat="false" ht="15" hidden="true" customHeight="false" outlineLevel="1" collapsed="false">
      <c r="A2541" s="20" t="n">
        <v>19</v>
      </c>
      <c r="B2541" s="6" t="s">
        <v>567</v>
      </c>
      <c r="C2541" s="20" t="s">
        <v>55</v>
      </c>
      <c r="D2541" s="45" t="n">
        <f aca="false">Допущения!$E$61</f>
        <v>0.15</v>
      </c>
      <c r="E2541" s="23"/>
      <c r="F2541" s="23"/>
      <c r="G2541" s="23"/>
      <c r="H2541" s="23"/>
      <c r="I2541" s="23"/>
      <c r="J2541" s="23"/>
      <c r="K2541" s="23"/>
      <c r="L2541" s="49"/>
    </row>
    <row r="2542" customFormat="false" ht="15" hidden="true" customHeight="false" outlineLevel="1" collapsed="false">
      <c r="A2542" s="20" t="n">
        <v>20</v>
      </c>
      <c r="B2542" s="6" t="s">
        <v>568</v>
      </c>
      <c r="C2542" s="20" t="s">
        <v>55</v>
      </c>
      <c r="D2542" s="9" t="n">
        <f aca="false">Допущения!$E$62</f>
        <v>1</v>
      </c>
      <c r="E2542" s="23"/>
      <c r="F2542" s="23"/>
      <c r="G2542" s="23"/>
      <c r="H2542" s="23"/>
      <c r="I2542" s="23"/>
      <c r="J2542" s="23"/>
      <c r="K2542" s="23"/>
      <c r="L2542" s="49"/>
    </row>
    <row r="2543" customFormat="false" ht="15" hidden="true" customHeight="false" outlineLevel="1" collapsed="false">
      <c r="A2543" s="20" t="n">
        <v>21</v>
      </c>
      <c r="B2543" s="6" t="s">
        <v>569</v>
      </c>
      <c r="C2543" s="20" t="s">
        <v>71</v>
      </c>
      <c r="D2543" s="9" t="n">
        <f aca="false">Допущения!$E$63</f>
        <v>0.4</v>
      </c>
      <c r="E2543" s="23"/>
      <c r="F2543" s="23"/>
      <c r="G2543" s="23"/>
      <c r="H2543" s="23"/>
      <c r="I2543" s="23"/>
      <c r="J2543" s="23"/>
      <c r="K2543" s="23"/>
      <c r="L2543" s="49"/>
    </row>
    <row r="2544" customFormat="false" ht="15" hidden="true" customHeight="false" outlineLevel="1" collapsed="false">
      <c r="A2544" s="20" t="n">
        <v>22</v>
      </c>
      <c r="B2544" s="6" t="s">
        <v>314</v>
      </c>
      <c r="C2544" s="20" t="s">
        <v>55</v>
      </c>
      <c r="D2544" s="9" t="n">
        <f aca="false">Допущения!$E$64</f>
        <v>1.2</v>
      </c>
      <c r="E2544" s="23"/>
      <c r="F2544" s="23"/>
      <c r="G2544" s="23"/>
      <c r="H2544" s="23"/>
      <c r="I2544" s="23"/>
      <c r="J2544" s="23"/>
      <c r="K2544" s="23"/>
      <c r="L2544" s="49"/>
    </row>
    <row r="2545" customFormat="false" ht="15" hidden="true" customHeight="false" outlineLevel="1" collapsed="false">
      <c r="A2545" s="20" t="n">
        <v>23</v>
      </c>
      <c r="B2545" s="6" t="s">
        <v>317</v>
      </c>
      <c r="C2545" s="20" t="s">
        <v>55</v>
      </c>
      <c r="D2545" s="45" t="n">
        <f aca="false">Допущения!$E$65</f>
        <v>0.1</v>
      </c>
      <c r="E2545" s="23"/>
      <c r="F2545" s="23"/>
      <c r="G2545" s="23"/>
      <c r="H2545" s="23"/>
      <c r="I2545" s="23"/>
      <c r="J2545" s="23"/>
      <c r="K2545" s="23"/>
      <c r="L2545" s="49"/>
    </row>
    <row r="2546" customFormat="false" ht="15" hidden="true" customHeight="false" outlineLevel="1" collapsed="false">
      <c r="A2546" s="20" t="n">
        <v>24</v>
      </c>
      <c r="B2546" s="6" t="s">
        <v>320</v>
      </c>
      <c r="C2546" s="20" t="s">
        <v>71</v>
      </c>
      <c r="D2546" s="45" t="n">
        <f aca="false">Допущения!$E$66</f>
        <v>0.25</v>
      </c>
      <c r="E2546" s="23"/>
      <c r="F2546" s="23"/>
      <c r="G2546" s="23"/>
      <c r="H2546" s="23"/>
      <c r="I2546" s="23"/>
      <c r="J2546" s="23"/>
      <c r="K2546" s="23"/>
      <c r="L2546" s="49"/>
    </row>
    <row r="2547" customFormat="false" ht="15" hidden="true" customHeight="false" outlineLevel="1" collapsed="false">
      <c r="A2547" s="20" t="n">
        <v>25</v>
      </c>
      <c r="B2547" s="6" t="s">
        <v>570</v>
      </c>
      <c r="C2547" s="20" t="s">
        <v>71</v>
      </c>
      <c r="D2547" s="9" t="n">
        <f aca="false">Допущения!$E$67</f>
        <v>0.3</v>
      </c>
      <c r="E2547" s="23"/>
      <c r="F2547" s="23"/>
      <c r="G2547" s="23"/>
      <c r="H2547" s="23"/>
      <c r="I2547" s="23"/>
      <c r="J2547" s="23"/>
      <c r="K2547" s="23"/>
      <c r="L2547" s="49"/>
    </row>
    <row r="2548" customFormat="false" ht="15" hidden="true" customHeight="false" outlineLevel="1" collapsed="false">
      <c r="A2548" s="20" t="n">
        <v>26</v>
      </c>
      <c r="B2548" s="6" t="s">
        <v>326</v>
      </c>
      <c r="C2548" s="20" t="s">
        <v>261</v>
      </c>
      <c r="D2548" s="22" t="n">
        <f aca="false">Допущения!$E$68</f>
        <v>0.05</v>
      </c>
      <c r="E2548" s="23"/>
      <c r="F2548" s="23"/>
      <c r="G2548" s="23"/>
      <c r="H2548" s="23"/>
      <c r="I2548" s="23"/>
      <c r="J2548" s="23"/>
      <c r="K2548" s="23"/>
      <c r="L2548" s="49"/>
    </row>
    <row r="2549" customFormat="false" ht="15" hidden="true" customHeight="false" outlineLevel="1" collapsed="false">
      <c r="A2549" s="20" t="n">
        <v>27</v>
      </c>
      <c r="B2549" s="6" t="s">
        <v>571</v>
      </c>
      <c r="C2549" s="20" t="s">
        <v>330</v>
      </c>
      <c r="D2549" s="22" t="n">
        <f aca="false">Допущения!$E$69</f>
        <v>0.1</v>
      </c>
      <c r="E2549" s="23"/>
      <c r="F2549" s="23"/>
      <c r="G2549" s="23"/>
      <c r="H2549" s="23"/>
      <c r="I2549" s="23"/>
      <c r="J2549" s="23"/>
      <c r="K2549" s="23"/>
      <c r="L2549" s="49"/>
    </row>
    <row r="2550" customFormat="false" ht="15" hidden="true" customHeight="false" outlineLevel="1" collapsed="false">
      <c r="A2550" s="20" t="n">
        <v>28</v>
      </c>
      <c r="B2550" s="6" t="s">
        <v>572</v>
      </c>
      <c r="C2550" s="20" t="s">
        <v>68</v>
      </c>
      <c r="D2550" s="22" t="n">
        <f aca="false">Допущения!$E$71</f>
        <v>0.05</v>
      </c>
      <c r="E2550" s="23"/>
      <c r="F2550" s="23"/>
      <c r="G2550" s="23"/>
      <c r="H2550" s="23"/>
      <c r="I2550" s="23"/>
      <c r="J2550" s="23"/>
      <c r="K2550" s="23"/>
      <c r="L2550" s="49"/>
    </row>
    <row r="2551" customFormat="false" ht="15" hidden="true" customHeight="false" outlineLevel="1" collapsed="false">
      <c r="A2551" s="20" t="n">
        <v>29</v>
      </c>
      <c r="B2551" s="6" t="s">
        <v>573</v>
      </c>
      <c r="C2551" s="20" t="s">
        <v>68</v>
      </c>
      <c r="D2551" s="22" t="n">
        <f aca="false">Допущения!$E$72</f>
        <v>0.5</v>
      </c>
      <c r="E2551" s="23"/>
      <c r="F2551" s="23"/>
      <c r="G2551" s="23"/>
      <c r="H2551" s="23"/>
      <c r="I2551" s="23"/>
      <c r="J2551" s="23"/>
      <c r="K2551" s="23"/>
      <c r="L2551" s="49"/>
    </row>
    <row r="2552" customFormat="false" ht="15" hidden="true" customHeight="false" outlineLevel="1" collapsed="false">
      <c r="A2552" s="20" t="n">
        <v>30</v>
      </c>
      <c r="B2552" s="6" t="s">
        <v>574</v>
      </c>
      <c r="C2552" s="20" t="s">
        <v>575</v>
      </c>
      <c r="D2552" s="7" t="n">
        <f aca="false">Допущения!$E$73</f>
        <v>90</v>
      </c>
      <c r="E2552" s="23"/>
      <c r="F2552" s="23"/>
      <c r="G2552" s="23"/>
      <c r="H2552" s="23"/>
      <c r="I2552" s="23"/>
      <c r="J2552" s="23"/>
      <c r="K2552" s="23"/>
      <c r="L2552" s="49"/>
    </row>
    <row r="2553" customFormat="false" ht="15" hidden="true" customHeight="false" outlineLevel="1" collapsed="false">
      <c r="A2553" s="20" t="n">
        <v>31</v>
      </c>
      <c r="B2553" s="6" t="s">
        <v>345</v>
      </c>
      <c r="C2553" s="20" t="s">
        <v>68</v>
      </c>
      <c r="D2553" s="22" t="n">
        <f aca="false">Допущения!$E$74*1.2</f>
        <v>0.36</v>
      </c>
      <c r="E2553" s="23"/>
      <c r="F2553" s="23"/>
      <c r="G2553" s="23"/>
      <c r="H2553" s="23"/>
      <c r="I2553" s="23"/>
      <c r="J2553" s="23"/>
      <c r="K2553" s="23"/>
      <c r="L2553" s="49"/>
    </row>
    <row r="2554" customFormat="false" ht="15" hidden="true" customHeight="false" outlineLevel="1" collapsed="false">
      <c r="A2554" s="20" t="n">
        <v>32</v>
      </c>
      <c r="B2554" s="6" t="s">
        <v>576</v>
      </c>
      <c r="C2554" s="20" t="s">
        <v>261</v>
      </c>
      <c r="D2554" s="22" t="n">
        <f aca="false">Допущения!$E$75</f>
        <v>0.04</v>
      </c>
      <c r="E2554" s="23"/>
      <c r="F2554" s="23"/>
      <c r="G2554" s="23"/>
      <c r="H2554" s="23"/>
      <c r="I2554" s="23"/>
      <c r="J2554" s="23"/>
      <c r="K2554" s="23"/>
      <c r="L2554" s="49"/>
    </row>
    <row r="2555" customFormat="false" ht="15" hidden="true" customHeight="false" outlineLevel="1" collapsed="false">
      <c r="A2555" s="20" t="n">
        <v>33</v>
      </c>
      <c r="B2555" s="6" t="s">
        <v>577</v>
      </c>
      <c r="C2555" s="20" t="s">
        <v>68</v>
      </c>
      <c r="D2555" s="22" t="n">
        <f aca="false">Допущения!$E$76</f>
        <v>0.2</v>
      </c>
      <c r="E2555" s="23"/>
      <c r="F2555" s="23"/>
      <c r="G2555" s="23"/>
      <c r="H2555" s="23"/>
      <c r="I2555" s="23"/>
      <c r="J2555" s="23"/>
      <c r="K2555" s="23"/>
      <c r="L2555" s="49"/>
    </row>
    <row r="2556" customFormat="false" ht="15" hidden="true" customHeight="false" outlineLevel="1" collapsed="false">
      <c r="A2556" s="20" t="n">
        <v>34</v>
      </c>
      <c r="B2556" s="6" t="s">
        <v>578</v>
      </c>
      <c r="C2556" s="20" t="s">
        <v>105</v>
      </c>
      <c r="D2556" s="50" t="n">
        <f aca="false">Рынок!$E$30</f>
        <v>0.490909090909091</v>
      </c>
      <c r="E2556" s="23"/>
      <c r="F2556" s="23"/>
      <c r="G2556" s="23"/>
      <c r="H2556" s="23"/>
      <c r="I2556" s="23"/>
      <c r="J2556" s="23"/>
      <c r="K2556" s="23"/>
      <c r="L2556" s="49" t="s">
        <v>579</v>
      </c>
    </row>
    <row r="2557" customFormat="false" ht="15" hidden="true" customHeight="false" outlineLevel="1" collapsed="false">
      <c r="A2557" s="20" t="n">
        <v>35</v>
      </c>
      <c r="B2557" s="6" t="s">
        <v>580</v>
      </c>
      <c r="C2557" s="20" t="s">
        <v>105</v>
      </c>
      <c r="D2557" s="50" t="n">
        <f aca="false">Рынок!$E$31</f>
        <v>0.028125</v>
      </c>
      <c r="E2557" s="23"/>
      <c r="F2557" s="23"/>
      <c r="G2557" s="23"/>
      <c r="H2557" s="23"/>
      <c r="I2557" s="23"/>
      <c r="J2557" s="23"/>
      <c r="K2557" s="23"/>
      <c r="L2557" s="49" t="s">
        <v>579</v>
      </c>
    </row>
    <row r="2558" customFormat="false" ht="15" hidden="true" customHeight="false" outlineLevel="1" collapsed="false">
      <c r="A2558" s="20" t="n">
        <v>36</v>
      </c>
      <c r="B2558" s="6" t="s">
        <v>581</v>
      </c>
      <c r="C2558" s="20" t="s">
        <v>142</v>
      </c>
      <c r="D2558" s="7" t="n">
        <f aca="false">План!$D$18</f>
        <v>200</v>
      </c>
      <c r="E2558" s="23"/>
      <c r="F2558" s="23"/>
      <c r="G2558" s="23"/>
      <c r="H2558" s="23"/>
      <c r="I2558" s="23"/>
      <c r="J2558" s="23"/>
      <c r="K2558" s="23"/>
      <c r="L2558" s="49" t="s">
        <v>582</v>
      </c>
    </row>
    <row r="2559" customFormat="false" ht="15" hidden="true" customHeight="false" outlineLevel="1" collapsed="false">
      <c r="A2559" s="20" t="n">
        <v>37</v>
      </c>
      <c r="B2559" s="6" t="s">
        <v>583</v>
      </c>
      <c r="C2559" s="20" t="s">
        <v>142</v>
      </c>
      <c r="D2559" s="7" t="n">
        <f aca="false">План!$D$19</f>
        <v>280</v>
      </c>
      <c r="E2559" s="23"/>
      <c r="F2559" s="23"/>
      <c r="G2559" s="23"/>
      <c r="H2559" s="23"/>
      <c r="I2559" s="23"/>
      <c r="J2559" s="23"/>
      <c r="K2559" s="23"/>
      <c r="L2559" s="49" t="s">
        <v>582</v>
      </c>
    </row>
    <row r="2560" customFormat="false" ht="15" hidden="true" customHeight="false" outlineLevel="1" collapsed="false">
      <c r="A2560" s="20" t="n">
        <v>38</v>
      </c>
      <c r="B2560" s="6" t="s">
        <v>584</v>
      </c>
      <c r="C2560" s="20" t="s">
        <v>142</v>
      </c>
      <c r="D2560" s="7" t="n">
        <f aca="false">План!$D$20</f>
        <v>230</v>
      </c>
      <c r="E2560" s="23"/>
      <c r="F2560" s="23"/>
      <c r="G2560" s="23"/>
      <c r="H2560" s="23"/>
      <c r="I2560" s="23"/>
      <c r="J2560" s="23"/>
      <c r="K2560" s="23"/>
      <c r="L2560" s="49" t="s">
        <v>582</v>
      </c>
    </row>
    <row r="2561" customFormat="false" ht="15" hidden="true" customHeight="false" outlineLevel="1" collapsed="false">
      <c r="A2561" s="20" t="n">
        <v>39</v>
      </c>
      <c r="B2561" s="6" t="s">
        <v>585</v>
      </c>
      <c r="C2561" s="20" t="s">
        <v>142</v>
      </c>
      <c r="D2561" s="7" t="n">
        <f aca="false">План!$D$21</f>
        <v>220</v>
      </c>
      <c r="E2561" s="23"/>
      <c r="F2561" s="23"/>
      <c r="G2561" s="23"/>
      <c r="H2561" s="23"/>
      <c r="I2561" s="23"/>
      <c r="J2561" s="23"/>
      <c r="K2561" s="23"/>
      <c r="L2561" s="49" t="s">
        <v>582</v>
      </c>
    </row>
    <row r="2562" customFormat="false" ht="15" hidden="true" customHeight="false" outlineLevel="1" collapsed="false">
      <c r="A2562" s="20" t="n">
        <v>40</v>
      </c>
      <c r="B2562" s="6" t="s">
        <v>586</v>
      </c>
      <c r="C2562" s="20" t="s">
        <v>142</v>
      </c>
      <c r="D2562" s="7" t="n">
        <f aca="false">План!$D$22</f>
        <v>250</v>
      </c>
      <c r="E2562" s="23"/>
      <c r="F2562" s="23"/>
      <c r="G2562" s="23"/>
      <c r="H2562" s="23"/>
      <c r="I2562" s="23"/>
      <c r="J2562" s="23"/>
      <c r="K2562" s="23"/>
      <c r="L2562" s="49" t="s">
        <v>582</v>
      </c>
    </row>
    <row r="2563" customFormat="false" ht="15" hidden="true" customHeight="false" outlineLevel="1" collapsed="false">
      <c r="A2563" s="20" t="n">
        <v>41</v>
      </c>
      <c r="B2563" s="6" t="s">
        <v>587</v>
      </c>
      <c r="C2563" s="20" t="s">
        <v>142</v>
      </c>
      <c r="D2563" s="7" t="n">
        <f aca="false">План!$D$23</f>
        <v>220</v>
      </c>
      <c r="E2563" s="23"/>
      <c r="F2563" s="23"/>
      <c r="G2563" s="23"/>
      <c r="H2563" s="23"/>
      <c r="I2563" s="23"/>
      <c r="J2563" s="23"/>
      <c r="K2563" s="23"/>
      <c r="L2563" s="49" t="s">
        <v>582</v>
      </c>
    </row>
    <row r="2564" customFormat="false" ht="15" hidden="true" customHeight="false" outlineLevel="1" collapsed="false">
      <c r="A2564" s="20" t="n">
        <v>42</v>
      </c>
      <c r="B2564" s="6" t="s">
        <v>359</v>
      </c>
      <c r="C2564" s="20" t="s">
        <v>76</v>
      </c>
      <c r="D2564" s="23"/>
      <c r="E2564" s="9" t="n">
        <f aca="false">План!E16</f>
        <v>0</v>
      </c>
      <c r="F2564" s="9" t="n">
        <f aca="false">План!F16</f>
        <v>0</v>
      </c>
      <c r="G2564" s="9" t="n">
        <f aca="false">План!G16</f>
        <v>0</v>
      </c>
      <c r="H2564" s="9" t="n">
        <f aca="false">План!H16</f>
        <v>1</v>
      </c>
      <c r="I2564" s="9" t="n">
        <f aca="false">План!I16</f>
        <v>0</v>
      </c>
      <c r="J2564" s="9" t="n">
        <f aca="false">План!J16</f>
        <v>1</v>
      </c>
      <c r="K2564" s="51" t="n">
        <f aca="false">SUM(F2564:J2564)</f>
        <v>2</v>
      </c>
      <c r="L2564" s="49" t="s">
        <v>582</v>
      </c>
    </row>
    <row r="2565" customFormat="false" ht="15" hidden="true" customHeight="false" outlineLevel="1" collapsed="false">
      <c r="A2565" s="20" t="n">
        <v>43</v>
      </c>
      <c r="B2565" s="6" t="s">
        <v>361</v>
      </c>
      <c r="C2565" s="20" t="s">
        <v>76</v>
      </c>
      <c r="D2565" s="23"/>
      <c r="E2565" s="9" t="n">
        <f aca="false">План!E17</f>
        <v>0</v>
      </c>
      <c r="F2565" s="9" t="n">
        <f aca="false">План!F17</f>
        <v>0</v>
      </c>
      <c r="G2565" s="9" t="n">
        <f aca="false">План!G17</f>
        <v>1</v>
      </c>
      <c r="H2565" s="9" t="n">
        <f aca="false">План!H17</f>
        <v>2</v>
      </c>
      <c r="I2565" s="9" t="n">
        <f aca="false">План!I17</f>
        <v>2</v>
      </c>
      <c r="J2565" s="9" t="n">
        <f aca="false">План!J17</f>
        <v>3</v>
      </c>
      <c r="K2565" s="51" t="n">
        <f aca="false">SUM(F2565:J2565)</f>
        <v>8</v>
      </c>
      <c r="L2565" s="49" t="s">
        <v>582</v>
      </c>
    </row>
    <row r="2566" customFormat="false" ht="15" hidden="true" customHeight="false" outlineLevel="1" collapsed="false">
      <c r="A2566" s="20" t="n">
        <v>44</v>
      </c>
      <c r="B2566" s="6" t="s">
        <v>588</v>
      </c>
      <c r="C2566" s="20" t="s">
        <v>53</v>
      </c>
      <c r="D2566" s="23"/>
      <c r="E2566" s="9" t="n">
        <f aca="false">План!E18</f>
        <v>2</v>
      </c>
      <c r="F2566" s="9" t="n">
        <f aca="false">План!F18</f>
        <v>2</v>
      </c>
      <c r="G2566" s="9" t="n">
        <f aca="false">План!G18</f>
        <v>2</v>
      </c>
      <c r="H2566" s="9" t="n">
        <f aca="false">План!H18</f>
        <v>2</v>
      </c>
      <c r="I2566" s="9" t="n">
        <f aca="false">План!I18</f>
        <v>2</v>
      </c>
      <c r="J2566" s="9" t="n">
        <f aca="false">План!J18</f>
        <v>2</v>
      </c>
      <c r="K2566" s="23"/>
      <c r="L2566" s="49" t="s">
        <v>582</v>
      </c>
    </row>
    <row r="2567" customFormat="false" ht="15" hidden="true" customHeight="false" outlineLevel="1" collapsed="false">
      <c r="A2567" s="20" t="n">
        <v>45</v>
      </c>
      <c r="B2567" s="6" t="s">
        <v>589</v>
      </c>
      <c r="C2567" s="20" t="s">
        <v>53</v>
      </c>
      <c r="D2567" s="23"/>
      <c r="E2567" s="9" t="n">
        <f aca="false">План!E19</f>
        <v>0</v>
      </c>
      <c r="F2567" s="9" t="n">
        <f aca="false">План!F19</f>
        <v>1</v>
      </c>
      <c r="G2567" s="9" t="n">
        <f aca="false">План!G19</f>
        <v>1</v>
      </c>
      <c r="H2567" s="9" t="n">
        <f aca="false">План!H19</f>
        <v>1</v>
      </c>
      <c r="I2567" s="9" t="n">
        <f aca="false">План!I19</f>
        <v>2</v>
      </c>
      <c r="J2567" s="9" t="n">
        <f aca="false">План!J19</f>
        <v>2</v>
      </c>
      <c r="K2567" s="23"/>
      <c r="L2567" s="49" t="s">
        <v>582</v>
      </c>
    </row>
    <row r="2568" customFormat="false" ht="15" hidden="true" customHeight="false" outlineLevel="1" collapsed="false">
      <c r="A2568" s="20" t="n">
        <v>46</v>
      </c>
      <c r="B2568" s="6" t="s">
        <v>590</v>
      </c>
      <c r="C2568" s="20" t="s">
        <v>53</v>
      </c>
      <c r="D2568" s="23"/>
      <c r="E2568" s="9" t="n">
        <f aca="false">План!E20</f>
        <v>0</v>
      </c>
      <c r="F2568" s="9" t="n">
        <f aca="false">План!F20</f>
        <v>1</v>
      </c>
      <c r="G2568" s="9" t="n">
        <f aca="false">План!G20</f>
        <v>1</v>
      </c>
      <c r="H2568" s="9" t="n">
        <f aca="false">План!H20</f>
        <v>1</v>
      </c>
      <c r="I2568" s="9" t="n">
        <f aca="false">План!I20</f>
        <v>1</v>
      </c>
      <c r="J2568" s="9" t="n">
        <f aca="false">План!J20</f>
        <v>1</v>
      </c>
      <c r="K2568" s="23"/>
      <c r="L2568" s="49" t="s">
        <v>582</v>
      </c>
    </row>
    <row r="2569" customFormat="false" ht="15" hidden="true" customHeight="false" outlineLevel="1" collapsed="false">
      <c r="A2569" s="20" t="n">
        <v>47</v>
      </c>
      <c r="B2569" s="6" t="s">
        <v>591</v>
      </c>
      <c r="C2569" s="20" t="s">
        <v>53</v>
      </c>
      <c r="D2569" s="23"/>
      <c r="E2569" s="9" t="n">
        <f aca="false">План!E21</f>
        <v>0</v>
      </c>
      <c r="F2569" s="9" t="n">
        <f aca="false">План!F21</f>
        <v>0</v>
      </c>
      <c r="G2569" s="9" t="n">
        <f aca="false">План!G21</f>
        <v>1</v>
      </c>
      <c r="H2569" s="9" t="n">
        <f aca="false">План!H21</f>
        <v>1</v>
      </c>
      <c r="I2569" s="9" t="n">
        <f aca="false">План!I21</f>
        <v>1</v>
      </c>
      <c r="J2569" s="9" t="n">
        <f aca="false">План!J21</f>
        <v>1</v>
      </c>
      <c r="K2569" s="23"/>
      <c r="L2569" s="49" t="s">
        <v>582</v>
      </c>
    </row>
    <row r="2570" customFormat="false" ht="15" hidden="true" customHeight="false" outlineLevel="1" collapsed="false">
      <c r="A2570" s="20" t="n">
        <v>48</v>
      </c>
      <c r="B2570" s="6" t="s">
        <v>592</v>
      </c>
      <c r="C2570" s="20" t="s">
        <v>53</v>
      </c>
      <c r="D2570" s="23"/>
      <c r="E2570" s="9" t="n">
        <f aca="false">План!E22</f>
        <v>0</v>
      </c>
      <c r="F2570" s="9" t="n">
        <f aca="false">План!F22</f>
        <v>0</v>
      </c>
      <c r="G2570" s="9" t="n">
        <f aca="false">План!G22</f>
        <v>0</v>
      </c>
      <c r="H2570" s="9" t="n">
        <f aca="false">План!H22</f>
        <v>1</v>
      </c>
      <c r="I2570" s="9" t="n">
        <f aca="false">План!I22</f>
        <v>1</v>
      </c>
      <c r="J2570" s="9" t="n">
        <f aca="false">План!J22</f>
        <v>1</v>
      </c>
      <c r="K2570" s="23"/>
      <c r="L2570" s="49" t="s">
        <v>582</v>
      </c>
    </row>
    <row r="2571" customFormat="false" ht="15" hidden="true" customHeight="false" outlineLevel="1" collapsed="false">
      <c r="A2571" s="20" t="n">
        <v>49</v>
      </c>
      <c r="B2571" s="6" t="s">
        <v>593</v>
      </c>
      <c r="C2571" s="20" t="s">
        <v>53</v>
      </c>
      <c r="D2571" s="23"/>
      <c r="E2571" s="9" t="n">
        <f aca="false">План!E23</f>
        <v>0</v>
      </c>
      <c r="F2571" s="9" t="n">
        <f aca="false">План!F23</f>
        <v>0</v>
      </c>
      <c r="G2571" s="9" t="n">
        <f aca="false">План!G23</f>
        <v>0</v>
      </c>
      <c r="H2571" s="9" t="n">
        <f aca="false">План!H23</f>
        <v>0</v>
      </c>
      <c r="I2571" s="9" t="n">
        <f aca="false">План!I23</f>
        <v>0</v>
      </c>
      <c r="J2571" s="9" t="n">
        <f aca="false">План!J23</f>
        <v>1</v>
      </c>
      <c r="K2571" s="23"/>
      <c r="L2571" s="49" t="s">
        <v>582</v>
      </c>
    </row>
    <row r="2572" customFormat="false" ht="15" hidden="true" customHeight="false" outlineLevel="1" collapsed="false">
      <c r="A2572" s="19" t="s">
        <v>594</v>
      </c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</row>
    <row r="2573" customFormat="false" ht="15" hidden="true" customHeight="false" outlineLevel="1" collapsed="false">
      <c r="A2573" s="20" t="n">
        <v>50</v>
      </c>
      <c r="B2573" s="6" t="s">
        <v>595</v>
      </c>
      <c r="C2573" s="20"/>
      <c r="D2573" s="23"/>
      <c r="E2573" s="10" t="n">
        <f aca="false">Допущения!$D$3</f>
        <v>2026</v>
      </c>
      <c r="F2573" s="52" t="n">
        <f aca="false">E2573+1</f>
        <v>2027</v>
      </c>
      <c r="G2573" s="52" t="n">
        <f aca="false">F2573+1</f>
        <v>2028</v>
      </c>
      <c r="H2573" s="52" t="n">
        <f aca="false">G2573+1</f>
        <v>2029</v>
      </c>
      <c r="I2573" s="52" t="n">
        <f aca="false">H2573+1</f>
        <v>2030</v>
      </c>
      <c r="J2573" s="52" t="n">
        <f aca="false">I2573+1</f>
        <v>2031</v>
      </c>
      <c r="K2573" s="23"/>
      <c r="L2573" s="49" t="s">
        <v>596</v>
      </c>
    </row>
    <row r="2574" customFormat="false" ht="15" hidden="true" customHeight="false" outlineLevel="1" collapsed="false">
      <c r="A2574" s="20" t="n">
        <v>51</v>
      </c>
      <c r="B2574" s="6" t="s">
        <v>597</v>
      </c>
      <c r="C2574" s="20" t="s">
        <v>62</v>
      </c>
      <c r="D2574" s="23"/>
      <c r="E2574" s="23"/>
      <c r="F2574" s="53" t="n">
        <f aca="false">(1+$D$2530)^(F$2573-$E$2573-1)</f>
        <v>1</v>
      </c>
      <c r="G2574" s="53" t="n">
        <f aca="false">(1+$D$2530)^(G$2573-$E$2573-1)</f>
        <v>1.05</v>
      </c>
      <c r="H2574" s="53" t="n">
        <f aca="false">(1+$D$2530)^(H$2573-$E$2573-1)</f>
        <v>1.1025</v>
      </c>
      <c r="I2574" s="53" t="n">
        <f aca="false">(1+$D$2530)^(I$2573-$E$2573-1)</f>
        <v>1.157625</v>
      </c>
      <c r="J2574" s="53" t="n">
        <f aca="false">(1+$D$2530)^(J$2573-$E$2573-1)</f>
        <v>1.21550625</v>
      </c>
      <c r="K2574" s="23"/>
      <c r="L2574" s="49" t="s">
        <v>598</v>
      </c>
    </row>
    <row r="2575" customFormat="false" ht="15" hidden="true" customHeight="false" outlineLevel="1" collapsed="false">
      <c r="A2575" s="20" t="n">
        <v>52</v>
      </c>
      <c r="B2575" s="6" t="s">
        <v>599</v>
      </c>
      <c r="C2575" s="20" t="s">
        <v>62</v>
      </c>
      <c r="D2575" s="23"/>
      <c r="E2575" s="23"/>
      <c r="F2575" s="53" t="n">
        <f aca="false">(1+$D$2548)^(F$2573-$E$2573-1)</f>
        <v>1</v>
      </c>
      <c r="G2575" s="53" t="n">
        <f aca="false">(1+$D$2548)^(G$2573-$E$2573-1)</f>
        <v>1.05</v>
      </c>
      <c r="H2575" s="53" t="n">
        <f aca="false">(1+$D$2548)^(H$2573-$E$2573-1)</f>
        <v>1.1025</v>
      </c>
      <c r="I2575" s="53" t="n">
        <f aca="false">(1+$D$2548)^(I$2573-$E$2573-1)</f>
        <v>1.157625</v>
      </c>
      <c r="J2575" s="53" t="n">
        <f aca="false">(1+$D$2548)^(J$2573-$E$2573-1)</f>
        <v>1.21550625</v>
      </c>
      <c r="K2575" s="23"/>
      <c r="L2575" s="49" t="s">
        <v>600</v>
      </c>
    </row>
    <row r="2576" customFormat="false" ht="15" hidden="true" customHeight="false" outlineLevel="1" collapsed="false">
      <c r="A2576" s="20" t="n">
        <v>53</v>
      </c>
      <c r="B2576" s="6" t="s">
        <v>601</v>
      </c>
      <c r="C2576" s="20" t="s">
        <v>62</v>
      </c>
      <c r="D2576" s="23"/>
      <c r="E2576" s="23"/>
      <c r="F2576" s="53" t="n">
        <f aca="false">(1+$D$2532)^(F$2573-$E$2573-1)</f>
        <v>1</v>
      </c>
      <c r="G2576" s="53" t="n">
        <f aca="false">(1+$D$2532)^(G$2573-$E$2573-1)</f>
        <v>1.07</v>
      </c>
      <c r="H2576" s="53" t="n">
        <f aca="false">(1+$D$2532)^(H$2573-$E$2573-1)</f>
        <v>1.1449</v>
      </c>
      <c r="I2576" s="53" t="n">
        <f aca="false">(1+$D$2532)^(I$2573-$E$2573-1)</f>
        <v>1.225043</v>
      </c>
      <c r="J2576" s="53" t="n">
        <f aca="false">(1+$D$2532)^(J$2573-$E$2573-1)</f>
        <v>1.31079601</v>
      </c>
      <c r="K2576" s="23"/>
      <c r="L2576" s="49" t="s">
        <v>602</v>
      </c>
    </row>
    <row r="2577" customFormat="false" ht="15" hidden="true" customHeight="false" outlineLevel="1" collapsed="false">
      <c r="A2577" s="20" t="n">
        <v>54</v>
      </c>
      <c r="B2577" s="6" t="s">
        <v>603</v>
      </c>
      <c r="C2577" s="20" t="s">
        <v>55</v>
      </c>
      <c r="D2577" s="23"/>
      <c r="E2577" s="23"/>
      <c r="F2577" s="46" t="n">
        <f aca="false">$D$2536*(1+$D$2537)^(F$2573-$E$2573)</f>
        <v>3.21732</v>
      </c>
      <c r="G2577" s="46" t="n">
        <f aca="false">$D$2536*(1+$D$2537)^(G$2573-$E$2573)</f>
        <v>3.4747056</v>
      </c>
      <c r="H2577" s="46" t="n">
        <f aca="false">$D$2536*(1+$D$2537)^(H$2573-$E$2573)</f>
        <v>3.752682048</v>
      </c>
      <c r="I2577" s="46" t="n">
        <f aca="false">$D$2536*(1+$D$2537)^(I$2573-$E$2573)</f>
        <v>4.05289661184</v>
      </c>
      <c r="J2577" s="46" t="n">
        <f aca="false">$D$2536*(1+$D$2537)^(J$2573-$E$2573)</f>
        <v>4.3771283407872</v>
      </c>
      <c r="K2577" s="23"/>
      <c r="L2577" s="49" t="s">
        <v>604</v>
      </c>
    </row>
    <row r="2578" customFormat="false" ht="15" hidden="true" customHeight="false" outlineLevel="1" collapsed="false">
      <c r="A2578" s="19" t="s">
        <v>605</v>
      </c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</row>
    <row r="2579" customFormat="false" ht="15" hidden="true" customHeight="false" outlineLevel="1" collapsed="false">
      <c r="A2579" s="20" t="n">
        <v>55</v>
      </c>
      <c r="B2579" s="6" t="s">
        <v>606</v>
      </c>
      <c r="C2579" s="20" t="s">
        <v>76</v>
      </c>
      <c r="D2579" s="23"/>
      <c r="E2579" s="23"/>
      <c r="F2579" s="38" t="n">
        <f aca="false">IF(F$2573=$D$2523,1,0)</f>
        <v>1</v>
      </c>
      <c r="G2579" s="38" t="n">
        <f aca="false">IF(G$2573=$D$2523,1,0)</f>
        <v>0</v>
      </c>
      <c r="H2579" s="38" t="n">
        <f aca="false">IF(H$2573=$D$2523,1,0)</f>
        <v>0</v>
      </c>
      <c r="I2579" s="38" t="n">
        <f aca="false">IF(I$2573=$D$2523,1,0)</f>
        <v>0</v>
      </c>
      <c r="J2579" s="38" t="n">
        <f aca="false">IF(J$2573=$D$2523,1,0)</f>
        <v>0</v>
      </c>
      <c r="K2579" s="23"/>
      <c r="L2579" s="49" t="s">
        <v>607</v>
      </c>
    </row>
    <row r="2580" customFormat="false" ht="15" hidden="true" customHeight="false" outlineLevel="1" collapsed="false">
      <c r="A2580" s="20" t="n">
        <v>56</v>
      </c>
      <c r="B2580" s="6" t="s">
        <v>608</v>
      </c>
      <c r="C2580" s="20" t="s">
        <v>76</v>
      </c>
      <c r="D2580" s="23"/>
      <c r="E2580" s="38" t="n">
        <f aca="false">0</f>
        <v>0</v>
      </c>
      <c r="F2580" s="38" t="n">
        <f aca="false">F2579+F2564</f>
        <v>1</v>
      </c>
      <c r="G2580" s="38" t="n">
        <f aca="false">G2579+G2564</f>
        <v>0</v>
      </c>
      <c r="H2580" s="38" t="n">
        <f aca="false">H2579+H2564</f>
        <v>1</v>
      </c>
      <c r="I2580" s="38" t="n">
        <f aca="false">I2579+I2564</f>
        <v>0</v>
      </c>
      <c r="J2580" s="38" t="n">
        <f aca="false">J2579+J2564</f>
        <v>1</v>
      </c>
      <c r="K2580" s="54" t="n">
        <f aca="false">SUM(F2580:J2580)</f>
        <v>3</v>
      </c>
      <c r="L2580" s="49" t="s">
        <v>609</v>
      </c>
    </row>
    <row r="2581" customFormat="false" ht="15" hidden="true" customHeight="false" outlineLevel="1" collapsed="false">
      <c r="A2581" s="20" t="n">
        <v>57</v>
      </c>
      <c r="B2581" s="6" t="s">
        <v>610</v>
      </c>
      <c r="C2581" s="20" t="s">
        <v>76</v>
      </c>
      <c r="D2581" s="23"/>
      <c r="E2581" s="38" t="n">
        <f aca="false">0</f>
        <v>0</v>
      </c>
      <c r="F2581" s="38" t="n">
        <f aca="false">E2581+F2580</f>
        <v>1</v>
      </c>
      <c r="G2581" s="38" t="n">
        <f aca="false">F2581+G2580</f>
        <v>1</v>
      </c>
      <c r="H2581" s="38" t="n">
        <f aca="false">G2581+H2580</f>
        <v>2</v>
      </c>
      <c r="I2581" s="38" t="n">
        <f aca="false">H2581+I2580</f>
        <v>2</v>
      </c>
      <c r="J2581" s="38" t="n">
        <f aca="false">I2581+J2580</f>
        <v>3</v>
      </c>
      <c r="K2581" s="23"/>
      <c r="L2581" s="49" t="s">
        <v>611</v>
      </c>
    </row>
    <row r="2582" customFormat="false" ht="15" hidden="true" customHeight="false" outlineLevel="1" collapsed="false">
      <c r="A2582" s="20" t="n">
        <v>58</v>
      </c>
      <c r="B2582" s="6" t="s">
        <v>612</v>
      </c>
      <c r="C2582" s="20" t="s">
        <v>76</v>
      </c>
      <c r="D2582" s="23"/>
      <c r="E2582" s="38" t="n">
        <f aca="false">0</f>
        <v>0</v>
      </c>
      <c r="F2582" s="38" t="n">
        <f aca="false">E2582+F2565</f>
        <v>0</v>
      </c>
      <c r="G2582" s="38" t="n">
        <f aca="false">F2582+G2565</f>
        <v>1</v>
      </c>
      <c r="H2582" s="38" t="n">
        <f aca="false">G2582+H2565</f>
        <v>3</v>
      </c>
      <c r="I2582" s="38" t="n">
        <f aca="false">H2582+I2565</f>
        <v>5</v>
      </c>
      <c r="J2582" s="38" t="n">
        <f aca="false">I2582+J2565</f>
        <v>8</v>
      </c>
      <c r="K2582" s="23"/>
      <c r="L2582" s="49" t="s">
        <v>611</v>
      </c>
    </row>
    <row r="2583" customFormat="false" ht="15" hidden="true" customHeight="false" outlineLevel="1" collapsed="false">
      <c r="A2583" s="20" t="n">
        <v>59</v>
      </c>
      <c r="B2583" s="6" t="s">
        <v>613</v>
      </c>
      <c r="C2583" s="20" t="s">
        <v>76</v>
      </c>
      <c r="D2583" s="23"/>
      <c r="E2583" s="38" t="n">
        <f aca="false">0</f>
        <v>0</v>
      </c>
      <c r="F2583" s="38" t="n">
        <f aca="false">F2581+F2582</f>
        <v>1</v>
      </c>
      <c r="G2583" s="38" t="n">
        <f aca="false">G2581+G2582</f>
        <v>2</v>
      </c>
      <c r="H2583" s="38" t="n">
        <f aca="false">H2581+H2582</f>
        <v>5</v>
      </c>
      <c r="I2583" s="38" t="n">
        <f aca="false">I2581+I2582</f>
        <v>7</v>
      </c>
      <c r="J2583" s="38" t="n">
        <f aca="false">J2581+J2582</f>
        <v>11</v>
      </c>
      <c r="K2583" s="23"/>
      <c r="L2583" s="49" t="s">
        <v>614</v>
      </c>
    </row>
    <row r="2584" customFormat="false" ht="15" hidden="true" customHeight="false" outlineLevel="1" collapsed="false">
      <c r="A2584" s="20" t="n">
        <v>60</v>
      </c>
      <c r="B2584" s="6" t="s">
        <v>615</v>
      </c>
      <c r="C2584" s="20" t="s">
        <v>76</v>
      </c>
      <c r="D2584" s="23"/>
      <c r="E2584" s="23"/>
      <c r="F2584" s="38" t="n">
        <f aca="false">F2580+F2565</f>
        <v>1</v>
      </c>
      <c r="G2584" s="38" t="n">
        <f aca="false">G2580+G2565</f>
        <v>1</v>
      </c>
      <c r="H2584" s="38" t="n">
        <f aca="false">H2580+H2565</f>
        <v>3</v>
      </c>
      <c r="I2584" s="38" t="n">
        <f aca="false">I2580+I2565</f>
        <v>2</v>
      </c>
      <c r="J2584" s="38" t="n">
        <f aca="false">J2580+J2565</f>
        <v>4</v>
      </c>
      <c r="K2584" s="54" t="n">
        <f aca="false">SUM(F2584:J2584)</f>
        <v>11</v>
      </c>
      <c r="L2584" s="49"/>
    </row>
    <row r="2585" customFormat="false" ht="15" hidden="true" customHeight="false" outlineLevel="1" collapsed="false">
      <c r="A2585" s="19" t="s">
        <v>616</v>
      </c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</row>
    <row r="2586" customFormat="false" ht="15" hidden="true" customHeight="false" outlineLevel="1" collapsed="false">
      <c r="A2586" s="20" t="n">
        <v>61</v>
      </c>
      <c r="B2586" s="6" t="s">
        <v>617</v>
      </c>
      <c r="C2586" s="20" t="s">
        <v>71</v>
      </c>
      <c r="D2586" s="23"/>
      <c r="E2586" s="23"/>
      <c r="F2586" s="40" t="n">
        <f aca="false">IF(F$2573&gt;$D$2523,($D$2525+$D$2524*$D$2526)*(1+$D$2531)^(F$2573-$D$2523-1)*F2574,0)</f>
        <v>0</v>
      </c>
      <c r="G2586" s="40" t="n">
        <f aca="false">IF(G$2573&gt;$D$2523,($D$2525+$D$2524*$D$2526)*(1+$D$2531)^(G$2573-$D$2523-1)*G2574,0)</f>
        <v>15.75</v>
      </c>
      <c r="H2586" s="40" t="n">
        <f aca="false">IF(H$2573&gt;$D$2523,($D$2525+$D$2524*$D$2526)*(1+$D$2531)^(H$2573-$D$2523-1)*H2574,0)</f>
        <v>19.018125</v>
      </c>
      <c r="I2586" s="40" t="n">
        <f aca="false">IF(I$2573&gt;$D$2523,($D$2525+$D$2524*$D$2526)*(1+$D$2531)^(I$2573-$D$2523-1)*I2574,0)</f>
        <v>22.9643859375</v>
      </c>
      <c r="J2586" s="40" t="n">
        <f aca="false">IF(J$2573&gt;$D$2523,($D$2525+$D$2524*$D$2526)*(1+$D$2531)^(J$2573-$D$2523-1)*J2574,0)</f>
        <v>27.7294960195313</v>
      </c>
      <c r="K2586" s="51" t="n">
        <f aca="false">SUM(F2586:J2586)</f>
        <v>85.4620069570313</v>
      </c>
      <c r="L2586" s="49" t="s">
        <v>618</v>
      </c>
    </row>
    <row r="2587" customFormat="false" ht="15" hidden="true" customHeight="false" outlineLevel="1" collapsed="false">
      <c r="A2587" s="20" t="n">
        <v>62</v>
      </c>
      <c r="B2587" s="6" t="s">
        <v>619</v>
      </c>
      <c r="C2587" s="20" t="s">
        <v>71</v>
      </c>
      <c r="D2587" s="23"/>
      <c r="E2587" s="23"/>
      <c r="F2587" s="40" t="n">
        <f aca="false">($D$2525+$D$2556*$D$2526)*F2574*SUMPRODUCT($E$2564:E$2564,(1+$D$2531)^(F$2573-$E$2573:E$2573-1))</f>
        <v>0</v>
      </c>
      <c r="G2587" s="40" t="n">
        <f aca="false">($D$2525+$D$2556*$D$2526)*G2574*SUMPRODUCT($E$2564:F$2564,(1+$D$2531)^(G$2573-$E$2573:F$2573-1))</f>
        <v>0</v>
      </c>
      <c r="H2587" s="40" t="n">
        <f aca="false">($D$2525+$D$2556*$D$2526)*H2574*SUMPRODUCT($E$2564:G$2564,(1+$D$2531)^(H$2573-$E$2573:G$2573-1))</f>
        <v>0</v>
      </c>
      <c r="I2587" s="40" t="n">
        <f aca="false">($D$2525+$D$2556*$D$2526)*I2574*SUMPRODUCT($E$2564:H$2564,(1+$D$2531)^(I$2573-$E$2573:H$2573-1))</f>
        <v>9.78719318181818</v>
      </c>
      <c r="J2587" s="40" t="n">
        <f aca="false">($D$2525+$D$2556*$D$2526)*J2574*SUMPRODUCT($E$2564:I$2564,(1+$D$2531)^(J$2573-$E$2573:I$2573-1))</f>
        <v>11.8180357670455</v>
      </c>
      <c r="K2587" s="51" t="n">
        <f aca="false">SUM(F2587:J2587)</f>
        <v>21.6052289488636</v>
      </c>
      <c r="L2587" s="49" t="s">
        <v>620</v>
      </c>
    </row>
    <row r="2588" customFormat="false" ht="15" hidden="true" customHeight="false" outlineLevel="1" collapsed="false">
      <c r="A2588" s="20" t="n">
        <v>63</v>
      </c>
      <c r="B2588" s="6" t="s">
        <v>621</v>
      </c>
      <c r="C2588" s="20" t="s">
        <v>71</v>
      </c>
      <c r="D2588" s="23"/>
      <c r="E2588" s="23"/>
      <c r="F2588" s="40" t="n">
        <f aca="false">($D$2527+$D$2557*$D$2526)*F2574*SUMPRODUCT($E$2565:E$2565,(1+$D$2531)^(F$2573-$E$2573:E$2573-1))</f>
        <v>0</v>
      </c>
      <c r="G2588" s="40" t="n">
        <f aca="false">($D$2527+$D$2557*$D$2526)*G2574*SUMPRODUCT($E$2565:F$2565,(1+$D$2531)^(G$2573-$E$2573:F$2573-1))</f>
        <v>0</v>
      </c>
      <c r="H2588" s="40" t="n">
        <f aca="false">($D$2527+$D$2557*$D$2526)*H2574*SUMPRODUCT($E$2565:G$2565,(1+$D$2531)^(H$2573-$E$2573:G$2573-1))</f>
        <v>1.8087890625</v>
      </c>
      <c r="I2588" s="40" t="n">
        <f aca="false">($D$2527+$D$2557*$D$2526)*I2574*SUMPRODUCT($E$2565:H$2565,(1+$D$2531)^(I$2573-$E$2573:H$2573-1))</f>
        <v>5.98256982421875</v>
      </c>
      <c r="J2588" s="40" t="n">
        <f aca="false">($D$2527+$D$2557*$D$2526)*J2574*SUMPRODUCT($E$2565:I$2565,(1+$D$2531)^(J$2573-$E$2573:I$2573-1))</f>
        <v>11.2123329455566</v>
      </c>
      <c r="K2588" s="51" t="n">
        <f aca="false">SUM(F2588:J2588)</f>
        <v>19.0036918322754</v>
      </c>
      <c r="L2588" s="49" t="s">
        <v>622</v>
      </c>
    </row>
    <row r="2589" customFormat="false" ht="15" hidden="true" customHeight="false" outlineLevel="1" collapsed="false">
      <c r="A2589" s="20" t="n">
        <v>64</v>
      </c>
      <c r="B2589" s="6" t="s">
        <v>623</v>
      </c>
      <c r="C2589" s="20" t="s">
        <v>71</v>
      </c>
      <c r="D2589" s="23"/>
      <c r="E2589" s="23"/>
      <c r="F2589" s="40" t="n">
        <f aca="false">(F2580*$D$2528+F2565*$D$2529)*F2574</f>
        <v>8</v>
      </c>
      <c r="G2589" s="40" t="n">
        <f aca="false">(G2580*$D$2528+G2565*$D$2529)*G2574</f>
        <v>2.1</v>
      </c>
      <c r="H2589" s="40" t="n">
        <f aca="false">(H2580*$D$2528+H2565*$D$2529)*H2574</f>
        <v>13.23</v>
      </c>
      <c r="I2589" s="40" t="n">
        <f aca="false">(I2580*$D$2528+I2565*$D$2529)*I2574</f>
        <v>4.6305</v>
      </c>
      <c r="J2589" s="40" t="n">
        <f aca="false">(J2580*$D$2528+J2565*$D$2529)*J2574</f>
        <v>17.0170875</v>
      </c>
      <c r="K2589" s="51" t="n">
        <f aca="false">SUM(F2589:J2589)</f>
        <v>44.9775875</v>
      </c>
      <c r="L2589" s="49" t="s">
        <v>624</v>
      </c>
    </row>
    <row r="2590" customFormat="false" ht="15" hidden="true" customHeight="false" outlineLevel="1" collapsed="false">
      <c r="A2590" s="20" t="n">
        <v>65</v>
      </c>
      <c r="B2590" s="6" t="s">
        <v>625</v>
      </c>
      <c r="C2590" s="20" t="s">
        <v>71</v>
      </c>
      <c r="D2590" s="23"/>
      <c r="E2590" s="23"/>
      <c r="F2590" s="40" t="n">
        <f aca="false">F2586+F2587+F2588</f>
        <v>0</v>
      </c>
      <c r="G2590" s="40" t="n">
        <f aca="false">G2586+G2587+G2588</f>
        <v>15.75</v>
      </c>
      <c r="H2590" s="40" t="n">
        <f aca="false">H2586+H2587+H2588</f>
        <v>20.8269140625</v>
      </c>
      <c r="I2590" s="40" t="n">
        <f aca="false">I2586+I2587+I2588</f>
        <v>38.7341489435369</v>
      </c>
      <c r="J2590" s="40" t="n">
        <f aca="false">J2586+J2587+J2588</f>
        <v>50.7598647321333</v>
      </c>
      <c r="K2590" s="51" t="n">
        <f aca="false">SUM(F2590:J2590)</f>
        <v>126.07092773817</v>
      </c>
      <c r="L2590" s="49"/>
    </row>
    <row r="2591" customFormat="false" ht="15" hidden="true" customHeight="false" outlineLevel="1" collapsed="false">
      <c r="A2591" s="20" t="n">
        <v>66</v>
      </c>
      <c r="B2591" s="6" t="s">
        <v>91</v>
      </c>
      <c r="C2591" s="20" t="s">
        <v>71</v>
      </c>
      <c r="D2591" s="23"/>
      <c r="E2591" s="23"/>
      <c r="F2591" s="40" t="n">
        <f aca="false">F2590+F2589</f>
        <v>8</v>
      </c>
      <c r="G2591" s="40" t="n">
        <f aca="false">G2590+G2589</f>
        <v>17.85</v>
      </c>
      <c r="H2591" s="40" t="n">
        <f aca="false">H2590+H2589</f>
        <v>34.0569140625</v>
      </c>
      <c r="I2591" s="40" t="n">
        <f aca="false">I2590+I2589</f>
        <v>43.3646489435369</v>
      </c>
      <c r="J2591" s="40" t="n">
        <f aca="false">J2590+J2589</f>
        <v>67.7769522321333</v>
      </c>
      <c r="K2591" s="51" t="n">
        <f aca="false">SUM(F2591:J2591)</f>
        <v>171.04851523817</v>
      </c>
      <c r="L2591" s="49" t="s">
        <v>626</v>
      </c>
    </row>
    <row r="2592" customFormat="false" ht="15" hidden="true" customHeight="false" outlineLevel="1" collapsed="false">
      <c r="A2592" s="20" t="n">
        <v>67</v>
      </c>
      <c r="B2592" s="6" t="s">
        <v>627</v>
      </c>
      <c r="C2592" s="20" t="s">
        <v>55</v>
      </c>
      <c r="D2592" s="23"/>
      <c r="E2592" s="23"/>
      <c r="F2592" s="40" t="n">
        <f aca="false">IF(F$2573&gt;=$D$2523,($D$2525+$D$2524*$D$2526)*(1+$D$2531)^(F$2573-$D$2523)*F2574,0)+($D$2525+$D$2556*$D$2526)*F2574*SUMPRODUCT($E$2564:F$2564,(1+$D$2531)^(F$2573-$E$2573:F$2573))+($D$2527+$D$2557*$D$2526)*F2574*SUMPRODUCT($E$2565:F$2565,(1+$D$2531)^(F$2573-$E$2573:F$2573))</f>
        <v>15</v>
      </c>
      <c r="G2592" s="40" t="n">
        <f aca="false">IF(G$2573&gt;=$D$2523,($D$2525+$D$2524*$D$2526)*(1+$D$2531)^(G$2573-$D$2523)*G2574,0)+($D$2525+$D$2556*$D$2526)*G2574*SUMPRODUCT($E$2564:G$2564,(1+$D$2531)^(G$2573-$E$2573:G$2573))+($D$2527+$D$2557*$D$2526)*G2574*SUMPRODUCT($E$2565:G$2565,(1+$D$2531)^(G$2573-$E$2573:G$2573))</f>
        <v>19.83515625</v>
      </c>
      <c r="H2592" s="40" t="n">
        <f aca="false">IF(H$2573&gt;=$D$2523,($D$2525+$D$2524*$D$2526)*(1+$D$2531)^(H$2573-$D$2523)*H2574,0)+($D$2525+$D$2556*$D$2526)*H2574*SUMPRODUCT($E$2564:H$2564,(1+$D$2531)^(H$2573-$E$2573:H$2573))+($D$2527+$D$2557*$D$2526)*H2574*SUMPRODUCT($E$2565:H$2565,(1+$D$2531)^(H$2573-$E$2573:H$2573))</f>
        <v>36.8896656605114</v>
      </c>
      <c r="I2592" s="40" t="n">
        <f aca="false">IF(I$2573&gt;=$D$2523,($D$2525+$D$2524*$D$2526)*(1+$D$2531)^(I$2573-$D$2523)*I2574,0)+($D$2525+$D$2556*$D$2526)*I2574*SUMPRODUCT($E$2564:I$2564,(1+$D$2531)^(I$2573-$E$2573:I$2573))+($D$2527+$D$2557*$D$2526)*I2574*SUMPRODUCT($E$2565:I$2565,(1+$D$2531)^(I$2573-$E$2573:I$2573))</f>
        <v>48.3427283163175</v>
      </c>
      <c r="J2592" s="40" t="n">
        <f aca="false">IF(J$2573&gt;=$D$2523,($D$2525+$D$2524*$D$2526)*(1+$D$2531)^(J$2573-$D$2523)*J2574,0)+($D$2525+$D$2556*$D$2526)*J2574*SUMPRODUCT($E$2564:J$2564,(1+$D$2531)^(J$2573-$E$2573:J$2573))+($D$2527+$D$2557*$D$2526)*J2574*SUMPRODUCT($E$2565:J$2565,(1+$D$2531)^(J$2573-$E$2573:J$2573))</f>
        <v>74.6329671070812</v>
      </c>
      <c r="K2592" s="23"/>
      <c r="L2592" s="49" t="s">
        <v>628</v>
      </c>
    </row>
    <row r="2593" customFormat="false" ht="15" hidden="true" customHeight="false" outlineLevel="1" collapsed="false">
      <c r="A2593" s="19" t="s">
        <v>629</v>
      </c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</row>
    <row r="2594" customFormat="false" ht="15" hidden="true" customHeight="false" outlineLevel="1" collapsed="false">
      <c r="A2594" s="20" t="n">
        <v>68</v>
      </c>
      <c r="B2594" s="6" t="s">
        <v>630</v>
      </c>
      <c r="C2594" s="20" t="s">
        <v>53</v>
      </c>
      <c r="D2594" s="23"/>
      <c r="E2594" s="40" t="n">
        <f aca="false">E2566+E2567+E2568+E2569+E2570+E2571</f>
        <v>2</v>
      </c>
      <c r="F2594" s="40" t="n">
        <f aca="false">F2566+F2567+F2568+F2569+F2570+F2571</f>
        <v>4</v>
      </c>
      <c r="G2594" s="40" t="n">
        <f aca="false">G2566+G2567+G2568+G2569+G2570+G2571</f>
        <v>5</v>
      </c>
      <c r="H2594" s="40" t="n">
        <f aca="false">H2566+H2567+H2568+H2569+H2570+H2571</f>
        <v>6</v>
      </c>
      <c r="I2594" s="40" t="n">
        <f aca="false">I2566+I2567+I2568+I2569+I2570+I2571</f>
        <v>7</v>
      </c>
      <c r="J2594" s="40" t="n">
        <f aca="false">J2566+J2567+J2568+J2569+J2570+J2571</f>
        <v>8</v>
      </c>
      <c r="K2594" s="23"/>
      <c r="L2594" s="49" t="s">
        <v>631</v>
      </c>
    </row>
    <row r="2595" customFormat="false" ht="15" hidden="true" customHeight="false" outlineLevel="1" collapsed="false">
      <c r="A2595" s="20" t="n">
        <v>69</v>
      </c>
      <c r="B2595" s="6" t="s">
        <v>632</v>
      </c>
      <c r="C2595" s="20" t="s">
        <v>53</v>
      </c>
      <c r="D2595" s="23"/>
      <c r="E2595" s="23"/>
      <c r="F2595" s="40" t="n">
        <f aca="false">MAX(0,F2594-E2594)</f>
        <v>2</v>
      </c>
      <c r="G2595" s="40" t="n">
        <f aca="false">MAX(0,G2594-F2594)</f>
        <v>1</v>
      </c>
      <c r="H2595" s="40" t="n">
        <f aca="false">MAX(0,H2594-G2594)</f>
        <v>1</v>
      </c>
      <c r="I2595" s="40" t="n">
        <f aca="false">MAX(0,I2594-H2594)</f>
        <v>1</v>
      </c>
      <c r="J2595" s="40" t="n">
        <f aca="false">MAX(0,J2594-I2594)</f>
        <v>1</v>
      </c>
      <c r="K2595" s="23"/>
      <c r="L2595" s="49" t="s">
        <v>633</v>
      </c>
    </row>
    <row r="2596" customFormat="false" ht="15" hidden="true" customHeight="false" outlineLevel="1" collapsed="false">
      <c r="A2596" s="20" t="n">
        <v>70</v>
      </c>
      <c r="B2596" s="6" t="s">
        <v>634</v>
      </c>
      <c r="C2596" s="20" t="s">
        <v>71</v>
      </c>
      <c r="D2596" s="23"/>
      <c r="E2596" s="23"/>
      <c r="F2596" s="41" t="n">
        <f aca="false">$D$2558*12/1000*F2576</f>
        <v>2.4</v>
      </c>
      <c r="G2596" s="41" t="n">
        <f aca="false">$D$2558*12/1000*G2576</f>
        <v>2.568</v>
      </c>
      <c r="H2596" s="41" t="n">
        <f aca="false">$D$2558*12/1000*H2576</f>
        <v>2.74776</v>
      </c>
      <c r="I2596" s="41" t="n">
        <f aca="false">$D$2558*12/1000*I2576</f>
        <v>2.9401032</v>
      </c>
      <c r="J2596" s="41" t="n">
        <f aca="false">$D$2558*12/1000*J2576</f>
        <v>3.145910424</v>
      </c>
      <c r="K2596" s="23"/>
      <c r="L2596" s="49" t="s">
        <v>635</v>
      </c>
    </row>
    <row r="2597" customFormat="false" ht="15" hidden="true" customHeight="false" outlineLevel="1" collapsed="false">
      <c r="A2597" s="20" t="n">
        <v>71</v>
      </c>
      <c r="B2597" s="6" t="s">
        <v>636</v>
      </c>
      <c r="C2597" s="20" t="s">
        <v>71</v>
      </c>
      <c r="D2597" s="23"/>
      <c r="E2597" s="23"/>
      <c r="F2597" s="41" t="n">
        <f aca="false">$D$2559*12/1000*F2576</f>
        <v>3.36</v>
      </c>
      <c r="G2597" s="41" t="n">
        <f aca="false">$D$2559*12/1000*G2576</f>
        <v>3.5952</v>
      </c>
      <c r="H2597" s="41" t="n">
        <f aca="false">$D$2559*12/1000*H2576</f>
        <v>3.846864</v>
      </c>
      <c r="I2597" s="41" t="n">
        <f aca="false">$D$2559*12/1000*I2576</f>
        <v>4.11614448</v>
      </c>
      <c r="J2597" s="41" t="n">
        <f aca="false">$D$2559*12/1000*J2576</f>
        <v>4.4042745936</v>
      </c>
      <c r="K2597" s="23"/>
      <c r="L2597" s="49" t="s">
        <v>635</v>
      </c>
    </row>
    <row r="2598" customFormat="false" ht="15" hidden="true" customHeight="false" outlineLevel="1" collapsed="false">
      <c r="A2598" s="20" t="n">
        <v>72</v>
      </c>
      <c r="B2598" s="6" t="s">
        <v>637</v>
      </c>
      <c r="C2598" s="20" t="s">
        <v>71</v>
      </c>
      <c r="D2598" s="23"/>
      <c r="E2598" s="23"/>
      <c r="F2598" s="41" t="n">
        <f aca="false">$D$2560*12/1000*F2576</f>
        <v>2.76</v>
      </c>
      <c r="G2598" s="41" t="n">
        <f aca="false">$D$2560*12/1000*G2576</f>
        <v>2.9532</v>
      </c>
      <c r="H2598" s="41" t="n">
        <f aca="false">$D$2560*12/1000*H2576</f>
        <v>3.159924</v>
      </c>
      <c r="I2598" s="41" t="n">
        <f aca="false">$D$2560*12/1000*I2576</f>
        <v>3.38111868</v>
      </c>
      <c r="J2598" s="41" t="n">
        <f aca="false">$D$2560*12/1000*J2576</f>
        <v>3.6177969876</v>
      </c>
      <c r="K2598" s="23"/>
      <c r="L2598" s="49" t="s">
        <v>635</v>
      </c>
    </row>
    <row r="2599" customFormat="false" ht="15" hidden="true" customHeight="false" outlineLevel="1" collapsed="false">
      <c r="A2599" s="20" t="n">
        <v>73</v>
      </c>
      <c r="B2599" s="6" t="s">
        <v>638</v>
      </c>
      <c r="C2599" s="20" t="s">
        <v>71</v>
      </c>
      <c r="D2599" s="23"/>
      <c r="E2599" s="23"/>
      <c r="F2599" s="41" t="n">
        <f aca="false">$D$2561*12/1000*F2576</f>
        <v>2.64</v>
      </c>
      <c r="G2599" s="41" t="n">
        <f aca="false">$D$2561*12/1000*G2576</f>
        <v>2.8248</v>
      </c>
      <c r="H2599" s="41" t="n">
        <f aca="false">$D$2561*12/1000*H2576</f>
        <v>3.022536</v>
      </c>
      <c r="I2599" s="41" t="n">
        <f aca="false">$D$2561*12/1000*I2576</f>
        <v>3.23411352</v>
      </c>
      <c r="J2599" s="41" t="n">
        <f aca="false">$D$2561*12/1000*J2576</f>
        <v>3.4605014664</v>
      </c>
      <c r="K2599" s="23"/>
      <c r="L2599" s="49" t="s">
        <v>635</v>
      </c>
    </row>
    <row r="2600" customFormat="false" ht="15" hidden="true" customHeight="false" outlineLevel="1" collapsed="false">
      <c r="A2600" s="20" t="n">
        <v>74</v>
      </c>
      <c r="B2600" s="6" t="s">
        <v>639</v>
      </c>
      <c r="C2600" s="20" t="s">
        <v>71</v>
      </c>
      <c r="D2600" s="23"/>
      <c r="E2600" s="23"/>
      <c r="F2600" s="41" t="n">
        <f aca="false">$D$2562*12/1000*F2576</f>
        <v>3</v>
      </c>
      <c r="G2600" s="41" t="n">
        <f aca="false">$D$2562*12/1000*G2576</f>
        <v>3.21</v>
      </c>
      <c r="H2600" s="41" t="n">
        <f aca="false">$D$2562*12/1000*H2576</f>
        <v>3.4347</v>
      </c>
      <c r="I2600" s="41" t="n">
        <f aca="false">$D$2562*12/1000*I2576</f>
        <v>3.675129</v>
      </c>
      <c r="J2600" s="41" t="n">
        <f aca="false">$D$2562*12/1000*J2576</f>
        <v>3.93238803</v>
      </c>
      <c r="K2600" s="23"/>
      <c r="L2600" s="49" t="s">
        <v>635</v>
      </c>
    </row>
    <row r="2601" customFormat="false" ht="15" hidden="true" customHeight="false" outlineLevel="1" collapsed="false">
      <c r="A2601" s="20" t="n">
        <v>75</v>
      </c>
      <c r="B2601" s="6" t="s">
        <v>640</v>
      </c>
      <c r="C2601" s="20" t="s">
        <v>71</v>
      </c>
      <c r="D2601" s="23"/>
      <c r="E2601" s="23"/>
      <c r="F2601" s="41" t="n">
        <f aca="false">$D$2563*12/1000*F2576</f>
        <v>2.64</v>
      </c>
      <c r="G2601" s="41" t="n">
        <f aca="false">$D$2563*12/1000*G2576</f>
        <v>2.8248</v>
      </c>
      <c r="H2601" s="41" t="n">
        <f aca="false">$D$2563*12/1000*H2576</f>
        <v>3.022536</v>
      </c>
      <c r="I2601" s="41" t="n">
        <f aca="false">$D$2563*12/1000*I2576</f>
        <v>3.23411352</v>
      </c>
      <c r="J2601" s="41" t="n">
        <f aca="false">$D$2563*12/1000*J2576</f>
        <v>3.4605014664</v>
      </c>
      <c r="K2601" s="23"/>
      <c r="L2601" s="49" t="s">
        <v>635</v>
      </c>
    </row>
    <row r="2602" customFormat="false" ht="15" hidden="true" customHeight="false" outlineLevel="1" collapsed="false">
      <c r="A2602" s="20" t="n">
        <v>76</v>
      </c>
      <c r="B2602" s="6" t="s">
        <v>641</v>
      </c>
      <c r="C2602" s="20" t="s">
        <v>71</v>
      </c>
      <c r="D2602" s="23"/>
      <c r="E2602" s="23"/>
      <c r="F2602" s="40" t="n">
        <f aca="false">F2566*F2596</f>
        <v>4.8</v>
      </c>
      <c r="G2602" s="40" t="n">
        <f aca="false">G2566*G2596</f>
        <v>5.136</v>
      </c>
      <c r="H2602" s="40" t="n">
        <f aca="false">H2566*H2596</f>
        <v>5.49552</v>
      </c>
      <c r="I2602" s="40" t="n">
        <f aca="false">I2566*I2596</f>
        <v>5.8802064</v>
      </c>
      <c r="J2602" s="40" t="n">
        <f aca="false">J2566*J2596</f>
        <v>6.291820848</v>
      </c>
      <c r="K2602" s="51" t="n">
        <f aca="false">SUM(F2602:J2602)</f>
        <v>27.603547248</v>
      </c>
      <c r="L2602" s="49" t="s">
        <v>642</v>
      </c>
    </row>
    <row r="2603" customFormat="false" ht="15" hidden="true" customHeight="false" outlineLevel="1" collapsed="false">
      <c r="A2603" s="20" t="n">
        <v>77</v>
      </c>
      <c r="B2603" s="6" t="s">
        <v>643</v>
      </c>
      <c r="C2603" s="20" t="s">
        <v>71</v>
      </c>
      <c r="D2603" s="23"/>
      <c r="E2603" s="23"/>
      <c r="F2603" s="40" t="n">
        <f aca="false">F2567*F2597</f>
        <v>3.36</v>
      </c>
      <c r="G2603" s="40" t="n">
        <f aca="false">G2567*G2597</f>
        <v>3.5952</v>
      </c>
      <c r="H2603" s="40" t="n">
        <f aca="false">H2567*H2597</f>
        <v>3.846864</v>
      </c>
      <c r="I2603" s="40" t="n">
        <f aca="false">I2567*I2597</f>
        <v>8.23228896</v>
      </c>
      <c r="J2603" s="40" t="n">
        <f aca="false">J2567*J2597</f>
        <v>8.8085491872</v>
      </c>
      <c r="K2603" s="51" t="n">
        <f aca="false">SUM(F2603:J2603)</f>
        <v>27.8429021472</v>
      </c>
      <c r="L2603" s="49" t="s">
        <v>642</v>
      </c>
    </row>
    <row r="2604" customFormat="false" ht="15" hidden="true" customHeight="false" outlineLevel="1" collapsed="false">
      <c r="A2604" s="20" t="n">
        <v>78</v>
      </c>
      <c r="B2604" s="6" t="s">
        <v>644</v>
      </c>
      <c r="C2604" s="20" t="s">
        <v>71</v>
      </c>
      <c r="D2604" s="23"/>
      <c r="E2604" s="23"/>
      <c r="F2604" s="40" t="n">
        <f aca="false">F2568*F2598</f>
        <v>2.76</v>
      </c>
      <c r="G2604" s="40" t="n">
        <f aca="false">G2568*G2598</f>
        <v>2.9532</v>
      </c>
      <c r="H2604" s="40" t="n">
        <f aca="false">H2568*H2598</f>
        <v>3.159924</v>
      </c>
      <c r="I2604" s="40" t="n">
        <f aca="false">I2568*I2598</f>
        <v>3.38111868</v>
      </c>
      <c r="J2604" s="40" t="n">
        <f aca="false">J2568*J2598</f>
        <v>3.6177969876</v>
      </c>
      <c r="K2604" s="51" t="n">
        <f aca="false">SUM(F2604:J2604)</f>
        <v>15.8720396676</v>
      </c>
      <c r="L2604" s="49" t="s">
        <v>642</v>
      </c>
    </row>
    <row r="2605" customFormat="false" ht="15" hidden="true" customHeight="false" outlineLevel="1" collapsed="false">
      <c r="A2605" s="20" t="n">
        <v>79</v>
      </c>
      <c r="B2605" s="6" t="s">
        <v>645</v>
      </c>
      <c r="C2605" s="20" t="s">
        <v>71</v>
      </c>
      <c r="D2605" s="23"/>
      <c r="E2605" s="23"/>
      <c r="F2605" s="40" t="n">
        <f aca="false">F2569*F2599</f>
        <v>0</v>
      </c>
      <c r="G2605" s="40" t="n">
        <f aca="false">G2569*G2599</f>
        <v>2.8248</v>
      </c>
      <c r="H2605" s="40" t="n">
        <f aca="false">H2569*H2599</f>
        <v>3.022536</v>
      </c>
      <c r="I2605" s="40" t="n">
        <f aca="false">I2569*I2599</f>
        <v>3.23411352</v>
      </c>
      <c r="J2605" s="40" t="n">
        <f aca="false">J2569*J2599</f>
        <v>3.4605014664</v>
      </c>
      <c r="K2605" s="51" t="n">
        <f aca="false">SUM(F2605:J2605)</f>
        <v>12.5419509864</v>
      </c>
      <c r="L2605" s="49" t="s">
        <v>642</v>
      </c>
    </row>
    <row r="2606" customFormat="false" ht="15" hidden="true" customHeight="false" outlineLevel="1" collapsed="false">
      <c r="A2606" s="20" t="n">
        <v>80</v>
      </c>
      <c r="B2606" s="6" t="s">
        <v>646</v>
      </c>
      <c r="C2606" s="20" t="s">
        <v>71</v>
      </c>
      <c r="D2606" s="23"/>
      <c r="E2606" s="23"/>
      <c r="F2606" s="40" t="n">
        <f aca="false">F2570*F2600</f>
        <v>0</v>
      </c>
      <c r="G2606" s="40" t="n">
        <f aca="false">G2570*G2600</f>
        <v>0</v>
      </c>
      <c r="H2606" s="40" t="n">
        <f aca="false">H2570*H2600</f>
        <v>3.4347</v>
      </c>
      <c r="I2606" s="40" t="n">
        <f aca="false">I2570*I2600</f>
        <v>3.675129</v>
      </c>
      <c r="J2606" s="40" t="n">
        <f aca="false">J2570*J2600</f>
        <v>3.93238803</v>
      </c>
      <c r="K2606" s="51" t="n">
        <f aca="false">SUM(F2606:J2606)</f>
        <v>11.04221703</v>
      </c>
      <c r="L2606" s="49" t="s">
        <v>642</v>
      </c>
    </row>
    <row r="2607" customFormat="false" ht="15" hidden="true" customHeight="false" outlineLevel="1" collapsed="false">
      <c r="A2607" s="20" t="n">
        <v>81</v>
      </c>
      <c r="B2607" s="6" t="s">
        <v>647</v>
      </c>
      <c r="C2607" s="20" t="s">
        <v>71</v>
      </c>
      <c r="D2607" s="23"/>
      <c r="E2607" s="23"/>
      <c r="F2607" s="40" t="n">
        <f aca="false">F2571*F2601</f>
        <v>0</v>
      </c>
      <c r="G2607" s="40" t="n">
        <f aca="false">G2571*G2601</f>
        <v>0</v>
      </c>
      <c r="H2607" s="40" t="n">
        <f aca="false">H2571*H2601</f>
        <v>0</v>
      </c>
      <c r="I2607" s="40" t="n">
        <f aca="false">I2571*I2601</f>
        <v>0</v>
      </c>
      <c r="J2607" s="40" t="n">
        <f aca="false">J2571*J2601</f>
        <v>3.4605014664</v>
      </c>
      <c r="K2607" s="51" t="n">
        <f aca="false">SUM(F2607:J2607)</f>
        <v>3.4605014664</v>
      </c>
      <c r="L2607" s="49" t="s">
        <v>642</v>
      </c>
    </row>
    <row r="2608" customFormat="false" ht="15" hidden="true" customHeight="false" outlineLevel="1" collapsed="false">
      <c r="A2608" s="20" t="n">
        <v>82</v>
      </c>
      <c r="B2608" s="6" t="s">
        <v>648</v>
      </c>
      <c r="C2608" s="20" t="s">
        <v>71</v>
      </c>
      <c r="D2608" s="23"/>
      <c r="E2608" s="23"/>
      <c r="F2608" s="40" t="n">
        <f aca="false">F2602+F2603+F2604+F2605+F2606+F2607</f>
        <v>10.92</v>
      </c>
      <c r="G2608" s="40" t="n">
        <f aca="false">G2602+G2603+G2604+G2605+G2606+G2607</f>
        <v>14.5092</v>
      </c>
      <c r="H2608" s="40" t="n">
        <f aca="false">H2602+H2603+H2604+H2605+H2606+H2607</f>
        <v>18.959544</v>
      </c>
      <c r="I2608" s="40" t="n">
        <f aca="false">I2602+I2603+I2604+I2605+I2606+I2607</f>
        <v>24.40285656</v>
      </c>
      <c r="J2608" s="40" t="n">
        <f aca="false">J2602+J2603+J2604+J2605+J2606+J2607</f>
        <v>29.5715579856</v>
      </c>
      <c r="K2608" s="51" t="n">
        <f aca="false">SUM(F2608:J2608)</f>
        <v>98.3631585456</v>
      </c>
      <c r="L2608" s="49"/>
    </row>
    <row r="2609" customFormat="false" ht="15" hidden="true" customHeight="false" outlineLevel="1" collapsed="false">
      <c r="A2609" s="20" t="n">
        <v>83</v>
      </c>
      <c r="B2609" s="6" t="s">
        <v>649</v>
      </c>
      <c r="C2609" s="20" t="s">
        <v>71</v>
      </c>
      <c r="D2609" s="23"/>
      <c r="E2609" s="23"/>
      <c r="F2609" s="40" t="n">
        <f aca="false">F2566*(MIN(F2596,F2577)*$D$2533+MAX(0,F2596-F2577)*$D$2534+F2596*$D$2535)+F2567*(MIN(F2597,F2577)*$D$2533+MAX(0,F2597-F2577)*$D$2534+F2597*$D$2535)+F2568*(MIN(F2598,F2577)*$D$2533+MAX(0,F2598-F2577)*$D$2534+F2598*$D$2535)+F2569*(MIN(F2599,F2577)*$D$2533+MAX(0,F2599-F2577)*$D$2534+F2599*$D$2535)+F2570*(MIN(F2600,F2577)*$D$2533+MAX(0,F2600-F2577)*$D$2534+F2600*$D$2535)+F2571*(MIN(F2601,F2577)*$D$2533+MAX(0,F2601-F2577)*$D$2534+F2601*$D$2535)</f>
        <v>1.64928168</v>
      </c>
      <c r="G2609" s="40" t="n">
        <f aca="false">G2566*(MIN(G2596,G2577)*$D$2533+MAX(0,G2596-G2577)*$D$2534+G2596*$D$2535)+G2567*(MIN(G2597,G2577)*$D$2533+MAX(0,G2597-G2577)*$D$2534+G2597*$D$2535)+G2568*(MIN(G2598,G2577)*$D$2533+MAX(0,G2598-G2577)*$D$2534+G2598*$D$2535)+G2569*(MIN(G2599,G2577)*$D$2533+MAX(0,G2599-G2577)*$D$2534+G2599*$D$2535)+G2570*(MIN(G2600,G2577)*$D$2533+MAX(0,G2600-G2577)*$D$2534+G2600*$D$2535)+G2571*(MIN(G2601,G2577)*$D$2533+MAX(0,G2601-G2577)*$D$2534+G2601*$D$2535)</f>
        <v>2.1964818144</v>
      </c>
      <c r="H2609" s="40" t="n">
        <f aca="false">H2566*(MIN(H2596,H2577)*$D$2533+MAX(0,H2596-H2577)*$D$2534+H2596*$D$2535)+H2567*(MIN(H2597,H2577)*$D$2533+MAX(0,H2597-H2577)*$D$2534+H2597*$D$2535)+H2568*(MIN(H2598,H2577)*$D$2533+MAX(0,H2598-H2577)*$D$2534+H2598*$D$2535)+H2569*(MIN(H2599,H2577)*$D$2533+MAX(0,H2599-H2577)*$D$2534+H2599*$D$2535)+H2570*(MIN(H2600,H2577)*$D$2533+MAX(0,H2600-H2577)*$D$2534+H2600*$D$2535)+H2571*(MIN(H2601,H2577)*$D$2533+MAX(0,H2601-H2577)*$D$2534+H2601*$D$2535)</f>
        <v>2.874881223552</v>
      </c>
      <c r="I2609" s="40" t="n">
        <f aca="false">I2566*(MIN(I2596,I2577)*$D$2533+MAX(0,I2596-I2577)*$D$2534+I2596*$D$2535)+I2567*(MIN(I2597,I2577)*$D$2533+MAX(0,I2597-I2577)*$D$2534+I2597*$D$2535)+I2568*(MIN(I2598,I2577)*$D$2533+MAX(0,I2598-I2577)*$D$2534+I2598*$D$2535)+I2569*(MIN(I2599,I2577)*$D$2533+MAX(0,I2599-I2577)*$D$2534+I2599*$D$2535)+I2570*(MIN(I2600,I2577)*$D$2533+MAX(0,I2600-I2577)*$D$2534+I2600*$D$2535)+I2571*(MIN(I2601,I2577)*$D$2533+MAX(0,I2601-I2577)*$D$2534+I2601*$D$2535)</f>
        <v>3.69987351263232</v>
      </c>
      <c r="J2609" s="40" t="n">
        <f aca="false">J2566*(MIN(J2596,J2577)*$D$2533+MAX(0,J2596-J2577)*$D$2534+J2596*$D$2535)+J2567*(MIN(J2597,J2577)*$D$2533+MAX(0,J2597-J2577)*$D$2534+J2597*$D$2535)+J2568*(MIN(J2598,J2577)*$D$2533+MAX(0,J2598-J2577)*$D$2534+J2598*$D$2535)+J2569*(MIN(J2599,J2577)*$D$2533+MAX(0,J2599-J2577)*$D$2534+J2599*$D$2535)+J2570*(MIN(J2600,J2577)*$D$2533+MAX(0,J2600-J2577)*$D$2534+J2600*$D$2535)+J2571*(MIN(J2601,J2577)*$D$2533+MAX(0,J2601-J2577)*$D$2534+J2601*$D$2535)</f>
        <v>4.49085916839491</v>
      </c>
      <c r="K2609" s="51" t="n">
        <f aca="false">SUM(F2609:J2609)</f>
        <v>14.9113773989792</v>
      </c>
      <c r="L2609" s="49" t="s">
        <v>650</v>
      </c>
    </row>
    <row r="2610" customFormat="false" ht="15" hidden="true" customHeight="false" outlineLevel="1" collapsed="false">
      <c r="A2610" s="20" t="n">
        <v>84</v>
      </c>
      <c r="B2610" s="6" t="s">
        <v>651</v>
      </c>
      <c r="C2610" s="20"/>
      <c r="D2610" s="23"/>
      <c r="E2610" s="23"/>
      <c r="F2610" s="38" t="n">
        <f aca="false">IF(AND(F2583&gt;0,E2583=0),1,0)</f>
        <v>1</v>
      </c>
      <c r="G2610" s="38" t="n">
        <f aca="false">IF(AND(G2583&gt;0,F2583=0),1,0)</f>
        <v>0</v>
      </c>
      <c r="H2610" s="38" t="n">
        <f aca="false">IF(AND(H2583&gt;0,G2583=0),1,0)</f>
        <v>0</v>
      </c>
      <c r="I2610" s="38" t="n">
        <f aca="false">IF(AND(I2583&gt;0,H2583=0),1,0)</f>
        <v>0</v>
      </c>
      <c r="J2610" s="38" t="n">
        <f aca="false">IF(AND(J2583&gt;0,I2583=0),1,0)</f>
        <v>0</v>
      </c>
      <c r="K2610" s="23"/>
      <c r="L2610" s="49"/>
    </row>
    <row r="2611" customFormat="false" ht="15" hidden="true" customHeight="false" outlineLevel="1" collapsed="false">
      <c r="A2611" s="20" t="n">
        <v>85</v>
      </c>
      <c r="B2611" s="6" t="s">
        <v>652</v>
      </c>
      <c r="C2611" s="20" t="s">
        <v>71</v>
      </c>
      <c r="D2611" s="23"/>
      <c r="E2611" s="23"/>
      <c r="F2611" s="40" t="n">
        <f aca="false">(F2610*$D$2538+IF(E2583&gt;0,1,0)*$D$2539)*F2575</f>
        <v>2.5</v>
      </c>
      <c r="G2611" s="40" t="n">
        <f aca="false">(G2610*$D$2538+IF(F2583&gt;0,1,0)*$D$2539)*G2575</f>
        <v>1.05</v>
      </c>
      <c r="H2611" s="40" t="n">
        <f aca="false">(H2610*$D$2538+IF(G2583&gt;0,1,0)*$D$2539)*H2575</f>
        <v>1.1025</v>
      </c>
      <c r="I2611" s="40" t="n">
        <f aca="false">(I2610*$D$2538+IF(H2583&gt;0,1,0)*$D$2539)*I2575</f>
        <v>1.157625</v>
      </c>
      <c r="J2611" s="40" t="n">
        <f aca="false">(J2610*$D$2538+IF(I2583&gt;0,1,0)*$D$2539)*J2575</f>
        <v>1.21550625</v>
      </c>
      <c r="K2611" s="51" t="n">
        <f aca="false">SUM(F2611:J2611)</f>
        <v>7.02563125</v>
      </c>
      <c r="L2611" s="49" t="s">
        <v>653</v>
      </c>
    </row>
    <row r="2612" customFormat="false" ht="15" hidden="true" customHeight="false" outlineLevel="1" collapsed="false">
      <c r="A2612" s="20" t="n">
        <v>86</v>
      </c>
      <c r="B2612" s="6" t="s">
        <v>302</v>
      </c>
      <c r="C2612" s="20" t="s">
        <v>71</v>
      </c>
      <c r="D2612" s="23"/>
      <c r="E2612" s="23"/>
      <c r="F2612" s="40" t="n">
        <f aca="false">$D$2540*F2575</f>
        <v>0.6</v>
      </c>
      <c r="G2612" s="40" t="n">
        <f aca="false">$D$2540*G2575</f>
        <v>0.63</v>
      </c>
      <c r="H2612" s="40" t="n">
        <f aca="false">$D$2540*H2575</f>
        <v>0.6615</v>
      </c>
      <c r="I2612" s="40" t="n">
        <f aca="false">$D$2540*I2575</f>
        <v>0.694575</v>
      </c>
      <c r="J2612" s="40" t="n">
        <f aca="false">$D$2540*J2575</f>
        <v>0.72930375</v>
      </c>
      <c r="K2612" s="51" t="n">
        <f aca="false">SUM(F2612:J2612)</f>
        <v>3.31537875</v>
      </c>
      <c r="L2612" s="49"/>
    </row>
    <row r="2613" customFormat="false" ht="15" hidden="true" customHeight="false" outlineLevel="1" collapsed="false">
      <c r="A2613" s="20" t="n">
        <v>87</v>
      </c>
      <c r="B2613" s="6" t="s">
        <v>654</v>
      </c>
      <c r="C2613" s="20" t="s">
        <v>71</v>
      </c>
      <c r="D2613" s="23"/>
      <c r="E2613" s="23"/>
      <c r="F2613" s="40" t="n">
        <f aca="false">$D$2541*F2594*F2575</f>
        <v>0.6</v>
      </c>
      <c r="G2613" s="40" t="n">
        <f aca="false">$D$2541*G2594*G2575</f>
        <v>0.7875</v>
      </c>
      <c r="H2613" s="40" t="n">
        <f aca="false">$D$2541*H2594*H2575</f>
        <v>0.99225</v>
      </c>
      <c r="I2613" s="40" t="n">
        <f aca="false">$D$2541*I2594*I2575</f>
        <v>1.21550625</v>
      </c>
      <c r="J2613" s="40" t="n">
        <f aca="false">$D$2541*J2594*J2575</f>
        <v>1.4586075</v>
      </c>
      <c r="K2613" s="51" t="n">
        <f aca="false">SUM(F2613:J2613)</f>
        <v>5.05386375</v>
      </c>
      <c r="L2613" s="49" t="s">
        <v>655</v>
      </c>
    </row>
    <row r="2614" customFormat="false" ht="15" hidden="true" customHeight="false" outlineLevel="1" collapsed="false">
      <c r="A2614" s="20" t="n">
        <v>88</v>
      </c>
      <c r="B2614" s="6" t="s">
        <v>656</v>
      </c>
      <c r="C2614" s="20" t="s">
        <v>71</v>
      </c>
      <c r="D2614" s="23"/>
      <c r="E2614" s="23"/>
      <c r="F2614" s="40" t="n">
        <f aca="false">($D$2542+$D$2543*F2584)*F2575</f>
        <v>1.4</v>
      </c>
      <c r="G2614" s="40" t="n">
        <f aca="false">($D$2542+$D$2543*G2584)*G2575</f>
        <v>1.47</v>
      </c>
      <c r="H2614" s="40" t="n">
        <f aca="false">($D$2542+$D$2543*H2584)*H2575</f>
        <v>2.4255</v>
      </c>
      <c r="I2614" s="40" t="n">
        <f aca="false">($D$2542+$D$2543*I2584)*I2575</f>
        <v>2.083725</v>
      </c>
      <c r="J2614" s="40" t="n">
        <f aca="false">($D$2542+$D$2543*J2584)*J2575</f>
        <v>3.16031625</v>
      </c>
      <c r="K2614" s="51" t="n">
        <f aca="false">SUM(F2614:J2614)</f>
        <v>10.53954125</v>
      </c>
      <c r="L2614" s="49" t="s">
        <v>657</v>
      </c>
    </row>
    <row r="2615" customFormat="false" ht="15" hidden="true" customHeight="false" outlineLevel="1" collapsed="false">
      <c r="A2615" s="20" t="n">
        <v>89</v>
      </c>
      <c r="B2615" s="6" t="s">
        <v>658</v>
      </c>
      <c r="C2615" s="20" t="s">
        <v>71</v>
      </c>
      <c r="D2615" s="23"/>
      <c r="E2615" s="23"/>
      <c r="F2615" s="40" t="n">
        <f aca="false">($D$2544+$D$2545*F2594)*F2575</f>
        <v>1.6</v>
      </c>
      <c r="G2615" s="40" t="n">
        <f aca="false">($D$2544+$D$2545*G2594)*G2575</f>
        <v>1.785</v>
      </c>
      <c r="H2615" s="40" t="n">
        <f aca="false">($D$2544+$D$2545*H2594)*H2575</f>
        <v>1.9845</v>
      </c>
      <c r="I2615" s="40" t="n">
        <f aca="false">($D$2544+$D$2545*I2594)*I2575</f>
        <v>2.1994875</v>
      </c>
      <c r="J2615" s="40" t="n">
        <f aca="false">($D$2544+$D$2545*J2594)*J2575</f>
        <v>2.4310125</v>
      </c>
      <c r="K2615" s="51" t="n">
        <f aca="false">SUM(F2615:J2615)</f>
        <v>10</v>
      </c>
      <c r="L2615" s="49" t="s">
        <v>659</v>
      </c>
    </row>
    <row r="2616" customFormat="false" ht="15" hidden="true" customHeight="false" outlineLevel="1" collapsed="false">
      <c r="A2616" s="20" t="n">
        <v>90</v>
      </c>
      <c r="B2616" s="6" t="s">
        <v>660</v>
      </c>
      <c r="C2616" s="20" t="s">
        <v>71</v>
      </c>
      <c r="D2616" s="23"/>
      <c r="E2616" s="23"/>
      <c r="F2616" s="40" t="n">
        <f aca="false">$D$2546*F2595*F2575</f>
        <v>0.5</v>
      </c>
      <c r="G2616" s="40" t="n">
        <f aca="false">$D$2546*G2595*G2575</f>
        <v>0.2625</v>
      </c>
      <c r="H2616" s="40" t="n">
        <f aca="false">$D$2546*H2595*H2575</f>
        <v>0.275625</v>
      </c>
      <c r="I2616" s="40" t="n">
        <f aca="false">$D$2546*I2595*I2575</f>
        <v>0.28940625</v>
      </c>
      <c r="J2616" s="40" t="n">
        <f aca="false">$D$2546*J2595*J2575</f>
        <v>0.3038765625</v>
      </c>
      <c r="K2616" s="51" t="n">
        <f aca="false">SUM(F2616:J2616)</f>
        <v>1.6314078125</v>
      </c>
      <c r="L2616" s="49" t="s">
        <v>661</v>
      </c>
    </row>
    <row r="2617" customFormat="false" ht="15" hidden="true" customHeight="false" outlineLevel="1" collapsed="false">
      <c r="A2617" s="20" t="n">
        <v>91</v>
      </c>
      <c r="B2617" s="6" t="s">
        <v>570</v>
      </c>
      <c r="C2617" s="20" t="s">
        <v>71</v>
      </c>
      <c r="D2617" s="23"/>
      <c r="E2617" s="23"/>
      <c r="F2617" s="40" t="n">
        <f aca="false">IF(F$2573=$F$2573,$D$2547,0)</f>
        <v>0.3</v>
      </c>
      <c r="G2617" s="40" t="n">
        <f aca="false">IF(G$2573=$F$2573,$D$2547,0)</f>
        <v>0</v>
      </c>
      <c r="H2617" s="40" t="n">
        <f aca="false">IF(H$2573=$F$2573,$D$2547,0)</f>
        <v>0</v>
      </c>
      <c r="I2617" s="40" t="n">
        <f aca="false">IF(I$2573=$F$2573,$D$2547,0)</f>
        <v>0</v>
      </c>
      <c r="J2617" s="40" t="n">
        <f aca="false">IF(J$2573=$F$2573,$D$2547,0)</f>
        <v>0</v>
      </c>
      <c r="K2617" s="51" t="n">
        <f aca="false">SUM(F2617:J2617)</f>
        <v>0.3</v>
      </c>
      <c r="L2617" s="49" t="s">
        <v>662</v>
      </c>
    </row>
    <row r="2618" customFormat="false" ht="15" hidden="true" customHeight="false" outlineLevel="1" collapsed="false">
      <c r="A2618" s="20" t="n">
        <v>92</v>
      </c>
      <c r="B2618" s="6" t="s">
        <v>663</v>
      </c>
      <c r="C2618" s="20" t="s">
        <v>71</v>
      </c>
      <c r="D2618" s="23"/>
      <c r="E2618" s="23"/>
      <c r="F2618" s="40" t="n">
        <f aca="false">F2608+F2609+F2611+F2612+F2613+F2614+F2615+F2616+F2617</f>
        <v>20.06928168</v>
      </c>
      <c r="G2618" s="40" t="n">
        <f aca="false">G2608+G2609+G2611+G2612+G2613+G2614+G2615+G2616+G2617</f>
        <v>22.6906818144</v>
      </c>
      <c r="H2618" s="40" t="n">
        <f aca="false">H2608+H2609+H2611+H2612+H2613+H2614+H2615+H2616+H2617</f>
        <v>29.276300223552</v>
      </c>
      <c r="I2618" s="40" t="n">
        <f aca="false">I2608+I2609+I2611+I2612+I2613+I2614+I2615+I2616+I2617</f>
        <v>35.7430550726323</v>
      </c>
      <c r="J2618" s="40" t="n">
        <f aca="false">J2608+J2609+J2611+J2612+J2613+J2614+J2615+J2616+J2617</f>
        <v>43.3610399664949</v>
      </c>
      <c r="K2618" s="51" t="n">
        <f aca="false">SUM(F2618:J2618)</f>
        <v>151.140358757079</v>
      </c>
      <c r="L2618" s="49"/>
    </row>
    <row r="2619" customFormat="false" ht="15" hidden="true" customHeight="false" outlineLevel="1" collapsed="false">
      <c r="A2619" s="20" t="n">
        <v>93</v>
      </c>
      <c r="B2619" s="6" t="s">
        <v>329</v>
      </c>
      <c r="C2619" s="20" t="s">
        <v>71</v>
      </c>
      <c r="D2619" s="23"/>
      <c r="E2619" s="23"/>
      <c r="F2619" s="40" t="n">
        <f aca="false">F2618*$D$2549</f>
        <v>2.006928168</v>
      </c>
      <c r="G2619" s="40" t="n">
        <f aca="false">G2618*$D$2549</f>
        <v>2.26906818144</v>
      </c>
      <c r="H2619" s="40" t="n">
        <f aca="false">H2618*$D$2549</f>
        <v>2.9276300223552</v>
      </c>
      <c r="I2619" s="40" t="n">
        <f aca="false">I2618*$D$2549</f>
        <v>3.57430550726323</v>
      </c>
      <c r="J2619" s="40" t="n">
        <f aca="false">J2618*$D$2549</f>
        <v>4.33610399664949</v>
      </c>
      <c r="K2619" s="51" t="n">
        <f aca="false">SUM(F2619:J2619)</f>
        <v>15.1140358757079</v>
      </c>
      <c r="L2619" s="49"/>
    </row>
    <row r="2620" customFormat="false" ht="15" hidden="true" customHeight="false" outlineLevel="1" collapsed="false">
      <c r="A2620" s="20" t="n">
        <v>94</v>
      </c>
      <c r="B2620" s="6" t="s">
        <v>664</v>
      </c>
      <c r="C2620" s="20" t="s">
        <v>71</v>
      </c>
      <c r="D2620" s="23"/>
      <c r="E2620" s="23"/>
      <c r="F2620" s="40" t="n">
        <f aca="false">F2618+F2619</f>
        <v>22.076209848</v>
      </c>
      <c r="G2620" s="40" t="n">
        <f aca="false">G2618+G2619</f>
        <v>24.95974999584</v>
      </c>
      <c r="H2620" s="40" t="n">
        <f aca="false">H2618+H2619</f>
        <v>32.2039302459072</v>
      </c>
      <c r="I2620" s="40" t="n">
        <f aca="false">I2618+I2619</f>
        <v>39.3173605798956</v>
      </c>
      <c r="J2620" s="40" t="n">
        <f aca="false">J2618+J2619</f>
        <v>47.6971439631444</v>
      </c>
      <c r="K2620" s="51" t="n">
        <f aca="false">SUM(F2620:J2620)</f>
        <v>166.254394632787</v>
      </c>
      <c r="L2620" s="49"/>
    </row>
    <row r="2621" customFormat="false" ht="15" hidden="true" customHeight="false" outlineLevel="1" collapsed="false">
      <c r="A2621" s="19" t="s">
        <v>665</v>
      </c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</row>
    <row r="2622" customFormat="false" ht="15" hidden="true" customHeight="false" outlineLevel="1" collapsed="false">
      <c r="A2622" s="20" t="n">
        <v>95</v>
      </c>
      <c r="B2622" s="6" t="s">
        <v>666</v>
      </c>
      <c r="C2622" s="20" t="s">
        <v>71</v>
      </c>
      <c r="D2622" s="23"/>
      <c r="E2622" s="23"/>
      <c r="F2622" s="40" t="n">
        <f aca="false">F2591-F2620</f>
        <v>-14.076209848</v>
      </c>
      <c r="G2622" s="40" t="n">
        <f aca="false">G2591-G2620</f>
        <v>-7.10974999584</v>
      </c>
      <c r="H2622" s="40" t="n">
        <f aca="false">H2591-H2620</f>
        <v>1.8529838165928</v>
      </c>
      <c r="I2622" s="40" t="n">
        <f aca="false">I2591-I2620</f>
        <v>4.04728836364139</v>
      </c>
      <c r="J2622" s="40" t="n">
        <f aca="false">J2591-J2620</f>
        <v>20.0798082689889</v>
      </c>
      <c r="K2622" s="51" t="n">
        <f aca="false">SUM(F2622:J2622)</f>
        <v>4.79412060538312</v>
      </c>
      <c r="L2622" s="49" t="s">
        <v>667</v>
      </c>
    </row>
    <row r="2623" customFormat="false" ht="15" hidden="true" customHeight="false" outlineLevel="1" collapsed="false">
      <c r="A2623" s="20" t="n">
        <v>96</v>
      </c>
      <c r="B2623" s="6" t="s">
        <v>668</v>
      </c>
      <c r="C2623" s="20" t="s">
        <v>68</v>
      </c>
      <c r="D2623" s="23"/>
      <c r="E2623" s="23"/>
      <c r="F2623" s="44" t="n">
        <f aca="false">IF(F2591&gt;0,F2622/F2591,0)</f>
        <v>-1.759526231</v>
      </c>
      <c r="G2623" s="44" t="n">
        <f aca="false">IF(G2591&gt;0,G2622/G2591,0)</f>
        <v>-0.398305321895798</v>
      </c>
      <c r="H2623" s="44" t="n">
        <f aca="false">IF(H2591&gt;0,H2622/H2591,0)</f>
        <v>0.0544084473770075</v>
      </c>
      <c r="I2623" s="44" t="n">
        <f aca="false">IF(I2591&gt;0,I2622/I2591,0)</f>
        <v>0.0933315145456653</v>
      </c>
      <c r="J2623" s="44" t="n">
        <f aca="false">IF(J2591&gt;0,J2622/J2591,0)</f>
        <v>0.296263074801835</v>
      </c>
      <c r="K2623" s="23"/>
      <c r="L2623" s="49"/>
    </row>
    <row r="2624" customFormat="false" ht="15" hidden="true" customHeight="false" outlineLevel="1" collapsed="false">
      <c r="A2624" s="20" t="n">
        <v>97</v>
      </c>
      <c r="B2624" s="6" t="s">
        <v>669</v>
      </c>
      <c r="C2624" s="20" t="s">
        <v>71</v>
      </c>
      <c r="D2624" s="23"/>
      <c r="E2624" s="23"/>
      <c r="F2624" s="40" t="n">
        <f aca="false">E2628</f>
        <v>0</v>
      </c>
      <c r="G2624" s="40" t="n">
        <f aca="false">F2628</f>
        <v>14.076209848</v>
      </c>
      <c r="H2624" s="40" t="n">
        <f aca="false">G2628</f>
        <v>21.18595984384</v>
      </c>
      <c r="I2624" s="40" t="n">
        <f aca="false">H2628</f>
        <v>20.2594679355436</v>
      </c>
      <c r="J2624" s="40" t="n">
        <f aca="false">I2628</f>
        <v>18.2358237537229</v>
      </c>
      <c r="K2624" s="23"/>
      <c r="L2624" s="49"/>
    </row>
    <row r="2625" customFormat="false" ht="15" hidden="true" customHeight="false" outlineLevel="1" collapsed="false">
      <c r="A2625" s="20" t="n">
        <v>98</v>
      </c>
      <c r="B2625" s="6" t="s">
        <v>670</v>
      </c>
      <c r="C2625" s="20" t="s">
        <v>71</v>
      </c>
      <c r="D2625" s="23"/>
      <c r="E2625" s="23"/>
      <c r="F2625" s="40" t="n">
        <f aca="false">MIN(F2624,MAX(0,F2622)*$D$2551)</f>
        <v>0</v>
      </c>
      <c r="G2625" s="40" t="n">
        <f aca="false">MIN(G2624,MAX(0,G2622)*$D$2551)</f>
        <v>0</v>
      </c>
      <c r="H2625" s="40" t="n">
        <f aca="false">MIN(H2624,MAX(0,H2622)*$D$2551)</f>
        <v>0.926491908296399</v>
      </c>
      <c r="I2625" s="40" t="n">
        <f aca="false">MIN(I2624,MAX(0,I2622)*$D$2551)</f>
        <v>2.02364418182069</v>
      </c>
      <c r="J2625" s="40" t="n">
        <f aca="false">MIN(J2624,MAX(0,J2622)*$D$2551)</f>
        <v>10.0399041344945</v>
      </c>
      <c r="K2625" s="23"/>
      <c r="L2625" s="49" t="s">
        <v>671</v>
      </c>
    </row>
    <row r="2626" customFormat="false" ht="15" hidden="true" customHeight="false" outlineLevel="1" collapsed="false">
      <c r="A2626" s="20" t="n">
        <v>99</v>
      </c>
      <c r="B2626" s="6" t="s">
        <v>672</v>
      </c>
      <c r="C2626" s="20" t="s">
        <v>71</v>
      </c>
      <c r="D2626" s="23"/>
      <c r="E2626" s="23"/>
      <c r="F2626" s="40" t="n">
        <f aca="false">MAX(0,F2622)-F2625</f>
        <v>0</v>
      </c>
      <c r="G2626" s="40" t="n">
        <f aca="false">MAX(0,G2622)-G2625</f>
        <v>0</v>
      </c>
      <c r="H2626" s="40" t="n">
        <f aca="false">MAX(0,H2622)-H2625</f>
        <v>0.926491908296399</v>
      </c>
      <c r="I2626" s="40" t="n">
        <f aca="false">MAX(0,I2622)-I2625</f>
        <v>2.02364418182069</v>
      </c>
      <c r="J2626" s="40" t="n">
        <f aca="false">MAX(0,J2622)-J2625</f>
        <v>10.0399041344945</v>
      </c>
      <c r="K2626" s="23"/>
      <c r="L2626" s="49"/>
    </row>
    <row r="2627" customFormat="false" ht="15" hidden="true" customHeight="false" outlineLevel="1" collapsed="false">
      <c r="A2627" s="20" t="n">
        <v>100</v>
      </c>
      <c r="B2627" s="6" t="s">
        <v>572</v>
      </c>
      <c r="C2627" s="20" t="s">
        <v>71</v>
      </c>
      <c r="D2627" s="23"/>
      <c r="E2627" s="23"/>
      <c r="F2627" s="40" t="n">
        <f aca="false">F2626*$D$2550</f>
        <v>0</v>
      </c>
      <c r="G2627" s="40" t="n">
        <f aca="false">G2626*$D$2550</f>
        <v>0</v>
      </c>
      <c r="H2627" s="40" t="n">
        <f aca="false">H2626*$D$2550</f>
        <v>0.0463245954148199</v>
      </c>
      <c r="I2627" s="40" t="n">
        <f aca="false">I2626*$D$2550</f>
        <v>0.101182209091035</v>
      </c>
      <c r="J2627" s="40" t="n">
        <f aca="false">J2626*$D$2550</f>
        <v>0.501995206724723</v>
      </c>
      <c r="K2627" s="51" t="n">
        <f aca="false">SUM(F2627:J2627)</f>
        <v>0.649502011230578</v>
      </c>
      <c r="L2627" s="49"/>
    </row>
    <row r="2628" customFormat="false" ht="15" hidden="true" customHeight="false" outlineLevel="1" collapsed="false">
      <c r="A2628" s="20" t="n">
        <v>101</v>
      </c>
      <c r="B2628" s="6" t="s">
        <v>673</v>
      </c>
      <c r="C2628" s="20" t="s">
        <v>71</v>
      </c>
      <c r="D2628" s="23"/>
      <c r="E2628" s="40" t="n">
        <f aca="false">0</f>
        <v>0</v>
      </c>
      <c r="F2628" s="40" t="n">
        <f aca="false">F2624-F2625+MAX(0,-F2622)</f>
        <v>14.076209848</v>
      </c>
      <c r="G2628" s="40" t="n">
        <f aca="false">G2624-G2625+MAX(0,-G2622)</f>
        <v>21.18595984384</v>
      </c>
      <c r="H2628" s="40" t="n">
        <f aca="false">H2624-H2625+MAX(0,-H2622)</f>
        <v>20.2594679355436</v>
      </c>
      <c r="I2628" s="40" t="n">
        <f aca="false">I2624-I2625+MAX(0,-I2622)</f>
        <v>18.2358237537229</v>
      </c>
      <c r="J2628" s="40" t="n">
        <f aca="false">J2624-J2625+MAX(0,-J2622)</f>
        <v>8.19591961922844</v>
      </c>
      <c r="K2628" s="23"/>
      <c r="L2628" s="49"/>
    </row>
    <row r="2629" customFormat="false" ht="15" hidden="true" customHeight="false" outlineLevel="1" collapsed="false">
      <c r="A2629" s="20" t="n">
        <v>102</v>
      </c>
      <c r="B2629" s="6" t="s">
        <v>674</v>
      </c>
      <c r="C2629" s="20" t="s">
        <v>71</v>
      </c>
      <c r="D2629" s="23"/>
      <c r="E2629" s="23"/>
      <c r="F2629" s="40" t="n">
        <f aca="false">F2622-F2627</f>
        <v>-14.076209848</v>
      </c>
      <c r="G2629" s="40" t="n">
        <f aca="false">G2622-G2627</f>
        <v>-7.10974999584</v>
      </c>
      <c r="H2629" s="40" t="n">
        <f aca="false">H2622-H2627</f>
        <v>1.80665922117798</v>
      </c>
      <c r="I2629" s="40" t="n">
        <f aca="false">I2622-I2627</f>
        <v>3.94610615455035</v>
      </c>
      <c r="J2629" s="40" t="n">
        <f aca="false">J2622-J2627</f>
        <v>19.5778130622642</v>
      </c>
      <c r="K2629" s="51" t="n">
        <f aca="false">SUM(F2629:J2629)</f>
        <v>4.14461859415254</v>
      </c>
      <c r="L2629" s="49"/>
    </row>
    <row r="2630" customFormat="false" ht="15" hidden="true" customHeight="false" outlineLevel="1" collapsed="false">
      <c r="A2630" s="19" t="s">
        <v>675</v>
      </c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</row>
    <row r="2631" customFormat="false" ht="15" hidden="true" customHeight="false" outlineLevel="1" collapsed="false">
      <c r="A2631" s="20" t="n">
        <v>103</v>
      </c>
      <c r="B2631" s="6" t="s">
        <v>676</v>
      </c>
      <c r="C2631" s="20" t="s">
        <v>71</v>
      </c>
      <c r="D2631" s="23"/>
      <c r="E2631" s="40" t="n">
        <f aca="false">0</f>
        <v>0</v>
      </c>
      <c r="F2631" s="40" t="n">
        <f aca="false">F2591*$D$2552/365</f>
        <v>1.97260273972603</v>
      </c>
      <c r="G2631" s="40" t="n">
        <f aca="false">G2591*$D$2552/365</f>
        <v>4.4013698630137</v>
      </c>
      <c r="H2631" s="40" t="n">
        <f aca="false">H2591*$D$2552/365</f>
        <v>8.39759524828767</v>
      </c>
      <c r="I2631" s="40" t="n">
        <f aca="false">I2591*$D$2552/365</f>
        <v>10.6926531641598</v>
      </c>
      <c r="J2631" s="40" t="n">
        <f aca="false">J2591*$D$2552/365</f>
        <v>16.7121252079233</v>
      </c>
      <c r="K2631" s="23"/>
      <c r="L2631" s="49" t="s">
        <v>677</v>
      </c>
    </row>
    <row r="2632" customFormat="false" ht="15" hidden="true" customHeight="false" outlineLevel="1" collapsed="false">
      <c r="A2632" s="20" t="n">
        <v>104</v>
      </c>
      <c r="B2632" s="6" t="s">
        <v>678</v>
      </c>
      <c r="C2632" s="20" t="s">
        <v>71</v>
      </c>
      <c r="D2632" s="23"/>
      <c r="E2632" s="23"/>
      <c r="F2632" s="40" t="n">
        <f aca="false">F2631-E2631</f>
        <v>1.97260273972603</v>
      </c>
      <c r="G2632" s="40" t="n">
        <f aca="false">G2631-F2631</f>
        <v>2.42876712328767</v>
      </c>
      <c r="H2632" s="40" t="n">
        <f aca="false">H2631-G2631</f>
        <v>3.99622538527397</v>
      </c>
      <c r="I2632" s="40" t="n">
        <f aca="false">I2631-H2631</f>
        <v>2.29505791587212</v>
      </c>
      <c r="J2632" s="40" t="n">
        <f aca="false">J2631-I2631</f>
        <v>6.0194720437635</v>
      </c>
      <c r="K2632" s="51" t="n">
        <f aca="false">SUM(F2632:J2632)</f>
        <v>16.7121252079233</v>
      </c>
      <c r="L2632" s="49"/>
    </row>
    <row r="2633" customFormat="false" ht="15" hidden="true" customHeight="false" outlineLevel="1" collapsed="false">
      <c r="A2633" s="20" t="n">
        <v>105</v>
      </c>
      <c r="B2633" s="6" t="s">
        <v>679</v>
      </c>
      <c r="C2633" s="20" t="s">
        <v>71</v>
      </c>
      <c r="D2633" s="23"/>
      <c r="E2633" s="23"/>
      <c r="F2633" s="40" t="n">
        <f aca="false">F2629-F2632</f>
        <v>-16.048812587726</v>
      </c>
      <c r="G2633" s="40" t="n">
        <f aca="false">G2629-G2632</f>
        <v>-9.53851711912767</v>
      </c>
      <c r="H2633" s="40" t="n">
        <f aca="false">H2629-H2632</f>
        <v>-2.18956616409599</v>
      </c>
      <c r="I2633" s="40" t="n">
        <f aca="false">I2629-I2632</f>
        <v>1.65104823867823</v>
      </c>
      <c r="J2633" s="40" t="n">
        <f aca="false">J2629-J2632</f>
        <v>13.5583410185007</v>
      </c>
      <c r="K2633" s="51" t="n">
        <f aca="false">SUM(F2633:J2633)</f>
        <v>-12.5675066137707</v>
      </c>
      <c r="L2633" s="49" t="s">
        <v>680</v>
      </c>
    </row>
    <row r="2634" customFormat="false" ht="15" hidden="true" customHeight="false" outlineLevel="1" collapsed="false">
      <c r="A2634" s="20" t="n">
        <v>106</v>
      </c>
      <c r="B2634" s="6" t="s">
        <v>93</v>
      </c>
      <c r="C2634" s="20" t="s">
        <v>71</v>
      </c>
      <c r="D2634" s="23"/>
      <c r="E2634" s="40" t="n">
        <f aca="false">0</f>
        <v>0</v>
      </c>
      <c r="F2634" s="40" t="n">
        <f aca="false">E2634+F2633</f>
        <v>-16.048812587726</v>
      </c>
      <c r="G2634" s="40" t="n">
        <f aca="false">F2634+G2633</f>
        <v>-25.5873297068537</v>
      </c>
      <c r="H2634" s="40" t="n">
        <f aca="false">G2634+H2633</f>
        <v>-27.7768958709497</v>
      </c>
      <c r="I2634" s="40" t="n">
        <f aca="false">H2634+I2633</f>
        <v>-26.1258476322715</v>
      </c>
      <c r="J2634" s="40" t="n">
        <f aca="false">I2634+J2633</f>
        <v>-12.5675066137707</v>
      </c>
      <c r="K2634" s="23"/>
      <c r="L2634" s="49" t="s">
        <v>681</v>
      </c>
    </row>
    <row r="2635" customFormat="false" ht="15" hidden="true" customHeight="false" outlineLevel="1" collapsed="false">
      <c r="A2635" s="20" t="n">
        <v>107</v>
      </c>
      <c r="B2635" s="6" t="s">
        <v>682</v>
      </c>
      <c r="C2635" s="20"/>
      <c r="D2635" s="23"/>
      <c r="E2635" s="23"/>
      <c r="F2635" s="53" t="n">
        <f aca="false">1/(1+$D$2553)^(F$2573-$E$2573)</f>
        <v>0.735294117647059</v>
      </c>
      <c r="G2635" s="53" t="n">
        <f aca="false">1/(1+$D$2553)^(G$2573-$E$2573)</f>
        <v>0.540657439446367</v>
      </c>
      <c r="H2635" s="53" t="n">
        <f aca="false">1/(1+$D$2553)^(H$2573-$E$2573)</f>
        <v>0.397542234887035</v>
      </c>
      <c r="I2635" s="53" t="n">
        <f aca="false">1/(1+$D$2553)^(I$2573-$E$2573)</f>
        <v>0.292310466828702</v>
      </c>
      <c r="J2635" s="53" t="n">
        <f aca="false">1/(1+$D$2553)^(J$2573-$E$2573)</f>
        <v>0.21493416678581</v>
      </c>
      <c r="K2635" s="23"/>
      <c r="L2635" s="49" t="s">
        <v>683</v>
      </c>
    </row>
    <row r="2636" customFormat="false" ht="15" hidden="true" customHeight="false" outlineLevel="1" collapsed="false">
      <c r="A2636" s="20" t="n">
        <v>108</v>
      </c>
      <c r="B2636" s="6" t="s">
        <v>684</v>
      </c>
      <c r="C2636" s="20" t="s">
        <v>71</v>
      </c>
      <c r="D2636" s="23"/>
      <c r="E2636" s="23"/>
      <c r="F2636" s="40" t="n">
        <f aca="false">F2633*F2635</f>
        <v>-11.800597490975</v>
      </c>
      <c r="G2636" s="40" t="n">
        <f aca="false">G2633*G2635</f>
        <v>-5.1570702417429</v>
      </c>
      <c r="H2636" s="40" t="n">
        <f aca="false">H2633*H2635</f>
        <v>-0.870445026307753</v>
      </c>
      <c r="I2636" s="40" t="n">
        <f aca="false">I2633*I2635</f>
        <v>0.482618681404739</v>
      </c>
      <c r="J2636" s="40" t="n">
        <f aca="false">J2633*J2635</f>
        <v>2.91415072980932</v>
      </c>
      <c r="K2636" s="51" t="n">
        <f aca="false">SUM(F2636:J2636)</f>
        <v>-14.4313433478116</v>
      </c>
      <c r="L2636" s="49"/>
    </row>
    <row r="2637" customFormat="false" ht="15" hidden="true" customHeight="false" outlineLevel="1" collapsed="false">
      <c r="A2637" s="20" t="n">
        <v>109</v>
      </c>
      <c r="B2637" s="6" t="s">
        <v>685</v>
      </c>
      <c r="C2637" s="20" t="s">
        <v>71</v>
      </c>
      <c r="D2637" s="23"/>
      <c r="E2637" s="23"/>
      <c r="F2637" s="40" t="n">
        <f aca="false">IF(F$2573=$J$2573,MAX(0,F2633)*(1+$D$2554)/($D$2553-$D$2554),0)</f>
        <v>0</v>
      </c>
      <c r="G2637" s="40" t="n">
        <f aca="false">IF(G$2573=$J$2573,MAX(0,G2633)*(1+$D$2554)/($D$2553-$D$2554),0)</f>
        <v>0</v>
      </c>
      <c r="H2637" s="40" t="n">
        <f aca="false">IF(H$2573=$J$2573,MAX(0,H2633)*(1+$D$2554)/($D$2553-$D$2554),0)</f>
        <v>0</v>
      </c>
      <c r="I2637" s="40" t="n">
        <f aca="false">IF(I$2573=$J$2573,MAX(0,I2633)*(1+$D$2554)/($D$2553-$D$2554),0)</f>
        <v>0</v>
      </c>
      <c r="J2637" s="40" t="n">
        <f aca="false">IF(J$2573=$J$2573,MAX(0,J2633)*(1+$D$2554)/($D$2553-$D$2554),0)</f>
        <v>44.0646083101273</v>
      </c>
      <c r="K2637" s="23"/>
      <c r="L2637" s="49" t="s">
        <v>686</v>
      </c>
    </row>
    <row r="2638" customFormat="false" ht="15" hidden="true" customHeight="false" outlineLevel="1" collapsed="false">
      <c r="A2638" s="20" t="n">
        <v>110</v>
      </c>
      <c r="B2638" s="6" t="s">
        <v>687</v>
      </c>
      <c r="C2638" s="20" t="s">
        <v>71</v>
      </c>
      <c r="D2638" s="23"/>
      <c r="E2638" s="23"/>
      <c r="F2638" s="40" t="n">
        <f aca="false">F2637*F2635</f>
        <v>0</v>
      </c>
      <c r="G2638" s="40" t="n">
        <f aca="false">G2637*G2635</f>
        <v>0</v>
      </c>
      <c r="H2638" s="40" t="n">
        <f aca="false">H2637*H2635</f>
        <v>0</v>
      </c>
      <c r="I2638" s="40" t="n">
        <f aca="false">I2637*I2635</f>
        <v>0</v>
      </c>
      <c r="J2638" s="40" t="n">
        <f aca="false">J2637*J2635</f>
        <v>9.4709898718803</v>
      </c>
      <c r="K2638" s="51" t="n">
        <f aca="false">SUM(F2638:J2638)</f>
        <v>9.4709898718803</v>
      </c>
      <c r="L2638" s="49"/>
    </row>
    <row r="2639" customFormat="false" ht="15" hidden="true" customHeight="false" outlineLevel="1" collapsed="false">
      <c r="A2639" s="20" t="n">
        <v>111</v>
      </c>
      <c r="B2639" s="6" t="s">
        <v>688</v>
      </c>
      <c r="C2639" s="20" t="s">
        <v>71</v>
      </c>
      <c r="D2639" s="23"/>
      <c r="E2639" s="23"/>
      <c r="F2639" s="40" t="n">
        <f aca="false">F2633+F2637</f>
        <v>-16.048812587726</v>
      </c>
      <c r="G2639" s="40" t="n">
        <f aca="false">G2633+G2637</f>
        <v>-9.53851711912767</v>
      </c>
      <c r="H2639" s="40" t="n">
        <f aca="false">H2633+H2637</f>
        <v>-2.18956616409599</v>
      </c>
      <c r="I2639" s="40" t="n">
        <f aca="false">I2633+I2637</f>
        <v>1.65104823867823</v>
      </c>
      <c r="J2639" s="40" t="n">
        <f aca="false">J2633+J2637</f>
        <v>57.622949328628</v>
      </c>
      <c r="K2639" s="23"/>
      <c r="L2639" s="49" t="s">
        <v>689</v>
      </c>
    </row>
    <row r="2640" customFormat="false" ht="15" hidden="true" customHeight="false" outlineLevel="1" collapsed="false">
      <c r="A2640" s="20" t="n">
        <v>112</v>
      </c>
      <c r="B2640" s="6" t="s">
        <v>690</v>
      </c>
      <c r="C2640" s="20"/>
      <c r="D2640" s="23"/>
      <c r="E2640" s="23"/>
      <c r="F2640" s="52" t="str">
        <f aca="false">IF(AND(F2622&gt;0,COUNTIF($F$2622:F$2622,"&gt;0")=1),F$2573,"")</f>
        <v/>
      </c>
      <c r="G2640" s="52" t="str">
        <f aca="false">IF(AND(G2622&gt;0,COUNTIF($F$2622:G$2622,"&gt;0")=1),G$2573,"")</f>
        <v/>
      </c>
      <c r="H2640" s="52" t="n">
        <f aca="false">IF(AND(H2622&gt;0,COUNTIF($F$2622:H$2622,"&gt;0")=1),H$2573,"")</f>
        <v>2029</v>
      </c>
      <c r="I2640" s="52" t="str">
        <f aca="false">IF(AND(I2622&gt;0,COUNTIF($F$2622:I$2622,"&gt;0")=1),I$2573,"")</f>
        <v/>
      </c>
      <c r="J2640" s="52" t="str">
        <f aca="false">IF(AND(J2622&gt;0,COUNTIF($F$2622:J$2622,"&gt;0")=1),J$2573,"")</f>
        <v/>
      </c>
      <c r="K2640" s="23"/>
      <c r="L2640" s="49" t="s">
        <v>691</v>
      </c>
    </row>
    <row r="2641" customFormat="false" ht="15" hidden="true" customHeight="false" outlineLevel="1" collapsed="false">
      <c r="A2641" s="20" t="n">
        <v>113</v>
      </c>
      <c r="B2641" s="6" t="s">
        <v>692</v>
      </c>
      <c r="C2641" s="20"/>
      <c r="D2641" s="23"/>
      <c r="E2641" s="23"/>
      <c r="F2641" s="52" t="str">
        <f aca="false">IF(AND(F2634&gt;0,COUNTIF($F$2634:F$2634,"&gt;0")=1),F$2573,"")</f>
        <v/>
      </c>
      <c r="G2641" s="52" t="str">
        <f aca="false">IF(AND(G2634&gt;0,COUNTIF($F$2634:G$2634,"&gt;0")=1),G$2573,"")</f>
        <v/>
      </c>
      <c r="H2641" s="52" t="str">
        <f aca="false">IF(AND(H2634&gt;0,COUNTIF($F$2634:H$2634,"&gt;0")=1),H$2573,"")</f>
        <v/>
      </c>
      <c r="I2641" s="52" t="str">
        <f aca="false">IF(AND(I2634&gt;0,COUNTIF($F$2634:I$2634,"&gt;0")=1),I$2573,"")</f>
        <v/>
      </c>
      <c r="J2641" s="52" t="str">
        <f aca="false">IF(AND(J2634&gt;0,COUNTIF($F$2634:J$2634,"&gt;0")=1),J$2573,"")</f>
        <v/>
      </c>
      <c r="K2641" s="23"/>
      <c r="L2641" s="49" t="s">
        <v>691</v>
      </c>
    </row>
    <row r="2642" customFormat="false" ht="15" hidden="true" customHeight="false" outlineLevel="1" collapsed="false">
      <c r="A2642" s="19" t="s">
        <v>693</v>
      </c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</row>
    <row r="2643" customFormat="false" ht="15" hidden="true" customHeight="false" outlineLevel="1" collapsed="false">
      <c r="A2643" s="20" t="n">
        <v>114</v>
      </c>
      <c r="B2643" s="6" t="s">
        <v>70</v>
      </c>
      <c r="C2643" s="20" t="s">
        <v>71</v>
      </c>
      <c r="D2643" s="51" t="n">
        <f aca="false">SUM(F2591:J2591)</f>
        <v>171.04851523817</v>
      </c>
      <c r="E2643" s="23"/>
      <c r="F2643" s="23"/>
      <c r="G2643" s="23"/>
      <c r="H2643" s="23"/>
      <c r="I2643" s="23"/>
      <c r="J2643" s="23"/>
      <c r="K2643" s="23"/>
      <c r="L2643" s="49"/>
    </row>
    <row r="2644" customFormat="false" ht="15" hidden="true" customHeight="false" outlineLevel="1" collapsed="false">
      <c r="A2644" s="20" t="n">
        <v>115</v>
      </c>
      <c r="B2644" s="6" t="s">
        <v>694</v>
      </c>
      <c r="C2644" s="20" t="s">
        <v>71</v>
      </c>
      <c r="D2644" s="51" t="n">
        <f aca="false">J2591</f>
        <v>67.7769522321333</v>
      </c>
      <c r="E2644" s="23"/>
      <c r="F2644" s="23"/>
      <c r="G2644" s="23"/>
      <c r="H2644" s="23"/>
      <c r="I2644" s="23"/>
      <c r="J2644" s="23"/>
      <c r="K2644" s="23"/>
      <c r="L2644" s="49"/>
    </row>
    <row r="2645" customFormat="false" ht="15" hidden="true" customHeight="false" outlineLevel="1" collapsed="false">
      <c r="A2645" s="20" t="n">
        <v>116</v>
      </c>
      <c r="B2645" s="6" t="s">
        <v>695</v>
      </c>
      <c r="C2645" s="20" t="s">
        <v>71</v>
      </c>
      <c r="D2645" s="51" t="n">
        <f aca="false">J2592</f>
        <v>74.6329671070812</v>
      </c>
      <c r="E2645" s="23"/>
      <c r="F2645" s="23"/>
      <c r="G2645" s="23"/>
      <c r="H2645" s="23"/>
      <c r="I2645" s="23"/>
      <c r="J2645" s="23"/>
      <c r="K2645" s="23"/>
      <c r="L2645" s="49"/>
    </row>
    <row r="2646" customFormat="false" ht="15" hidden="true" customHeight="false" outlineLevel="1" collapsed="false">
      <c r="A2646" s="20" t="n">
        <v>117</v>
      </c>
      <c r="B2646" s="6" t="s">
        <v>696</v>
      </c>
      <c r="C2646" s="20" t="s">
        <v>71</v>
      </c>
      <c r="D2646" s="51" t="n">
        <f aca="false">J2622</f>
        <v>20.0798082689889</v>
      </c>
      <c r="E2646" s="23"/>
      <c r="F2646" s="23"/>
      <c r="G2646" s="23"/>
      <c r="H2646" s="23"/>
      <c r="I2646" s="23"/>
      <c r="J2646" s="23"/>
      <c r="K2646" s="23"/>
      <c r="L2646" s="49"/>
    </row>
    <row r="2647" customFormat="false" ht="15" hidden="true" customHeight="false" outlineLevel="1" collapsed="false">
      <c r="A2647" s="20" t="n">
        <v>118</v>
      </c>
      <c r="B2647" s="6" t="s">
        <v>697</v>
      </c>
      <c r="C2647" s="20" t="s">
        <v>76</v>
      </c>
      <c r="D2647" s="54" t="n">
        <f aca="false">J2583</f>
        <v>11</v>
      </c>
      <c r="E2647" s="23"/>
      <c r="F2647" s="23"/>
      <c r="G2647" s="23"/>
      <c r="H2647" s="23"/>
      <c r="I2647" s="23"/>
      <c r="J2647" s="23"/>
      <c r="K2647" s="23"/>
      <c r="L2647" s="49"/>
    </row>
    <row r="2648" customFormat="false" ht="15" hidden="true" customHeight="false" outlineLevel="1" collapsed="false">
      <c r="A2648" s="20" t="n">
        <v>119</v>
      </c>
      <c r="B2648" s="6" t="s">
        <v>698</v>
      </c>
      <c r="C2648" s="20" t="s">
        <v>53</v>
      </c>
      <c r="D2648" s="51" t="n">
        <f aca="false">J2594</f>
        <v>8</v>
      </c>
      <c r="E2648" s="23"/>
      <c r="F2648" s="23"/>
      <c r="G2648" s="23"/>
      <c r="H2648" s="23"/>
      <c r="I2648" s="23"/>
      <c r="J2648" s="23"/>
      <c r="K2648" s="23"/>
      <c r="L2648" s="49"/>
    </row>
    <row r="2649" customFormat="false" ht="15" hidden="true" customHeight="false" outlineLevel="1" collapsed="false">
      <c r="A2649" s="20" t="n">
        <v>120</v>
      </c>
      <c r="B2649" s="6" t="s">
        <v>699</v>
      </c>
      <c r="C2649" s="20" t="s">
        <v>71</v>
      </c>
      <c r="D2649" s="51" t="n">
        <f aca="false">MIN(0,MIN(F2634:J2634))</f>
        <v>-27.7768958709497</v>
      </c>
      <c r="E2649" s="23"/>
      <c r="F2649" s="23"/>
      <c r="G2649" s="23"/>
      <c r="H2649" s="23"/>
      <c r="I2649" s="23"/>
      <c r="J2649" s="23"/>
      <c r="K2649" s="23"/>
      <c r="L2649" s="49"/>
    </row>
    <row r="2650" customFormat="false" ht="15" hidden="true" customHeight="false" outlineLevel="1" collapsed="false">
      <c r="A2650" s="20" t="n">
        <v>121</v>
      </c>
      <c r="B2650" s="6" t="s">
        <v>700</v>
      </c>
      <c r="C2650" s="20" t="s">
        <v>71</v>
      </c>
      <c r="D2650" s="51" t="n">
        <f aca="false">-$D$2649*(1+$D$2555)</f>
        <v>33.3322750451396</v>
      </c>
      <c r="E2650" s="23"/>
      <c r="F2650" s="23"/>
      <c r="G2650" s="23"/>
      <c r="H2650" s="23"/>
      <c r="I2650" s="23"/>
      <c r="J2650" s="23"/>
      <c r="K2650" s="23"/>
      <c r="L2650" s="49"/>
    </row>
    <row r="2651" customFormat="false" ht="15" hidden="true" customHeight="false" outlineLevel="1" collapsed="false">
      <c r="A2651" s="20" t="n">
        <v>122</v>
      </c>
      <c r="B2651" s="6" t="s">
        <v>701</v>
      </c>
      <c r="C2651" s="20" t="s">
        <v>71</v>
      </c>
      <c r="D2651" s="51" t="n">
        <f aca="false">J2634</f>
        <v>-12.5675066137707</v>
      </c>
      <c r="E2651" s="23"/>
      <c r="F2651" s="23"/>
      <c r="G2651" s="23"/>
      <c r="H2651" s="23"/>
      <c r="I2651" s="23"/>
      <c r="J2651" s="23"/>
      <c r="K2651" s="23"/>
      <c r="L2651" s="49"/>
    </row>
    <row r="2652" customFormat="false" ht="15" hidden="true" customHeight="false" outlineLevel="1" collapsed="false">
      <c r="A2652" s="20" t="n">
        <v>123</v>
      </c>
      <c r="B2652" s="6" t="s">
        <v>702</v>
      </c>
      <c r="C2652" s="20" t="s">
        <v>71</v>
      </c>
      <c r="D2652" s="51" t="n">
        <f aca="false">SUM(F2636:J2636)</f>
        <v>-14.4313433478116</v>
      </c>
      <c r="E2652" s="23"/>
      <c r="F2652" s="23"/>
      <c r="G2652" s="23"/>
      <c r="H2652" s="23"/>
      <c r="I2652" s="23"/>
      <c r="J2652" s="23"/>
      <c r="K2652" s="23"/>
      <c r="L2652" s="49"/>
    </row>
    <row r="2653" customFormat="false" ht="15" hidden="true" customHeight="false" outlineLevel="1" collapsed="false">
      <c r="A2653" s="20" t="n">
        <v>124</v>
      </c>
      <c r="B2653" s="6" t="s">
        <v>82</v>
      </c>
      <c r="C2653" s="20" t="s">
        <v>71</v>
      </c>
      <c r="D2653" s="51" t="n">
        <f aca="false">SUM(F2636:J2636)+SUM(F2638:J2638)</f>
        <v>-4.96035347593131</v>
      </c>
      <c r="E2653" s="23"/>
      <c r="F2653" s="23"/>
      <c r="G2653" s="23"/>
      <c r="H2653" s="23"/>
      <c r="I2653" s="23"/>
      <c r="J2653" s="23"/>
      <c r="K2653" s="23"/>
      <c r="L2653" s="49"/>
    </row>
    <row r="2654" customFormat="false" ht="15" hidden="true" customHeight="false" outlineLevel="1" collapsed="false">
      <c r="A2654" s="20" t="n">
        <v>125</v>
      </c>
      <c r="B2654" s="6" t="s">
        <v>83</v>
      </c>
      <c r="C2654" s="20" t="s">
        <v>68</v>
      </c>
      <c r="D2654" s="55" t="n">
        <f aca="false">IFERROR(IRR(F2639:J2639),"н/д")</f>
        <v>0.24102358607419</v>
      </c>
      <c r="E2654" s="23"/>
      <c r="F2654" s="23"/>
      <c r="G2654" s="23"/>
      <c r="H2654" s="23"/>
      <c r="I2654" s="23"/>
      <c r="J2654" s="23"/>
      <c r="K2654" s="23"/>
      <c r="L2654" s="49"/>
    </row>
    <row r="2655" customFormat="false" ht="15" hidden="true" customHeight="false" outlineLevel="1" collapsed="false">
      <c r="A2655" s="20" t="n">
        <v>126</v>
      </c>
      <c r="B2655" s="6" t="s">
        <v>13</v>
      </c>
      <c r="C2655" s="20" t="s">
        <v>79</v>
      </c>
      <c r="D2655" s="56" t="n">
        <f aca="false">IF(COUNT(F2640:J2640)=0,"после 2031",MIN(F2640:J2640))</f>
        <v>2029</v>
      </c>
      <c r="E2655" s="23"/>
      <c r="F2655" s="23"/>
      <c r="G2655" s="23"/>
      <c r="H2655" s="23"/>
      <c r="I2655" s="23"/>
      <c r="J2655" s="23"/>
      <c r="K2655" s="23"/>
      <c r="L2655" s="49"/>
    </row>
    <row r="2656" customFormat="false" ht="15" hidden="true" customHeight="false" outlineLevel="1" collapsed="false">
      <c r="A2656" s="20" t="n">
        <v>127</v>
      </c>
      <c r="B2656" s="6" t="s">
        <v>703</v>
      </c>
      <c r="C2656" s="20" t="s">
        <v>79</v>
      </c>
      <c r="D2656" s="56" t="str">
        <f aca="false">IF(COUNT(F2641:J2641)=0,"после 2031",MIN(F2641:J2641))</f>
        <v>после 2031</v>
      </c>
      <c r="E2656" s="23"/>
      <c r="F2656" s="23"/>
      <c r="G2656" s="23"/>
      <c r="H2656" s="23"/>
      <c r="I2656" s="23"/>
      <c r="J2656" s="23"/>
      <c r="K2656" s="23"/>
      <c r="L2656" s="49"/>
    </row>
    <row r="2659" customFormat="false" ht="15" hidden="true" customHeight="false" outlineLevel="1" collapsed="false">
      <c r="A2659" s="57" t="s">
        <v>720</v>
      </c>
    </row>
    <row r="2660" customFormat="false" ht="30" hidden="true" customHeight="true" outlineLevel="1" collapsed="false">
      <c r="A2660" s="4" t="s">
        <v>49</v>
      </c>
      <c r="B2660" s="4" t="s">
        <v>3</v>
      </c>
      <c r="C2660" s="5" t="s">
        <v>50</v>
      </c>
      <c r="D2660" s="5" t="s">
        <v>551</v>
      </c>
      <c r="E2660" s="5" t="s">
        <v>356</v>
      </c>
      <c r="F2660" s="5" t="s">
        <v>86</v>
      </c>
      <c r="G2660" s="5" t="s">
        <v>87</v>
      </c>
      <c r="H2660" s="5" t="s">
        <v>88</v>
      </c>
      <c r="I2660" s="5" t="s">
        <v>89</v>
      </c>
      <c r="J2660" s="5" t="s">
        <v>90</v>
      </c>
      <c r="K2660" s="5" t="s">
        <v>552</v>
      </c>
      <c r="L2660" s="5" t="s">
        <v>393</v>
      </c>
    </row>
    <row r="2661" customFormat="false" ht="15" hidden="true" customHeight="false" outlineLevel="1" collapsed="false">
      <c r="A2661" s="19" t="s">
        <v>553</v>
      </c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</row>
    <row r="2662" customFormat="false" ht="15" hidden="true" customHeight="false" outlineLevel="1" collapsed="false">
      <c r="A2662" s="20" t="n">
        <v>1</v>
      </c>
      <c r="B2662" s="6" t="s">
        <v>554</v>
      </c>
      <c r="C2662" s="20" t="s">
        <v>79</v>
      </c>
      <c r="D2662" s="10" t="n">
        <f aca="false">Допущения!$E$49+1</f>
        <v>2028</v>
      </c>
      <c r="E2662" s="23"/>
      <c r="F2662" s="23"/>
      <c r="G2662" s="23"/>
      <c r="H2662" s="23"/>
      <c r="I2662" s="23"/>
      <c r="J2662" s="23"/>
      <c r="K2662" s="23"/>
      <c r="L2662" s="49"/>
    </row>
    <row r="2663" customFormat="false" ht="15" hidden="true" customHeight="false" outlineLevel="1" collapsed="false">
      <c r="A2663" s="20" t="n">
        <v>2</v>
      </c>
      <c r="B2663" s="6" t="s">
        <v>555</v>
      </c>
      <c r="C2663" s="20" t="s">
        <v>105</v>
      </c>
      <c r="D2663" s="45" t="n">
        <f aca="false">Допущения!$E$7</f>
        <v>1.8</v>
      </c>
      <c r="E2663" s="23"/>
      <c r="F2663" s="23"/>
      <c r="G2663" s="23"/>
      <c r="H2663" s="23"/>
      <c r="I2663" s="23"/>
      <c r="J2663" s="23"/>
      <c r="K2663" s="23"/>
      <c r="L2663" s="49"/>
    </row>
    <row r="2664" customFormat="false" ht="15" hidden="true" customHeight="false" outlineLevel="1" collapsed="false">
      <c r="A2664" s="20" t="n">
        <v>3</v>
      </c>
      <c r="B2664" s="6" t="s">
        <v>556</v>
      </c>
      <c r="C2664" s="20" t="s">
        <v>55</v>
      </c>
      <c r="D2664" s="9" t="n">
        <f aca="false">Допущения!$E$42</f>
        <v>6</v>
      </c>
      <c r="E2664" s="23"/>
      <c r="F2664" s="23"/>
      <c r="G2664" s="23"/>
      <c r="H2664" s="23"/>
      <c r="I2664" s="23"/>
      <c r="J2664" s="23"/>
      <c r="K2664" s="23"/>
      <c r="L2664" s="49"/>
    </row>
    <row r="2665" customFormat="false" ht="15" hidden="true" customHeight="false" outlineLevel="1" collapsed="false">
      <c r="A2665" s="20" t="n">
        <v>4</v>
      </c>
      <c r="B2665" s="6" t="s">
        <v>557</v>
      </c>
      <c r="C2665" s="20" t="s">
        <v>244</v>
      </c>
      <c r="D2665" s="9" t="n">
        <f aca="false">Допущения!$E$43</f>
        <v>5</v>
      </c>
      <c r="E2665" s="23"/>
      <c r="F2665" s="23"/>
      <c r="G2665" s="23"/>
      <c r="H2665" s="23"/>
      <c r="I2665" s="23"/>
      <c r="J2665" s="23"/>
      <c r="K2665" s="23"/>
      <c r="L2665" s="49"/>
    </row>
    <row r="2666" customFormat="false" ht="15" hidden="true" customHeight="false" outlineLevel="1" collapsed="false">
      <c r="A2666" s="20" t="n">
        <v>5</v>
      </c>
      <c r="B2666" s="6" t="s">
        <v>558</v>
      </c>
      <c r="C2666" s="20" t="s">
        <v>55</v>
      </c>
      <c r="D2666" s="9" t="n">
        <f aca="false">Допущения!$E$44</f>
        <v>1.5</v>
      </c>
      <c r="E2666" s="23"/>
      <c r="F2666" s="23"/>
      <c r="G2666" s="23"/>
      <c r="H2666" s="23"/>
      <c r="I2666" s="23"/>
      <c r="J2666" s="23"/>
      <c r="K2666" s="23"/>
      <c r="L2666" s="49"/>
    </row>
    <row r="2667" customFormat="false" ht="15" hidden="true" customHeight="false" outlineLevel="1" collapsed="false">
      <c r="A2667" s="20" t="n">
        <v>6</v>
      </c>
      <c r="B2667" s="6" t="s">
        <v>559</v>
      </c>
      <c r="C2667" s="20" t="s">
        <v>71</v>
      </c>
      <c r="D2667" s="9" t="n">
        <f aca="false">Допущения!$E$45</f>
        <v>8</v>
      </c>
      <c r="E2667" s="23"/>
      <c r="F2667" s="23"/>
      <c r="G2667" s="23"/>
      <c r="H2667" s="23"/>
      <c r="I2667" s="23"/>
      <c r="J2667" s="23"/>
      <c r="K2667" s="23"/>
      <c r="L2667" s="49"/>
    </row>
    <row r="2668" customFormat="false" ht="15" hidden="true" customHeight="false" outlineLevel="1" collapsed="false">
      <c r="A2668" s="20" t="n">
        <v>7</v>
      </c>
      <c r="B2668" s="6" t="s">
        <v>560</v>
      </c>
      <c r="C2668" s="20" t="s">
        <v>71</v>
      </c>
      <c r="D2668" s="9" t="n">
        <f aca="false">Допущения!$E$46</f>
        <v>2</v>
      </c>
      <c r="E2668" s="23"/>
      <c r="F2668" s="23"/>
      <c r="G2668" s="23"/>
      <c r="H2668" s="23"/>
      <c r="I2668" s="23"/>
      <c r="J2668" s="23"/>
      <c r="K2668" s="23"/>
      <c r="L2668" s="49"/>
    </row>
    <row r="2669" customFormat="false" ht="15" hidden="true" customHeight="false" outlineLevel="1" collapsed="false">
      <c r="A2669" s="20" t="n">
        <v>8</v>
      </c>
      <c r="B2669" s="6" t="s">
        <v>260</v>
      </c>
      <c r="C2669" s="20" t="s">
        <v>261</v>
      </c>
      <c r="D2669" s="22" t="n">
        <f aca="false">Допущения!$E$47</f>
        <v>0.05</v>
      </c>
      <c r="E2669" s="23"/>
      <c r="F2669" s="23"/>
      <c r="G2669" s="23"/>
      <c r="H2669" s="23"/>
      <c r="I2669" s="23"/>
      <c r="J2669" s="23"/>
      <c r="K2669" s="23"/>
      <c r="L2669" s="49"/>
    </row>
    <row r="2670" customFormat="false" ht="15" hidden="true" customHeight="false" outlineLevel="1" collapsed="false">
      <c r="A2670" s="20" t="n">
        <v>9</v>
      </c>
      <c r="B2670" s="6" t="s">
        <v>561</v>
      </c>
      <c r="C2670" s="20" t="s">
        <v>261</v>
      </c>
      <c r="D2670" s="22" t="n">
        <f aca="false">Допущения!$E$48</f>
        <v>0.15</v>
      </c>
      <c r="E2670" s="23"/>
      <c r="F2670" s="23"/>
      <c r="G2670" s="23"/>
      <c r="H2670" s="23"/>
      <c r="I2670" s="23"/>
      <c r="J2670" s="23"/>
      <c r="K2670" s="23"/>
      <c r="L2670" s="49"/>
    </row>
    <row r="2671" customFormat="false" ht="15" hidden="true" customHeight="false" outlineLevel="1" collapsed="false">
      <c r="A2671" s="20" t="n">
        <v>10</v>
      </c>
      <c r="B2671" s="6" t="s">
        <v>274</v>
      </c>
      <c r="C2671" s="20" t="s">
        <v>261</v>
      </c>
      <c r="D2671" s="22" t="n">
        <f aca="false">Допущения!$E$51</f>
        <v>0.07</v>
      </c>
      <c r="E2671" s="23"/>
      <c r="F2671" s="23"/>
      <c r="G2671" s="23"/>
      <c r="H2671" s="23"/>
      <c r="I2671" s="23"/>
      <c r="J2671" s="23"/>
      <c r="K2671" s="23"/>
      <c r="L2671" s="49"/>
    </row>
    <row r="2672" customFormat="false" ht="15" hidden="true" customHeight="false" outlineLevel="1" collapsed="false">
      <c r="A2672" s="20" t="n">
        <v>11</v>
      </c>
      <c r="B2672" s="6" t="s">
        <v>562</v>
      </c>
      <c r="C2672" s="20" t="s">
        <v>68</v>
      </c>
      <c r="D2672" s="22" t="n">
        <f aca="false">Допущения!$E$52</f>
        <v>0.15</v>
      </c>
      <c r="E2672" s="23"/>
      <c r="F2672" s="23"/>
      <c r="G2672" s="23"/>
      <c r="H2672" s="23"/>
      <c r="I2672" s="23"/>
      <c r="J2672" s="23"/>
      <c r="K2672" s="23"/>
      <c r="L2672" s="49"/>
    </row>
    <row r="2673" customFormat="false" ht="15" hidden="true" customHeight="false" outlineLevel="1" collapsed="false">
      <c r="A2673" s="20" t="n">
        <v>12</v>
      </c>
      <c r="B2673" s="6" t="s">
        <v>563</v>
      </c>
      <c r="C2673" s="20" t="s">
        <v>68</v>
      </c>
      <c r="D2673" s="22" t="n">
        <f aca="false">Допущения!$E$53</f>
        <v>0.076</v>
      </c>
      <c r="E2673" s="23"/>
      <c r="F2673" s="23"/>
      <c r="G2673" s="23"/>
      <c r="H2673" s="23"/>
      <c r="I2673" s="23"/>
      <c r="J2673" s="23"/>
      <c r="K2673" s="23"/>
      <c r="L2673" s="49"/>
    </row>
    <row r="2674" customFormat="false" ht="15" hidden="true" customHeight="false" outlineLevel="1" collapsed="false">
      <c r="A2674" s="20" t="n">
        <v>13</v>
      </c>
      <c r="B2674" s="6" t="s">
        <v>284</v>
      </c>
      <c r="C2674" s="20" t="s">
        <v>68</v>
      </c>
      <c r="D2674" s="22" t="n">
        <f aca="false">Допущения!$E$54</f>
        <v>0.002</v>
      </c>
      <c r="E2674" s="23"/>
      <c r="F2674" s="23"/>
      <c r="G2674" s="23"/>
      <c r="H2674" s="23"/>
      <c r="I2674" s="23"/>
      <c r="J2674" s="23"/>
      <c r="K2674" s="23"/>
      <c r="L2674" s="49"/>
    </row>
    <row r="2675" customFormat="false" ht="15" hidden="true" customHeight="false" outlineLevel="1" collapsed="false">
      <c r="A2675" s="20" t="n">
        <v>14</v>
      </c>
      <c r="B2675" s="6" t="s">
        <v>564</v>
      </c>
      <c r="C2675" s="20" t="s">
        <v>55</v>
      </c>
      <c r="D2675" s="50" t="n">
        <f aca="false">Допущения!$E$55</f>
        <v>2.979</v>
      </c>
      <c r="E2675" s="23"/>
      <c r="F2675" s="23"/>
      <c r="G2675" s="23"/>
      <c r="H2675" s="23"/>
      <c r="I2675" s="23"/>
      <c r="J2675" s="23"/>
      <c r="K2675" s="23"/>
      <c r="L2675" s="49"/>
    </row>
    <row r="2676" customFormat="false" ht="15" hidden="true" customHeight="false" outlineLevel="1" collapsed="false">
      <c r="A2676" s="20" t="n">
        <v>15</v>
      </c>
      <c r="B2676" s="6" t="s">
        <v>565</v>
      </c>
      <c r="C2676" s="20" t="s">
        <v>261</v>
      </c>
      <c r="D2676" s="22" t="n">
        <f aca="false">Допущения!$E$56</f>
        <v>0.08</v>
      </c>
      <c r="E2676" s="23"/>
      <c r="F2676" s="23"/>
      <c r="G2676" s="23"/>
      <c r="H2676" s="23"/>
      <c r="I2676" s="23"/>
      <c r="J2676" s="23"/>
      <c r="K2676" s="23"/>
      <c r="L2676" s="49"/>
    </row>
    <row r="2677" customFormat="false" ht="15" hidden="true" customHeight="false" outlineLevel="1" collapsed="false">
      <c r="A2677" s="20" t="n">
        <v>16</v>
      </c>
      <c r="B2677" s="6" t="s">
        <v>566</v>
      </c>
      <c r="C2677" s="20" t="s">
        <v>71</v>
      </c>
      <c r="D2677" s="9" t="n">
        <f aca="false">Допущения!$E$58</f>
        <v>2.5</v>
      </c>
      <c r="E2677" s="23"/>
      <c r="F2677" s="23"/>
      <c r="G2677" s="23"/>
      <c r="H2677" s="23"/>
      <c r="I2677" s="23"/>
      <c r="J2677" s="23"/>
      <c r="K2677" s="23"/>
      <c r="L2677" s="49"/>
    </row>
    <row r="2678" customFormat="false" ht="15" hidden="true" customHeight="false" outlineLevel="1" collapsed="false">
      <c r="A2678" s="20" t="n">
        <v>17</v>
      </c>
      <c r="B2678" s="6" t="s">
        <v>299</v>
      </c>
      <c r="C2678" s="20" t="s">
        <v>55</v>
      </c>
      <c r="D2678" s="9" t="n">
        <f aca="false">Допущения!$E$59</f>
        <v>1</v>
      </c>
      <c r="E2678" s="23"/>
      <c r="F2678" s="23"/>
      <c r="G2678" s="23"/>
      <c r="H2678" s="23"/>
      <c r="I2678" s="23"/>
      <c r="J2678" s="23"/>
      <c r="K2678" s="23"/>
      <c r="L2678" s="49"/>
    </row>
    <row r="2679" customFormat="false" ht="15" hidden="true" customHeight="false" outlineLevel="1" collapsed="false">
      <c r="A2679" s="20" t="n">
        <v>18</v>
      </c>
      <c r="B2679" s="6" t="s">
        <v>302</v>
      </c>
      <c r="C2679" s="20" t="s">
        <v>55</v>
      </c>
      <c r="D2679" s="9" t="n">
        <f aca="false">Допущения!$E$60</f>
        <v>0.6</v>
      </c>
      <c r="E2679" s="23"/>
      <c r="F2679" s="23"/>
      <c r="G2679" s="23"/>
      <c r="H2679" s="23"/>
      <c r="I2679" s="23"/>
      <c r="J2679" s="23"/>
      <c r="K2679" s="23"/>
      <c r="L2679" s="49"/>
    </row>
    <row r="2680" customFormat="false" ht="15" hidden="true" customHeight="false" outlineLevel="1" collapsed="false">
      <c r="A2680" s="20" t="n">
        <v>19</v>
      </c>
      <c r="B2680" s="6" t="s">
        <v>567</v>
      </c>
      <c r="C2680" s="20" t="s">
        <v>55</v>
      </c>
      <c r="D2680" s="45" t="n">
        <f aca="false">Допущения!$E$61</f>
        <v>0.15</v>
      </c>
      <c r="E2680" s="23"/>
      <c r="F2680" s="23"/>
      <c r="G2680" s="23"/>
      <c r="H2680" s="23"/>
      <c r="I2680" s="23"/>
      <c r="J2680" s="23"/>
      <c r="K2680" s="23"/>
      <c r="L2680" s="49"/>
    </row>
    <row r="2681" customFormat="false" ht="15" hidden="true" customHeight="false" outlineLevel="1" collapsed="false">
      <c r="A2681" s="20" t="n">
        <v>20</v>
      </c>
      <c r="B2681" s="6" t="s">
        <v>568</v>
      </c>
      <c r="C2681" s="20" t="s">
        <v>55</v>
      </c>
      <c r="D2681" s="9" t="n">
        <f aca="false">Допущения!$E$62</f>
        <v>1</v>
      </c>
      <c r="E2681" s="23"/>
      <c r="F2681" s="23"/>
      <c r="G2681" s="23"/>
      <c r="H2681" s="23"/>
      <c r="I2681" s="23"/>
      <c r="J2681" s="23"/>
      <c r="K2681" s="23"/>
      <c r="L2681" s="49"/>
    </row>
    <row r="2682" customFormat="false" ht="15" hidden="true" customHeight="false" outlineLevel="1" collapsed="false">
      <c r="A2682" s="20" t="n">
        <v>21</v>
      </c>
      <c r="B2682" s="6" t="s">
        <v>569</v>
      </c>
      <c r="C2682" s="20" t="s">
        <v>71</v>
      </c>
      <c r="D2682" s="9" t="n">
        <f aca="false">Допущения!$E$63</f>
        <v>0.4</v>
      </c>
      <c r="E2682" s="23"/>
      <c r="F2682" s="23"/>
      <c r="G2682" s="23"/>
      <c r="H2682" s="23"/>
      <c r="I2682" s="23"/>
      <c r="J2682" s="23"/>
      <c r="K2682" s="23"/>
      <c r="L2682" s="49"/>
    </row>
    <row r="2683" customFormat="false" ht="15" hidden="true" customHeight="false" outlineLevel="1" collapsed="false">
      <c r="A2683" s="20" t="n">
        <v>22</v>
      </c>
      <c r="B2683" s="6" t="s">
        <v>314</v>
      </c>
      <c r="C2683" s="20" t="s">
        <v>55</v>
      </c>
      <c r="D2683" s="9" t="n">
        <f aca="false">Допущения!$E$64</f>
        <v>1.2</v>
      </c>
      <c r="E2683" s="23"/>
      <c r="F2683" s="23"/>
      <c r="G2683" s="23"/>
      <c r="H2683" s="23"/>
      <c r="I2683" s="23"/>
      <c r="J2683" s="23"/>
      <c r="K2683" s="23"/>
      <c r="L2683" s="49"/>
    </row>
    <row r="2684" customFormat="false" ht="15" hidden="true" customHeight="false" outlineLevel="1" collapsed="false">
      <c r="A2684" s="20" t="n">
        <v>23</v>
      </c>
      <c r="B2684" s="6" t="s">
        <v>317</v>
      </c>
      <c r="C2684" s="20" t="s">
        <v>55</v>
      </c>
      <c r="D2684" s="45" t="n">
        <f aca="false">Допущения!$E$65</f>
        <v>0.1</v>
      </c>
      <c r="E2684" s="23"/>
      <c r="F2684" s="23"/>
      <c r="G2684" s="23"/>
      <c r="H2684" s="23"/>
      <c r="I2684" s="23"/>
      <c r="J2684" s="23"/>
      <c r="K2684" s="23"/>
      <c r="L2684" s="49"/>
    </row>
    <row r="2685" customFormat="false" ht="15" hidden="true" customHeight="false" outlineLevel="1" collapsed="false">
      <c r="A2685" s="20" t="n">
        <v>24</v>
      </c>
      <c r="B2685" s="6" t="s">
        <v>320</v>
      </c>
      <c r="C2685" s="20" t="s">
        <v>71</v>
      </c>
      <c r="D2685" s="45" t="n">
        <f aca="false">Допущения!$E$66</f>
        <v>0.25</v>
      </c>
      <c r="E2685" s="23"/>
      <c r="F2685" s="23"/>
      <c r="G2685" s="23"/>
      <c r="H2685" s="23"/>
      <c r="I2685" s="23"/>
      <c r="J2685" s="23"/>
      <c r="K2685" s="23"/>
      <c r="L2685" s="49"/>
    </row>
    <row r="2686" customFormat="false" ht="15" hidden="true" customHeight="false" outlineLevel="1" collapsed="false">
      <c r="A2686" s="20" t="n">
        <v>25</v>
      </c>
      <c r="B2686" s="6" t="s">
        <v>570</v>
      </c>
      <c r="C2686" s="20" t="s">
        <v>71</v>
      </c>
      <c r="D2686" s="9" t="n">
        <f aca="false">Допущения!$E$67</f>
        <v>0.3</v>
      </c>
      <c r="E2686" s="23"/>
      <c r="F2686" s="23"/>
      <c r="G2686" s="23"/>
      <c r="H2686" s="23"/>
      <c r="I2686" s="23"/>
      <c r="J2686" s="23"/>
      <c r="K2686" s="23"/>
      <c r="L2686" s="49"/>
    </row>
    <row r="2687" customFormat="false" ht="15" hidden="true" customHeight="false" outlineLevel="1" collapsed="false">
      <c r="A2687" s="20" t="n">
        <v>26</v>
      </c>
      <c r="B2687" s="6" t="s">
        <v>326</v>
      </c>
      <c r="C2687" s="20" t="s">
        <v>261</v>
      </c>
      <c r="D2687" s="22" t="n">
        <f aca="false">Допущения!$E$68</f>
        <v>0.05</v>
      </c>
      <c r="E2687" s="23"/>
      <c r="F2687" s="23"/>
      <c r="G2687" s="23"/>
      <c r="H2687" s="23"/>
      <c r="I2687" s="23"/>
      <c r="J2687" s="23"/>
      <c r="K2687" s="23"/>
      <c r="L2687" s="49"/>
    </row>
    <row r="2688" customFormat="false" ht="15" hidden="true" customHeight="false" outlineLevel="1" collapsed="false">
      <c r="A2688" s="20" t="n">
        <v>27</v>
      </c>
      <c r="B2688" s="6" t="s">
        <v>571</v>
      </c>
      <c r="C2688" s="20" t="s">
        <v>330</v>
      </c>
      <c r="D2688" s="22" t="n">
        <f aca="false">Допущения!$E$69</f>
        <v>0.1</v>
      </c>
      <c r="E2688" s="23"/>
      <c r="F2688" s="23"/>
      <c r="G2688" s="23"/>
      <c r="H2688" s="23"/>
      <c r="I2688" s="23"/>
      <c r="J2688" s="23"/>
      <c r="K2688" s="23"/>
      <c r="L2688" s="49"/>
    </row>
    <row r="2689" customFormat="false" ht="15" hidden="true" customHeight="false" outlineLevel="1" collapsed="false">
      <c r="A2689" s="20" t="n">
        <v>28</v>
      </c>
      <c r="B2689" s="6" t="s">
        <v>572</v>
      </c>
      <c r="C2689" s="20" t="s">
        <v>68</v>
      </c>
      <c r="D2689" s="22" t="n">
        <f aca="false">Допущения!$E$71</f>
        <v>0.05</v>
      </c>
      <c r="E2689" s="23"/>
      <c r="F2689" s="23"/>
      <c r="G2689" s="23"/>
      <c r="H2689" s="23"/>
      <c r="I2689" s="23"/>
      <c r="J2689" s="23"/>
      <c r="K2689" s="23"/>
      <c r="L2689" s="49"/>
    </row>
    <row r="2690" customFormat="false" ht="15" hidden="true" customHeight="false" outlineLevel="1" collapsed="false">
      <c r="A2690" s="20" t="n">
        <v>29</v>
      </c>
      <c r="B2690" s="6" t="s">
        <v>573</v>
      </c>
      <c r="C2690" s="20" t="s">
        <v>68</v>
      </c>
      <c r="D2690" s="22" t="n">
        <f aca="false">Допущения!$E$72</f>
        <v>0.5</v>
      </c>
      <c r="E2690" s="23"/>
      <c r="F2690" s="23"/>
      <c r="G2690" s="23"/>
      <c r="H2690" s="23"/>
      <c r="I2690" s="23"/>
      <c r="J2690" s="23"/>
      <c r="K2690" s="23"/>
      <c r="L2690" s="49"/>
    </row>
    <row r="2691" customFormat="false" ht="15" hidden="true" customHeight="false" outlineLevel="1" collapsed="false">
      <c r="A2691" s="20" t="n">
        <v>30</v>
      </c>
      <c r="B2691" s="6" t="s">
        <v>574</v>
      </c>
      <c r="C2691" s="20" t="s">
        <v>575</v>
      </c>
      <c r="D2691" s="7" t="n">
        <f aca="false">Допущения!$E$73</f>
        <v>90</v>
      </c>
      <c r="E2691" s="23"/>
      <c r="F2691" s="23"/>
      <c r="G2691" s="23"/>
      <c r="H2691" s="23"/>
      <c r="I2691" s="23"/>
      <c r="J2691" s="23"/>
      <c r="K2691" s="23"/>
      <c r="L2691" s="49"/>
    </row>
    <row r="2692" customFormat="false" ht="15" hidden="true" customHeight="false" outlineLevel="1" collapsed="false">
      <c r="A2692" s="20" t="n">
        <v>31</v>
      </c>
      <c r="B2692" s="6" t="s">
        <v>345</v>
      </c>
      <c r="C2692" s="20" t="s">
        <v>68</v>
      </c>
      <c r="D2692" s="22" t="n">
        <f aca="false">Допущения!$E$74</f>
        <v>0.3</v>
      </c>
      <c r="E2692" s="23"/>
      <c r="F2692" s="23"/>
      <c r="G2692" s="23"/>
      <c r="H2692" s="23"/>
      <c r="I2692" s="23"/>
      <c r="J2692" s="23"/>
      <c r="K2692" s="23"/>
      <c r="L2692" s="49"/>
    </row>
    <row r="2693" customFormat="false" ht="15" hidden="true" customHeight="false" outlineLevel="1" collapsed="false">
      <c r="A2693" s="20" t="n">
        <v>32</v>
      </c>
      <c r="B2693" s="6" t="s">
        <v>576</v>
      </c>
      <c r="C2693" s="20" t="s">
        <v>261</v>
      </c>
      <c r="D2693" s="22" t="n">
        <f aca="false">Допущения!$E$75</f>
        <v>0.04</v>
      </c>
      <c r="E2693" s="23"/>
      <c r="F2693" s="23"/>
      <c r="G2693" s="23"/>
      <c r="H2693" s="23"/>
      <c r="I2693" s="23"/>
      <c r="J2693" s="23"/>
      <c r="K2693" s="23"/>
      <c r="L2693" s="49"/>
    </row>
    <row r="2694" customFormat="false" ht="15" hidden="true" customHeight="false" outlineLevel="1" collapsed="false">
      <c r="A2694" s="20" t="n">
        <v>33</v>
      </c>
      <c r="B2694" s="6" t="s">
        <v>577</v>
      </c>
      <c r="C2694" s="20" t="s">
        <v>68</v>
      </c>
      <c r="D2694" s="22" t="n">
        <f aca="false">Допущения!$E$76</f>
        <v>0.2</v>
      </c>
      <c r="E2694" s="23"/>
      <c r="F2694" s="23"/>
      <c r="G2694" s="23"/>
      <c r="H2694" s="23"/>
      <c r="I2694" s="23"/>
      <c r="J2694" s="23"/>
      <c r="K2694" s="23"/>
      <c r="L2694" s="49"/>
    </row>
    <row r="2695" customFormat="false" ht="15" hidden="true" customHeight="false" outlineLevel="1" collapsed="false">
      <c r="A2695" s="20" t="n">
        <v>34</v>
      </c>
      <c r="B2695" s="6" t="s">
        <v>578</v>
      </c>
      <c r="C2695" s="20" t="s">
        <v>105</v>
      </c>
      <c r="D2695" s="50" t="n">
        <f aca="false">Рынок!$E$30</f>
        <v>0.490909090909091</v>
      </c>
      <c r="E2695" s="23"/>
      <c r="F2695" s="23"/>
      <c r="G2695" s="23"/>
      <c r="H2695" s="23"/>
      <c r="I2695" s="23"/>
      <c r="J2695" s="23"/>
      <c r="K2695" s="23"/>
      <c r="L2695" s="49" t="s">
        <v>579</v>
      </c>
    </row>
    <row r="2696" customFormat="false" ht="15" hidden="true" customHeight="false" outlineLevel="1" collapsed="false">
      <c r="A2696" s="20" t="n">
        <v>35</v>
      </c>
      <c r="B2696" s="6" t="s">
        <v>580</v>
      </c>
      <c r="C2696" s="20" t="s">
        <v>105</v>
      </c>
      <c r="D2696" s="50" t="n">
        <f aca="false">Рынок!$E$31</f>
        <v>0.028125</v>
      </c>
      <c r="E2696" s="23"/>
      <c r="F2696" s="23"/>
      <c r="G2696" s="23"/>
      <c r="H2696" s="23"/>
      <c r="I2696" s="23"/>
      <c r="J2696" s="23"/>
      <c r="K2696" s="23"/>
      <c r="L2696" s="49" t="s">
        <v>579</v>
      </c>
    </row>
    <row r="2697" customFormat="false" ht="15" hidden="true" customHeight="false" outlineLevel="1" collapsed="false">
      <c r="A2697" s="20" t="n">
        <v>36</v>
      </c>
      <c r="B2697" s="6" t="s">
        <v>581</v>
      </c>
      <c r="C2697" s="20" t="s">
        <v>142</v>
      </c>
      <c r="D2697" s="7" t="n">
        <f aca="false">План!$D$18</f>
        <v>200</v>
      </c>
      <c r="E2697" s="23"/>
      <c r="F2697" s="23"/>
      <c r="G2697" s="23"/>
      <c r="H2697" s="23"/>
      <c r="I2697" s="23"/>
      <c r="J2697" s="23"/>
      <c r="K2697" s="23"/>
      <c r="L2697" s="49" t="s">
        <v>582</v>
      </c>
    </row>
    <row r="2698" customFormat="false" ht="15" hidden="true" customHeight="false" outlineLevel="1" collapsed="false">
      <c r="A2698" s="20" t="n">
        <v>37</v>
      </c>
      <c r="B2698" s="6" t="s">
        <v>583</v>
      </c>
      <c r="C2698" s="20" t="s">
        <v>142</v>
      </c>
      <c r="D2698" s="7" t="n">
        <f aca="false">План!$D$19</f>
        <v>280</v>
      </c>
      <c r="E2698" s="23"/>
      <c r="F2698" s="23"/>
      <c r="G2698" s="23"/>
      <c r="H2698" s="23"/>
      <c r="I2698" s="23"/>
      <c r="J2698" s="23"/>
      <c r="K2698" s="23"/>
      <c r="L2698" s="49" t="s">
        <v>582</v>
      </c>
    </row>
    <row r="2699" customFormat="false" ht="15" hidden="true" customHeight="false" outlineLevel="1" collapsed="false">
      <c r="A2699" s="20" t="n">
        <v>38</v>
      </c>
      <c r="B2699" s="6" t="s">
        <v>584</v>
      </c>
      <c r="C2699" s="20" t="s">
        <v>142</v>
      </c>
      <c r="D2699" s="7" t="n">
        <f aca="false">План!$D$20</f>
        <v>230</v>
      </c>
      <c r="E2699" s="23"/>
      <c r="F2699" s="23"/>
      <c r="G2699" s="23"/>
      <c r="H2699" s="23"/>
      <c r="I2699" s="23"/>
      <c r="J2699" s="23"/>
      <c r="K2699" s="23"/>
      <c r="L2699" s="49" t="s">
        <v>582</v>
      </c>
    </row>
    <row r="2700" customFormat="false" ht="15" hidden="true" customHeight="false" outlineLevel="1" collapsed="false">
      <c r="A2700" s="20" t="n">
        <v>39</v>
      </c>
      <c r="B2700" s="6" t="s">
        <v>585</v>
      </c>
      <c r="C2700" s="20" t="s">
        <v>142</v>
      </c>
      <c r="D2700" s="7" t="n">
        <f aca="false">План!$D$21</f>
        <v>220</v>
      </c>
      <c r="E2700" s="23"/>
      <c r="F2700" s="23"/>
      <c r="G2700" s="23"/>
      <c r="H2700" s="23"/>
      <c r="I2700" s="23"/>
      <c r="J2700" s="23"/>
      <c r="K2700" s="23"/>
      <c r="L2700" s="49" t="s">
        <v>582</v>
      </c>
    </row>
    <row r="2701" customFormat="false" ht="15" hidden="true" customHeight="false" outlineLevel="1" collapsed="false">
      <c r="A2701" s="20" t="n">
        <v>40</v>
      </c>
      <c r="B2701" s="6" t="s">
        <v>586</v>
      </c>
      <c r="C2701" s="20" t="s">
        <v>142</v>
      </c>
      <c r="D2701" s="7" t="n">
        <f aca="false">План!$D$22</f>
        <v>250</v>
      </c>
      <c r="E2701" s="23"/>
      <c r="F2701" s="23"/>
      <c r="G2701" s="23"/>
      <c r="H2701" s="23"/>
      <c r="I2701" s="23"/>
      <c r="J2701" s="23"/>
      <c r="K2701" s="23"/>
      <c r="L2701" s="49" t="s">
        <v>582</v>
      </c>
    </row>
    <row r="2702" customFormat="false" ht="15" hidden="true" customHeight="false" outlineLevel="1" collapsed="false">
      <c r="A2702" s="20" t="n">
        <v>41</v>
      </c>
      <c r="B2702" s="6" t="s">
        <v>587</v>
      </c>
      <c r="C2702" s="20" t="s">
        <v>142</v>
      </c>
      <c r="D2702" s="7" t="n">
        <f aca="false">План!$D$23</f>
        <v>220</v>
      </c>
      <c r="E2702" s="23"/>
      <c r="F2702" s="23"/>
      <c r="G2702" s="23"/>
      <c r="H2702" s="23"/>
      <c r="I2702" s="23"/>
      <c r="J2702" s="23"/>
      <c r="K2702" s="23"/>
      <c r="L2702" s="49" t="s">
        <v>582</v>
      </c>
    </row>
    <row r="2703" customFormat="false" ht="15" hidden="true" customHeight="false" outlineLevel="1" collapsed="false">
      <c r="A2703" s="20" t="n">
        <v>42</v>
      </c>
      <c r="B2703" s="6" t="s">
        <v>359</v>
      </c>
      <c r="C2703" s="20" t="s">
        <v>76</v>
      </c>
      <c r="D2703" s="23"/>
      <c r="E2703" s="9" t="n">
        <f aca="false">План!E16</f>
        <v>0</v>
      </c>
      <c r="F2703" s="9" t="n">
        <f aca="false">План!F16</f>
        <v>0</v>
      </c>
      <c r="G2703" s="9" t="n">
        <f aca="false">План!G16</f>
        <v>0</v>
      </c>
      <c r="H2703" s="9" t="n">
        <f aca="false">План!H16</f>
        <v>1</v>
      </c>
      <c r="I2703" s="9" t="n">
        <f aca="false">План!I16</f>
        <v>0</v>
      </c>
      <c r="J2703" s="9" t="n">
        <f aca="false">План!J16</f>
        <v>1</v>
      </c>
      <c r="K2703" s="51" t="n">
        <f aca="false">SUM(F2703:J2703)</f>
        <v>2</v>
      </c>
      <c r="L2703" s="49" t="s">
        <v>582</v>
      </c>
    </row>
    <row r="2704" customFormat="false" ht="15" hidden="true" customHeight="false" outlineLevel="1" collapsed="false">
      <c r="A2704" s="20" t="n">
        <v>43</v>
      </c>
      <c r="B2704" s="6" t="s">
        <v>361</v>
      </c>
      <c r="C2704" s="20" t="s">
        <v>76</v>
      </c>
      <c r="D2704" s="23"/>
      <c r="E2704" s="9" t="n">
        <f aca="false">План!E17</f>
        <v>0</v>
      </c>
      <c r="F2704" s="9" t="n">
        <f aca="false">План!F17</f>
        <v>0</v>
      </c>
      <c r="G2704" s="9" t="n">
        <f aca="false">План!G17</f>
        <v>1</v>
      </c>
      <c r="H2704" s="9" t="n">
        <f aca="false">План!H17</f>
        <v>2</v>
      </c>
      <c r="I2704" s="9" t="n">
        <f aca="false">План!I17</f>
        <v>2</v>
      </c>
      <c r="J2704" s="9" t="n">
        <f aca="false">План!J17</f>
        <v>3</v>
      </c>
      <c r="K2704" s="51" t="n">
        <f aca="false">SUM(F2704:J2704)</f>
        <v>8</v>
      </c>
      <c r="L2704" s="49" t="s">
        <v>582</v>
      </c>
    </row>
    <row r="2705" customFormat="false" ht="15" hidden="true" customHeight="false" outlineLevel="1" collapsed="false">
      <c r="A2705" s="20" t="n">
        <v>44</v>
      </c>
      <c r="B2705" s="6" t="s">
        <v>588</v>
      </c>
      <c r="C2705" s="20" t="s">
        <v>53</v>
      </c>
      <c r="D2705" s="23"/>
      <c r="E2705" s="9" t="n">
        <f aca="false">План!E18</f>
        <v>2</v>
      </c>
      <c r="F2705" s="9" t="n">
        <f aca="false">План!F18</f>
        <v>2</v>
      </c>
      <c r="G2705" s="9" t="n">
        <f aca="false">План!G18</f>
        <v>2</v>
      </c>
      <c r="H2705" s="9" t="n">
        <f aca="false">План!H18</f>
        <v>2</v>
      </c>
      <c r="I2705" s="9" t="n">
        <f aca="false">План!I18</f>
        <v>2</v>
      </c>
      <c r="J2705" s="9" t="n">
        <f aca="false">План!J18</f>
        <v>2</v>
      </c>
      <c r="K2705" s="23"/>
      <c r="L2705" s="49" t="s">
        <v>582</v>
      </c>
    </row>
    <row r="2706" customFormat="false" ht="15" hidden="true" customHeight="false" outlineLevel="1" collapsed="false">
      <c r="A2706" s="20" t="n">
        <v>45</v>
      </c>
      <c r="B2706" s="6" t="s">
        <v>589</v>
      </c>
      <c r="C2706" s="20" t="s">
        <v>53</v>
      </c>
      <c r="D2706" s="23"/>
      <c r="E2706" s="9" t="n">
        <f aca="false">План!E19</f>
        <v>0</v>
      </c>
      <c r="F2706" s="9" t="n">
        <f aca="false">План!F19</f>
        <v>1</v>
      </c>
      <c r="G2706" s="9" t="n">
        <f aca="false">План!G19</f>
        <v>1</v>
      </c>
      <c r="H2706" s="9" t="n">
        <f aca="false">План!H19</f>
        <v>1</v>
      </c>
      <c r="I2706" s="9" t="n">
        <f aca="false">План!I19</f>
        <v>2</v>
      </c>
      <c r="J2706" s="9" t="n">
        <f aca="false">План!J19</f>
        <v>2</v>
      </c>
      <c r="K2706" s="23"/>
      <c r="L2706" s="49" t="s">
        <v>582</v>
      </c>
    </row>
    <row r="2707" customFormat="false" ht="15" hidden="true" customHeight="false" outlineLevel="1" collapsed="false">
      <c r="A2707" s="20" t="n">
        <v>46</v>
      </c>
      <c r="B2707" s="6" t="s">
        <v>590</v>
      </c>
      <c r="C2707" s="20" t="s">
        <v>53</v>
      </c>
      <c r="D2707" s="23"/>
      <c r="E2707" s="9" t="n">
        <f aca="false">План!E20</f>
        <v>0</v>
      </c>
      <c r="F2707" s="9" t="n">
        <f aca="false">План!F20</f>
        <v>1</v>
      </c>
      <c r="G2707" s="9" t="n">
        <f aca="false">План!G20</f>
        <v>1</v>
      </c>
      <c r="H2707" s="9" t="n">
        <f aca="false">План!H20</f>
        <v>1</v>
      </c>
      <c r="I2707" s="9" t="n">
        <f aca="false">План!I20</f>
        <v>1</v>
      </c>
      <c r="J2707" s="9" t="n">
        <f aca="false">План!J20</f>
        <v>1</v>
      </c>
      <c r="K2707" s="23"/>
      <c r="L2707" s="49" t="s">
        <v>582</v>
      </c>
    </row>
    <row r="2708" customFormat="false" ht="15" hidden="true" customHeight="false" outlineLevel="1" collapsed="false">
      <c r="A2708" s="20" t="n">
        <v>47</v>
      </c>
      <c r="B2708" s="6" t="s">
        <v>591</v>
      </c>
      <c r="C2708" s="20" t="s">
        <v>53</v>
      </c>
      <c r="D2708" s="23"/>
      <c r="E2708" s="9" t="n">
        <f aca="false">План!E21</f>
        <v>0</v>
      </c>
      <c r="F2708" s="9" t="n">
        <f aca="false">План!F21</f>
        <v>0</v>
      </c>
      <c r="G2708" s="9" t="n">
        <f aca="false">План!G21</f>
        <v>1</v>
      </c>
      <c r="H2708" s="9" t="n">
        <f aca="false">План!H21</f>
        <v>1</v>
      </c>
      <c r="I2708" s="9" t="n">
        <f aca="false">План!I21</f>
        <v>1</v>
      </c>
      <c r="J2708" s="9" t="n">
        <f aca="false">План!J21</f>
        <v>1</v>
      </c>
      <c r="K2708" s="23"/>
      <c r="L2708" s="49" t="s">
        <v>582</v>
      </c>
    </row>
    <row r="2709" customFormat="false" ht="15" hidden="true" customHeight="false" outlineLevel="1" collapsed="false">
      <c r="A2709" s="20" t="n">
        <v>48</v>
      </c>
      <c r="B2709" s="6" t="s">
        <v>592</v>
      </c>
      <c r="C2709" s="20" t="s">
        <v>53</v>
      </c>
      <c r="D2709" s="23"/>
      <c r="E2709" s="9" t="n">
        <f aca="false">План!E22</f>
        <v>0</v>
      </c>
      <c r="F2709" s="9" t="n">
        <f aca="false">План!F22</f>
        <v>0</v>
      </c>
      <c r="G2709" s="9" t="n">
        <f aca="false">План!G22</f>
        <v>0</v>
      </c>
      <c r="H2709" s="9" t="n">
        <f aca="false">План!H22</f>
        <v>1</v>
      </c>
      <c r="I2709" s="9" t="n">
        <f aca="false">План!I22</f>
        <v>1</v>
      </c>
      <c r="J2709" s="9" t="n">
        <f aca="false">План!J22</f>
        <v>1</v>
      </c>
      <c r="K2709" s="23"/>
      <c r="L2709" s="49" t="s">
        <v>582</v>
      </c>
    </row>
    <row r="2710" customFormat="false" ht="15" hidden="true" customHeight="false" outlineLevel="1" collapsed="false">
      <c r="A2710" s="20" t="n">
        <v>49</v>
      </c>
      <c r="B2710" s="6" t="s">
        <v>593</v>
      </c>
      <c r="C2710" s="20" t="s">
        <v>53</v>
      </c>
      <c r="D2710" s="23"/>
      <c r="E2710" s="9" t="n">
        <f aca="false">План!E23</f>
        <v>0</v>
      </c>
      <c r="F2710" s="9" t="n">
        <f aca="false">План!F23</f>
        <v>0</v>
      </c>
      <c r="G2710" s="9" t="n">
        <f aca="false">План!G23</f>
        <v>0</v>
      </c>
      <c r="H2710" s="9" t="n">
        <f aca="false">План!H23</f>
        <v>0</v>
      </c>
      <c r="I2710" s="9" t="n">
        <f aca="false">План!I23</f>
        <v>0</v>
      </c>
      <c r="J2710" s="9" t="n">
        <f aca="false">План!J23</f>
        <v>1</v>
      </c>
      <c r="K2710" s="23"/>
      <c r="L2710" s="49" t="s">
        <v>582</v>
      </c>
    </row>
    <row r="2711" customFormat="false" ht="15" hidden="true" customHeight="false" outlineLevel="1" collapsed="false">
      <c r="A2711" s="19" t="s">
        <v>594</v>
      </c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</row>
    <row r="2712" customFormat="false" ht="15" hidden="true" customHeight="false" outlineLevel="1" collapsed="false">
      <c r="A2712" s="20" t="n">
        <v>50</v>
      </c>
      <c r="B2712" s="6" t="s">
        <v>595</v>
      </c>
      <c r="C2712" s="20"/>
      <c r="D2712" s="23"/>
      <c r="E2712" s="10" t="n">
        <f aca="false">Допущения!$D$3</f>
        <v>2026</v>
      </c>
      <c r="F2712" s="52" t="n">
        <f aca="false">E2712+1</f>
        <v>2027</v>
      </c>
      <c r="G2712" s="52" t="n">
        <f aca="false">F2712+1</f>
        <v>2028</v>
      </c>
      <c r="H2712" s="52" t="n">
        <f aca="false">G2712+1</f>
        <v>2029</v>
      </c>
      <c r="I2712" s="52" t="n">
        <f aca="false">H2712+1</f>
        <v>2030</v>
      </c>
      <c r="J2712" s="52" t="n">
        <f aca="false">I2712+1</f>
        <v>2031</v>
      </c>
      <c r="K2712" s="23"/>
      <c r="L2712" s="49" t="s">
        <v>596</v>
      </c>
    </row>
    <row r="2713" customFormat="false" ht="15" hidden="true" customHeight="false" outlineLevel="1" collapsed="false">
      <c r="A2713" s="20" t="n">
        <v>51</v>
      </c>
      <c r="B2713" s="6" t="s">
        <v>597</v>
      </c>
      <c r="C2713" s="20" t="s">
        <v>62</v>
      </c>
      <c r="D2713" s="23"/>
      <c r="E2713" s="23"/>
      <c r="F2713" s="53" t="n">
        <f aca="false">(1+$D$2669)^(F$2712-$E$2712-1)</f>
        <v>1</v>
      </c>
      <c r="G2713" s="53" t="n">
        <f aca="false">(1+$D$2669)^(G$2712-$E$2712-1)</f>
        <v>1.05</v>
      </c>
      <c r="H2713" s="53" t="n">
        <f aca="false">(1+$D$2669)^(H$2712-$E$2712-1)</f>
        <v>1.1025</v>
      </c>
      <c r="I2713" s="53" t="n">
        <f aca="false">(1+$D$2669)^(I$2712-$E$2712-1)</f>
        <v>1.157625</v>
      </c>
      <c r="J2713" s="53" t="n">
        <f aca="false">(1+$D$2669)^(J$2712-$E$2712-1)</f>
        <v>1.21550625</v>
      </c>
      <c r="K2713" s="23"/>
      <c r="L2713" s="49" t="s">
        <v>598</v>
      </c>
    </row>
    <row r="2714" customFormat="false" ht="15" hidden="true" customHeight="false" outlineLevel="1" collapsed="false">
      <c r="A2714" s="20" t="n">
        <v>52</v>
      </c>
      <c r="B2714" s="6" t="s">
        <v>599</v>
      </c>
      <c r="C2714" s="20" t="s">
        <v>62</v>
      </c>
      <c r="D2714" s="23"/>
      <c r="E2714" s="23"/>
      <c r="F2714" s="53" t="n">
        <f aca="false">(1+$D$2687)^(F$2712-$E$2712-1)</f>
        <v>1</v>
      </c>
      <c r="G2714" s="53" t="n">
        <f aca="false">(1+$D$2687)^(G$2712-$E$2712-1)</f>
        <v>1.05</v>
      </c>
      <c r="H2714" s="53" t="n">
        <f aca="false">(1+$D$2687)^(H$2712-$E$2712-1)</f>
        <v>1.1025</v>
      </c>
      <c r="I2714" s="53" t="n">
        <f aca="false">(1+$D$2687)^(I$2712-$E$2712-1)</f>
        <v>1.157625</v>
      </c>
      <c r="J2714" s="53" t="n">
        <f aca="false">(1+$D$2687)^(J$2712-$E$2712-1)</f>
        <v>1.21550625</v>
      </c>
      <c r="K2714" s="23"/>
      <c r="L2714" s="49" t="s">
        <v>600</v>
      </c>
    </row>
    <row r="2715" customFormat="false" ht="15" hidden="true" customHeight="false" outlineLevel="1" collapsed="false">
      <c r="A2715" s="20" t="n">
        <v>53</v>
      </c>
      <c r="B2715" s="6" t="s">
        <v>601</v>
      </c>
      <c r="C2715" s="20" t="s">
        <v>62</v>
      </c>
      <c r="D2715" s="23"/>
      <c r="E2715" s="23"/>
      <c r="F2715" s="53" t="n">
        <f aca="false">(1+$D$2671)^(F$2712-$E$2712-1)</f>
        <v>1</v>
      </c>
      <c r="G2715" s="53" t="n">
        <f aca="false">(1+$D$2671)^(G$2712-$E$2712-1)</f>
        <v>1.07</v>
      </c>
      <c r="H2715" s="53" t="n">
        <f aca="false">(1+$D$2671)^(H$2712-$E$2712-1)</f>
        <v>1.1449</v>
      </c>
      <c r="I2715" s="53" t="n">
        <f aca="false">(1+$D$2671)^(I$2712-$E$2712-1)</f>
        <v>1.225043</v>
      </c>
      <c r="J2715" s="53" t="n">
        <f aca="false">(1+$D$2671)^(J$2712-$E$2712-1)</f>
        <v>1.31079601</v>
      </c>
      <c r="K2715" s="23"/>
      <c r="L2715" s="49" t="s">
        <v>602</v>
      </c>
    </row>
    <row r="2716" customFormat="false" ht="15" hidden="true" customHeight="false" outlineLevel="1" collapsed="false">
      <c r="A2716" s="20" t="n">
        <v>54</v>
      </c>
      <c r="B2716" s="6" t="s">
        <v>603</v>
      </c>
      <c r="C2716" s="20" t="s">
        <v>55</v>
      </c>
      <c r="D2716" s="23"/>
      <c r="E2716" s="23"/>
      <c r="F2716" s="46" t="n">
        <f aca="false">$D$2675*(1+$D$2676)^(F$2712-$E$2712)</f>
        <v>3.21732</v>
      </c>
      <c r="G2716" s="46" t="n">
        <f aca="false">$D$2675*(1+$D$2676)^(G$2712-$E$2712)</f>
        <v>3.4747056</v>
      </c>
      <c r="H2716" s="46" t="n">
        <f aca="false">$D$2675*(1+$D$2676)^(H$2712-$E$2712)</f>
        <v>3.752682048</v>
      </c>
      <c r="I2716" s="46" t="n">
        <f aca="false">$D$2675*(1+$D$2676)^(I$2712-$E$2712)</f>
        <v>4.05289661184</v>
      </c>
      <c r="J2716" s="46" t="n">
        <f aca="false">$D$2675*(1+$D$2676)^(J$2712-$E$2712)</f>
        <v>4.3771283407872</v>
      </c>
      <c r="K2716" s="23"/>
      <c r="L2716" s="49" t="s">
        <v>604</v>
      </c>
    </row>
    <row r="2717" customFormat="false" ht="15" hidden="true" customHeight="false" outlineLevel="1" collapsed="false">
      <c r="A2717" s="19" t="s">
        <v>605</v>
      </c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</row>
    <row r="2718" customFormat="false" ht="15" hidden="true" customHeight="false" outlineLevel="1" collapsed="false">
      <c r="A2718" s="20" t="n">
        <v>55</v>
      </c>
      <c r="B2718" s="6" t="s">
        <v>606</v>
      </c>
      <c r="C2718" s="20" t="s">
        <v>76</v>
      </c>
      <c r="D2718" s="23"/>
      <c r="E2718" s="23"/>
      <c r="F2718" s="38" t="n">
        <f aca="false">IF(F$2712=$D$2662,1,0)</f>
        <v>0</v>
      </c>
      <c r="G2718" s="38" t="n">
        <f aca="false">IF(G$2712=$D$2662,1,0)</f>
        <v>1</v>
      </c>
      <c r="H2718" s="38" t="n">
        <f aca="false">IF(H$2712=$D$2662,1,0)</f>
        <v>0</v>
      </c>
      <c r="I2718" s="38" t="n">
        <f aca="false">IF(I$2712=$D$2662,1,0)</f>
        <v>0</v>
      </c>
      <c r="J2718" s="38" t="n">
        <f aca="false">IF(J$2712=$D$2662,1,0)</f>
        <v>0</v>
      </c>
      <c r="K2718" s="23"/>
      <c r="L2718" s="49" t="s">
        <v>607</v>
      </c>
    </row>
    <row r="2719" customFormat="false" ht="15" hidden="true" customHeight="false" outlineLevel="1" collapsed="false">
      <c r="A2719" s="20" t="n">
        <v>56</v>
      </c>
      <c r="B2719" s="6" t="s">
        <v>608</v>
      </c>
      <c r="C2719" s="20" t="s">
        <v>76</v>
      </c>
      <c r="D2719" s="23"/>
      <c r="E2719" s="38" t="n">
        <f aca="false">0</f>
        <v>0</v>
      </c>
      <c r="F2719" s="38" t="n">
        <f aca="false">F2718+F2703</f>
        <v>0</v>
      </c>
      <c r="G2719" s="38" t="n">
        <f aca="false">G2718+G2703</f>
        <v>1</v>
      </c>
      <c r="H2719" s="38" t="n">
        <f aca="false">H2718+H2703</f>
        <v>1</v>
      </c>
      <c r="I2719" s="38" t="n">
        <f aca="false">I2718+I2703</f>
        <v>0</v>
      </c>
      <c r="J2719" s="38" t="n">
        <f aca="false">J2718+J2703</f>
        <v>1</v>
      </c>
      <c r="K2719" s="54" t="n">
        <f aca="false">SUM(F2719:J2719)</f>
        <v>3</v>
      </c>
      <c r="L2719" s="49" t="s">
        <v>609</v>
      </c>
    </row>
    <row r="2720" customFormat="false" ht="15" hidden="true" customHeight="false" outlineLevel="1" collapsed="false">
      <c r="A2720" s="20" t="n">
        <v>57</v>
      </c>
      <c r="B2720" s="6" t="s">
        <v>610</v>
      </c>
      <c r="C2720" s="20" t="s">
        <v>76</v>
      </c>
      <c r="D2720" s="23"/>
      <c r="E2720" s="38" t="n">
        <f aca="false">0</f>
        <v>0</v>
      </c>
      <c r="F2720" s="38" t="n">
        <f aca="false">E2720+F2719</f>
        <v>0</v>
      </c>
      <c r="G2720" s="38" t="n">
        <f aca="false">F2720+G2719</f>
        <v>1</v>
      </c>
      <c r="H2720" s="38" t="n">
        <f aca="false">G2720+H2719</f>
        <v>2</v>
      </c>
      <c r="I2720" s="38" t="n">
        <f aca="false">H2720+I2719</f>
        <v>2</v>
      </c>
      <c r="J2720" s="38" t="n">
        <f aca="false">I2720+J2719</f>
        <v>3</v>
      </c>
      <c r="K2720" s="23"/>
      <c r="L2720" s="49" t="s">
        <v>611</v>
      </c>
    </row>
    <row r="2721" customFormat="false" ht="15" hidden="true" customHeight="false" outlineLevel="1" collapsed="false">
      <c r="A2721" s="20" t="n">
        <v>58</v>
      </c>
      <c r="B2721" s="6" t="s">
        <v>612</v>
      </c>
      <c r="C2721" s="20" t="s">
        <v>76</v>
      </c>
      <c r="D2721" s="23"/>
      <c r="E2721" s="38" t="n">
        <f aca="false">0</f>
        <v>0</v>
      </c>
      <c r="F2721" s="38" t="n">
        <f aca="false">E2721+F2704</f>
        <v>0</v>
      </c>
      <c r="G2721" s="38" t="n">
        <f aca="false">F2721+G2704</f>
        <v>1</v>
      </c>
      <c r="H2721" s="38" t="n">
        <f aca="false">G2721+H2704</f>
        <v>3</v>
      </c>
      <c r="I2721" s="38" t="n">
        <f aca="false">H2721+I2704</f>
        <v>5</v>
      </c>
      <c r="J2721" s="38" t="n">
        <f aca="false">I2721+J2704</f>
        <v>8</v>
      </c>
      <c r="K2721" s="23"/>
      <c r="L2721" s="49" t="s">
        <v>611</v>
      </c>
    </row>
    <row r="2722" customFormat="false" ht="15" hidden="true" customHeight="false" outlineLevel="1" collapsed="false">
      <c r="A2722" s="20" t="n">
        <v>59</v>
      </c>
      <c r="B2722" s="6" t="s">
        <v>613</v>
      </c>
      <c r="C2722" s="20" t="s">
        <v>76</v>
      </c>
      <c r="D2722" s="23"/>
      <c r="E2722" s="38" t="n">
        <f aca="false">0</f>
        <v>0</v>
      </c>
      <c r="F2722" s="38" t="n">
        <f aca="false">F2720+F2721</f>
        <v>0</v>
      </c>
      <c r="G2722" s="38" t="n">
        <f aca="false">G2720+G2721</f>
        <v>2</v>
      </c>
      <c r="H2722" s="38" t="n">
        <f aca="false">H2720+H2721</f>
        <v>5</v>
      </c>
      <c r="I2722" s="38" t="n">
        <f aca="false">I2720+I2721</f>
        <v>7</v>
      </c>
      <c r="J2722" s="38" t="n">
        <f aca="false">J2720+J2721</f>
        <v>11</v>
      </c>
      <c r="K2722" s="23"/>
      <c r="L2722" s="49" t="s">
        <v>614</v>
      </c>
    </row>
    <row r="2723" customFormat="false" ht="15" hidden="true" customHeight="false" outlineLevel="1" collapsed="false">
      <c r="A2723" s="20" t="n">
        <v>60</v>
      </c>
      <c r="B2723" s="6" t="s">
        <v>615</v>
      </c>
      <c r="C2723" s="20" t="s">
        <v>76</v>
      </c>
      <c r="D2723" s="23"/>
      <c r="E2723" s="23"/>
      <c r="F2723" s="38" t="n">
        <f aca="false">F2719+F2704</f>
        <v>0</v>
      </c>
      <c r="G2723" s="38" t="n">
        <f aca="false">G2719+G2704</f>
        <v>2</v>
      </c>
      <c r="H2723" s="38" t="n">
        <f aca="false">H2719+H2704</f>
        <v>3</v>
      </c>
      <c r="I2723" s="38" t="n">
        <f aca="false">I2719+I2704</f>
        <v>2</v>
      </c>
      <c r="J2723" s="38" t="n">
        <f aca="false">J2719+J2704</f>
        <v>4</v>
      </c>
      <c r="K2723" s="54" t="n">
        <f aca="false">SUM(F2723:J2723)</f>
        <v>11</v>
      </c>
      <c r="L2723" s="49"/>
    </row>
    <row r="2724" customFormat="false" ht="15" hidden="true" customHeight="false" outlineLevel="1" collapsed="false">
      <c r="A2724" s="19" t="s">
        <v>616</v>
      </c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</row>
    <row r="2725" customFormat="false" ht="15" hidden="true" customHeight="false" outlineLevel="1" collapsed="false">
      <c r="A2725" s="20" t="n">
        <v>61</v>
      </c>
      <c r="B2725" s="6" t="s">
        <v>617</v>
      </c>
      <c r="C2725" s="20" t="s">
        <v>71</v>
      </c>
      <c r="D2725" s="23"/>
      <c r="E2725" s="23"/>
      <c r="F2725" s="40" t="n">
        <f aca="false">IF(F$2712&gt;$D$2662,($D$2664+$D$2663*$D$2665)*(1+$D$2670)^(F$2712-$D$2662-1)*F2713,0)</f>
        <v>0</v>
      </c>
      <c r="G2725" s="40" t="n">
        <f aca="false">IF(G$2712&gt;$D$2662,($D$2664+$D$2663*$D$2665)*(1+$D$2670)^(G$2712-$D$2662-1)*G2713,0)</f>
        <v>0</v>
      </c>
      <c r="H2725" s="40" t="n">
        <f aca="false">IF(H$2712&gt;$D$2662,($D$2664+$D$2663*$D$2665)*(1+$D$2670)^(H$2712-$D$2662-1)*H2713,0)</f>
        <v>16.5375</v>
      </c>
      <c r="I2725" s="40" t="n">
        <f aca="false">IF(I$2712&gt;$D$2662,($D$2664+$D$2663*$D$2665)*(1+$D$2670)^(I$2712-$D$2662-1)*I2713,0)</f>
        <v>19.96903125</v>
      </c>
      <c r="J2725" s="40" t="n">
        <f aca="false">IF(J$2712&gt;$D$2662,($D$2664+$D$2663*$D$2665)*(1+$D$2670)^(J$2712-$D$2662-1)*J2713,0)</f>
        <v>24.112605234375</v>
      </c>
      <c r="K2725" s="51" t="n">
        <f aca="false">SUM(F2725:J2725)</f>
        <v>60.619136484375</v>
      </c>
      <c r="L2725" s="49" t="s">
        <v>618</v>
      </c>
    </row>
    <row r="2726" customFormat="false" ht="15" hidden="true" customHeight="false" outlineLevel="1" collapsed="false">
      <c r="A2726" s="20" t="n">
        <v>62</v>
      </c>
      <c r="B2726" s="6" t="s">
        <v>619</v>
      </c>
      <c r="C2726" s="20" t="s">
        <v>71</v>
      </c>
      <c r="D2726" s="23"/>
      <c r="E2726" s="23"/>
      <c r="F2726" s="40" t="n">
        <f aca="false">($D$2664+$D$2695*$D$2665)*F2713*SUMPRODUCT($E$2703:E$2703,(1+$D$2670)^(F$2712-$E$2712:E$2712-1))</f>
        <v>0</v>
      </c>
      <c r="G2726" s="40" t="n">
        <f aca="false">($D$2664+$D$2695*$D$2665)*G2713*SUMPRODUCT($E$2703:F$2703,(1+$D$2670)^(G$2712-$E$2712:F$2712-1))</f>
        <v>0</v>
      </c>
      <c r="H2726" s="40" t="n">
        <f aca="false">($D$2664+$D$2695*$D$2665)*H2713*SUMPRODUCT($E$2703:G$2703,(1+$D$2670)^(H$2712-$E$2712:G$2712-1))</f>
        <v>0</v>
      </c>
      <c r="I2726" s="40" t="n">
        <f aca="false">($D$2664+$D$2695*$D$2665)*I2713*SUMPRODUCT($E$2703:H$2703,(1+$D$2670)^(I$2712-$E$2712:H$2712-1))</f>
        <v>9.78719318181818</v>
      </c>
      <c r="J2726" s="40" t="n">
        <f aca="false">($D$2664+$D$2695*$D$2665)*J2713*SUMPRODUCT($E$2703:I$2703,(1+$D$2670)^(J$2712-$E$2712:I$2712-1))</f>
        <v>11.8180357670455</v>
      </c>
      <c r="K2726" s="51" t="n">
        <f aca="false">SUM(F2726:J2726)</f>
        <v>21.6052289488636</v>
      </c>
      <c r="L2726" s="49" t="s">
        <v>620</v>
      </c>
    </row>
    <row r="2727" customFormat="false" ht="15" hidden="true" customHeight="false" outlineLevel="1" collapsed="false">
      <c r="A2727" s="20" t="n">
        <v>63</v>
      </c>
      <c r="B2727" s="6" t="s">
        <v>621</v>
      </c>
      <c r="C2727" s="20" t="s">
        <v>71</v>
      </c>
      <c r="D2727" s="23"/>
      <c r="E2727" s="23"/>
      <c r="F2727" s="40" t="n">
        <f aca="false">($D$2666+$D$2696*$D$2665)*F2713*SUMPRODUCT($E$2704:E$2704,(1+$D$2670)^(F$2712-$E$2712:E$2712-1))</f>
        <v>0</v>
      </c>
      <c r="G2727" s="40" t="n">
        <f aca="false">($D$2666+$D$2696*$D$2665)*G2713*SUMPRODUCT($E$2704:F$2704,(1+$D$2670)^(G$2712-$E$2712:F$2712-1))</f>
        <v>0</v>
      </c>
      <c r="H2727" s="40" t="n">
        <f aca="false">($D$2666+$D$2696*$D$2665)*H2713*SUMPRODUCT($E$2704:G$2704,(1+$D$2670)^(H$2712-$E$2712:G$2712-1))</f>
        <v>1.8087890625</v>
      </c>
      <c r="I2727" s="40" t="n">
        <f aca="false">($D$2666+$D$2696*$D$2665)*I2713*SUMPRODUCT($E$2704:H$2704,(1+$D$2670)^(I$2712-$E$2712:H$2712-1))</f>
        <v>5.98256982421875</v>
      </c>
      <c r="J2727" s="40" t="n">
        <f aca="false">($D$2666+$D$2696*$D$2665)*J2713*SUMPRODUCT($E$2704:I$2704,(1+$D$2670)^(J$2712-$E$2712:I$2712-1))</f>
        <v>11.2123329455566</v>
      </c>
      <c r="K2727" s="51" t="n">
        <f aca="false">SUM(F2727:J2727)</f>
        <v>19.0036918322754</v>
      </c>
      <c r="L2727" s="49" t="s">
        <v>622</v>
      </c>
    </row>
    <row r="2728" customFormat="false" ht="15" hidden="true" customHeight="false" outlineLevel="1" collapsed="false">
      <c r="A2728" s="20" t="n">
        <v>64</v>
      </c>
      <c r="B2728" s="6" t="s">
        <v>623</v>
      </c>
      <c r="C2728" s="20" t="s">
        <v>71</v>
      </c>
      <c r="D2728" s="23"/>
      <c r="E2728" s="23"/>
      <c r="F2728" s="40" t="n">
        <f aca="false">(F2719*$D$2667+F2704*$D$2668)*F2713</f>
        <v>0</v>
      </c>
      <c r="G2728" s="40" t="n">
        <f aca="false">(G2719*$D$2667+G2704*$D$2668)*G2713</f>
        <v>10.5</v>
      </c>
      <c r="H2728" s="40" t="n">
        <f aca="false">(H2719*$D$2667+H2704*$D$2668)*H2713</f>
        <v>13.23</v>
      </c>
      <c r="I2728" s="40" t="n">
        <f aca="false">(I2719*$D$2667+I2704*$D$2668)*I2713</f>
        <v>4.6305</v>
      </c>
      <c r="J2728" s="40" t="n">
        <f aca="false">(J2719*$D$2667+J2704*$D$2668)*J2713</f>
        <v>17.0170875</v>
      </c>
      <c r="K2728" s="51" t="n">
        <f aca="false">SUM(F2728:J2728)</f>
        <v>45.3775875</v>
      </c>
      <c r="L2728" s="49" t="s">
        <v>624</v>
      </c>
    </row>
    <row r="2729" customFormat="false" ht="15" hidden="true" customHeight="false" outlineLevel="1" collapsed="false">
      <c r="A2729" s="20" t="n">
        <v>65</v>
      </c>
      <c r="B2729" s="6" t="s">
        <v>625</v>
      </c>
      <c r="C2729" s="20" t="s">
        <v>71</v>
      </c>
      <c r="D2729" s="23"/>
      <c r="E2729" s="23"/>
      <c r="F2729" s="40" t="n">
        <f aca="false">F2725+F2726+F2727</f>
        <v>0</v>
      </c>
      <c r="G2729" s="40" t="n">
        <f aca="false">G2725+G2726+G2727</f>
        <v>0</v>
      </c>
      <c r="H2729" s="40" t="n">
        <f aca="false">H2725+H2726+H2727</f>
        <v>18.3462890625</v>
      </c>
      <c r="I2729" s="40" t="n">
        <f aca="false">I2725+I2726+I2727</f>
        <v>35.7387942560369</v>
      </c>
      <c r="J2729" s="40" t="n">
        <f aca="false">J2725+J2726+J2727</f>
        <v>47.1429739469771</v>
      </c>
      <c r="K2729" s="51" t="n">
        <f aca="false">SUM(F2729:J2729)</f>
        <v>101.228057265514</v>
      </c>
      <c r="L2729" s="49"/>
    </row>
    <row r="2730" customFormat="false" ht="15" hidden="true" customHeight="false" outlineLevel="1" collapsed="false">
      <c r="A2730" s="20" t="n">
        <v>66</v>
      </c>
      <c r="B2730" s="6" t="s">
        <v>91</v>
      </c>
      <c r="C2730" s="20" t="s">
        <v>71</v>
      </c>
      <c r="D2730" s="23"/>
      <c r="E2730" s="23"/>
      <c r="F2730" s="40" t="n">
        <f aca="false">F2729+F2728</f>
        <v>0</v>
      </c>
      <c r="G2730" s="40" t="n">
        <f aca="false">G2729+G2728</f>
        <v>10.5</v>
      </c>
      <c r="H2730" s="40" t="n">
        <f aca="false">H2729+H2728</f>
        <v>31.5762890625</v>
      </c>
      <c r="I2730" s="40" t="n">
        <f aca="false">I2729+I2728</f>
        <v>40.3692942560369</v>
      </c>
      <c r="J2730" s="40" t="n">
        <f aca="false">J2729+J2728</f>
        <v>64.1600614469771</v>
      </c>
      <c r="K2730" s="51" t="n">
        <f aca="false">SUM(F2730:J2730)</f>
        <v>146.605644765514</v>
      </c>
      <c r="L2730" s="49" t="s">
        <v>626</v>
      </c>
    </row>
    <row r="2731" customFormat="false" ht="15" hidden="true" customHeight="false" outlineLevel="1" collapsed="false">
      <c r="A2731" s="20" t="n">
        <v>67</v>
      </c>
      <c r="B2731" s="6" t="s">
        <v>627</v>
      </c>
      <c r="C2731" s="20" t="s">
        <v>55</v>
      </c>
      <c r="D2731" s="23"/>
      <c r="E2731" s="23"/>
      <c r="F2731" s="40" t="n">
        <f aca="false">IF(F$2712&gt;=$D$2662,($D$2664+$D$2663*$D$2665)*(1+$D$2670)^(F$2712-$D$2662)*F2713,0)+($D$2664+$D$2695*$D$2665)*F2713*SUMPRODUCT($E$2703:F$2703,(1+$D$2670)^(F$2712-$E$2712:F$2712))+($D$2666+$D$2696*$D$2665)*F2713*SUMPRODUCT($E$2704:F$2704,(1+$D$2670)^(F$2712-$E$2712:F$2712))</f>
        <v>0</v>
      </c>
      <c r="G2731" s="40" t="n">
        <f aca="false">IF(G$2712&gt;=$D$2662,($D$2664+$D$2663*$D$2665)*(1+$D$2670)^(G$2712-$D$2662)*G2713,0)+($D$2664+$D$2695*$D$2665)*G2713*SUMPRODUCT($E$2703:G$2703,(1+$D$2670)^(G$2712-$E$2712:G$2712))+($D$2666+$D$2696*$D$2665)*G2713*SUMPRODUCT($E$2704:G$2704,(1+$D$2670)^(G$2712-$E$2712:G$2712))</f>
        <v>17.47265625</v>
      </c>
      <c r="H2731" s="40" t="n">
        <f aca="false">IF(H$2712&gt;=$D$2662,($D$2664+$D$2663*$D$2665)*(1+$D$2670)^(H$2712-$D$2662)*H2713,0)+($D$2664+$D$2695*$D$2665)*H2713*SUMPRODUCT($E$2703:H$2703,(1+$D$2670)^(H$2712-$E$2712:H$2712))+($D$2666+$D$2696*$D$2665)*H2713*SUMPRODUCT($E$2704:H$2704,(1+$D$2670)^(H$2712-$E$2712:H$2712))</f>
        <v>34.0369469105114</v>
      </c>
      <c r="I2731" s="40" t="n">
        <f aca="false">IF(I$2712&gt;=$D$2662,($D$2664+$D$2663*$D$2665)*(1+$D$2670)^(I$2712-$D$2662)*I2713,0)+($D$2664+$D$2695*$D$2665)*I2713*SUMPRODUCT($E$2703:I$2703,(1+$D$2670)^(I$2712-$E$2712:I$2712))+($D$2666+$D$2696*$D$2665)*I2713*SUMPRODUCT($E$2704:I$2704,(1+$D$2670)^(I$2712-$E$2712:I$2712))</f>
        <v>44.8980704256925</v>
      </c>
      <c r="J2731" s="40" t="n">
        <f aca="false">IF(J$2712&gt;=$D$2662,($D$2664+$D$2663*$D$2665)*(1+$D$2670)^(J$2712-$D$2662)*J2713,0)+($D$2664+$D$2695*$D$2665)*J2713*SUMPRODUCT($E$2703:J$2703,(1+$D$2670)^(J$2712-$E$2712:J$2712))+($D$2666+$D$2696*$D$2665)*J2713*SUMPRODUCT($E$2704:J$2704,(1+$D$2670)^(J$2712-$E$2712:J$2712))</f>
        <v>70.4735427041515</v>
      </c>
      <c r="K2731" s="23"/>
      <c r="L2731" s="49" t="s">
        <v>628</v>
      </c>
    </row>
    <row r="2732" customFormat="false" ht="15" hidden="true" customHeight="false" outlineLevel="1" collapsed="false">
      <c r="A2732" s="19" t="s">
        <v>629</v>
      </c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</row>
    <row r="2733" customFormat="false" ht="15" hidden="true" customHeight="false" outlineLevel="1" collapsed="false">
      <c r="A2733" s="20" t="n">
        <v>68</v>
      </c>
      <c r="B2733" s="6" t="s">
        <v>630</v>
      </c>
      <c r="C2733" s="20" t="s">
        <v>53</v>
      </c>
      <c r="D2733" s="23"/>
      <c r="E2733" s="40" t="n">
        <f aca="false">E2705+E2706+E2707+E2708+E2709+E2710</f>
        <v>2</v>
      </c>
      <c r="F2733" s="40" t="n">
        <f aca="false">F2705+F2706+F2707+F2708+F2709+F2710</f>
        <v>4</v>
      </c>
      <c r="G2733" s="40" t="n">
        <f aca="false">G2705+G2706+G2707+G2708+G2709+G2710</f>
        <v>5</v>
      </c>
      <c r="H2733" s="40" t="n">
        <f aca="false">H2705+H2706+H2707+H2708+H2709+H2710</f>
        <v>6</v>
      </c>
      <c r="I2733" s="40" t="n">
        <f aca="false">I2705+I2706+I2707+I2708+I2709+I2710</f>
        <v>7</v>
      </c>
      <c r="J2733" s="40" t="n">
        <f aca="false">J2705+J2706+J2707+J2708+J2709+J2710</f>
        <v>8</v>
      </c>
      <c r="K2733" s="23"/>
      <c r="L2733" s="49" t="s">
        <v>631</v>
      </c>
    </row>
    <row r="2734" customFormat="false" ht="15" hidden="true" customHeight="false" outlineLevel="1" collapsed="false">
      <c r="A2734" s="20" t="n">
        <v>69</v>
      </c>
      <c r="B2734" s="6" t="s">
        <v>632</v>
      </c>
      <c r="C2734" s="20" t="s">
        <v>53</v>
      </c>
      <c r="D2734" s="23"/>
      <c r="E2734" s="23"/>
      <c r="F2734" s="40" t="n">
        <f aca="false">MAX(0,F2733-E2733)</f>
        <v>2</v>
      </c>
      <c r="G2734" s="40" t="n">
        <f aca="false">MAX(0,G2733-F2733)</f>
        <v>1</v>
      </c>
      <c r="H2734" s="40" t="n">
        <f aca="false">MAX(0,H2733-G2733)</f>
        <v>1</v>
      </c>
      <c r="I2734" s="40" t="n">
        <f aca="false">MAX(0,I2733-H2733)</f>
        <v>1</v>
      </c>
      <c r="J2734" s="40" t="n">
        <f aca="false">MAX(0,J2733-I2733)</f>
        <v>1</v>
      </c>
      <c r="K2734" s="23"/>
      <c r="L2734" s="49" t="s">
        <v>633</v>
      </c>
    </row>
    <row r="2735" customFormat="false" ht="15" hidden="true" customHeight="false" outlineLevel="1" collapsed="false">
      <c r="A2735" s="20" t="n">
        <v>70</v>
      </c>
      <c r="B2735" s="6" t="s">
        <v>634</v>
      </c>
      <c r="C2735" s="20" t="s">
        <v>71</v>
      </c>
      <c r="D2735" s="23"/>
      <c r="E2735" s="23"/>
      <c r="F2735" s="41" t="n">
        <f aca="false">$D$2697*12/1000*F2715</f>
        <v>2.4</v>
      </c>
      <c r="G2735" s="41" t="n">
        <f aca="false">$D$2697*12/1000*G2715</f>
        <v>2.568</v>
      </c>
      <c r="H2735" s="41" t="n">
        <f aca="false">$D$2697*12/1000*H2715</f>
        <v>2.74776</v>
      </c>
      <c r="I2735" s="41" t="n">
        <f aca="false">$D$2697*12/1000*I2715</f>
        <v>2.9401032</v>
      </c>
      <c r="J2735" s="41" t="n">
        <f aca="false">$D$2697*12/1000*J2715</f>
        <v>3.145910424</v>
      </c>
      <c r="K2735" s="23"/>
      <c r="L2735" s="49" t="s">
        <v>635</v>
      </c>
    </row>
    <row r="2736" customFormat="false" ht="15" hidden="true" customHeight="false" outlineLevel="1" collapsed="false">
      <c r="A2736" s="20" t="n">
        <v>71</v>
      </c>
      <c r="B2736" s="6" t="s">
        <v>636</v>
      </c>
      <c r="C2736" s="20" t="s">
        <v>71</v>
      </c>
      <c r="D2736" s="23"/>
      <c r="E2736" s="23"/>
      <c r="F2736" s="41" t="n">
        <f aca="false">$D$2698*12/1000*F2715</f>
        <v>3.36</v>
      </c>
      <c r="G2736" s="41" t="n">
        <f aca="false">$D$2698*12/1000*G2715</f>
        <v>3.5952</v>
      </c>
      <c r="H2736" s="41" t="n">
        <f aca="false">$D$2698*12/1000*H2715</f>
        <v>3.846864</v>
      </c>
      <c r="I2736" s="41" t="n">
        <f aca="false">$D$2698*12/1000*I2715</f>
        <v>4.11614448</v>
      </c>
      <c r="J2736" s="41" t="n">
        <f aca="false">$D$2698*12/1000*J2715</f>
        <v>4.4042745936</v>
      </c>
      <c r="K2736" s="23"/>
      <c r="L2736" s="49" t="s">
        <v>635</v>
      </c>
    </row>
    <row r="2737" customFormat="false" ht="15" hidden="true" customHeight="false" outlineLevel="1" collapsed="false">
      <c r="A2737" s="20" t="n">
        <v>72</v>
      </c>
      <c r="B2737" s="6" t="s">
        <v>637</v>
      </c>
      <c r="C2737" s="20" t="s">
        <v>71</v>
      </c>
      <c r="D2737" s="23"/>
      <c r="E2737" s="23"/>
      <c r="F2737" s="41" t="n">
        <f aca="false">$D$2699*12/1000*F2715</f>
        <v>2.76</v>
      </c>
      <c r="G2737" s="41" t="n">
        <f aca="false">$D$2699*12/1000*G2715</f>
        <v>2.9532</v>
      </c>
      <c r="H2737" s="41" t="n">
        <f aca="false">$D$2699*12/1000*H2715</f>
        <v>3.159924</v>
      </c>
      <c r="I2737" s="41" t="n">
        <f aca="false">$D$2699*12/1000*I2715</f>
        <v>3.38111868</v>
      </c>
      <c r="J2737" s="41" t="n">
        <f aca="false">$D$2699*12/1000*J2715</f>
        <v>3.6177969876</v>
      </c>
      <c r="K2737" s="23"/>
      <c r="L2737" s="49" t="s">
        <v>635</v>
      </c>
    </row>
    <row r="2738" customFormat="false" ht="15" hidden="true" customHeight="false" outlineLevel="1" collapsed="false">
      <c r="A2738" s="20" t="n">
        <v>73</v>
      </c>
      <c r="B2738" s="6" t="s">
        <v>638</v>
      </c>
      <c r="C2738" s="20" t="s">
        <v>71</v>
      </c>
      <c r="D2738" s="23"/>
      <c r="E2738" s="23"/>
      <c r="F2738" s="41" t="n">
        <f aca="false">$D$2700*12/1000*F2715</f>
        <v>2.64</v>
      </c>
      <c r="G2738" s="41" t="n">
        <f aca="false">$D$2700*12/1000*G2715</f>
        <v>2.8248</v>
      </c>
      <c r="H2738" s="41" t="n">
        <f aca="false">$D$2700*12/1000*H2715</f>
        <v>3.022536</v>
      </c>
      <c r="I2738" s="41" t="n">
        <f aca="false">$D$2700*12/1000*I2715</f>
        <v>3.23411352</v>
      </c>
      <c r="J2738" s="41" t="n">
        <f aca="false">$D$2700*12/1000*J2715</f>
        <v>3.4605014664</v>
      </c>
      <c r="K2738" s="23"/>
      <c r="L2738" s="49" t="s">
        <v>635</v>
      </c>
    </row>
    <row r="2739" customFormat="false" ht="15" hidden="true" customHeight="false" outlineLevel="1" collapsed="false">
      <c r="A2739" s="20" t="n">
        <v>74</v>
      </c>
      <c r="B2739" s="6" t="s">
        <v>639</v>
      </c>
      <c r="C2739" s="20" t="s">
        <v>71</v>
      </c>
      <c r="D2739" s="23"/>
      <c r="E2739" s="23"/>
      <c r="F2739" s="41" t="n">
        <f aca="false">$D$2701*12/1000*F2715</f>
        <v>3</v>
      </c>
      <c r="G2739" s="41" t="n">
        <f aca="false">$D$2701*12/1000*G2715</f>
        <v>3.21</v>
      </c>
      <c r="H2739" s="41" t="n">
        <f aca="false">$D$2701*12/1000*H2715</f>
        <v>3.4347</v>
      </c>
      <c r="I2739" s="41" t="n">
        <f aca="false">$D$2701*12/1000*I2715</f>
        <v>3.675129</v>
      </c>
      <c r="J2739" s="41" t="n">
        <f aca="false">$D$2701*12/1000*J2715</f>
        <v>3.93238803</v>
      </c>
      <c r="K2739" s="23"/>
      <c r="L2739" s="49" t="s">
        <v>635</v>
      </c>
    </row>
    <row r="2740" customFormat="false" ht="15" hidden="true" customHeight="false" outlineLevel="1" collapsed="false">
      <c r="A2740" s="20" t="n">
        <v>75</v>
      </c>
      <c r="B2740" s="6" t="s">
        <v>640</v>
      </c>
      <c r="C2740" s="20" t="s">
        <v>71</v>
      </c>
      <c r="D2740" s="23"/>
      <c r="E2740" s="23"/>
      <c r="F2740" s="41" t="n">
        <f aca="false">$D$2702*12/1000*F2715</f>
        <v>2.64</v>
      </c>
      <c r="G2740" s="41" t="n">
        <f aca="false">$D$2702*12/1000*G2715</f>
        <v>2.8248</v>
      </c>
      <c r="H2740" s="41" t="n">
        <f aca="false">$D$2702*12/1000*H2715</f>
        <v>3.022536</v>
      </c>
      <c r="I2740" s="41" t="n">
        <f aca="false">$D$2702*12/1000*I2715</f>
        <v>3.23411352</v>
      </c>
      <c r="J2740" s="41" t="n">
        <f aca="false">$D$2702*12/1000*J2715</f>
        <v>3.4605014664</v>
      </c>
      <c r="K2740" s="23"/>
      <c r="L2740" s="49" t="s">
        <v>635</v>
      </c>
    </row>
    <row r="2741" customFormat="false" ht="15" hidden="true" customHeight="false" outlineLevel="1" collapsed="false">
      <c r="A2741" s="20" t="n">
        <v>76</v>
      </c>
      <c r="B2741" s="6" t="s">
        <v>641</v>
      </c>
      <c r="C2741" s="20" t="s">
        <v>71</v>
      </c>
      <c r="D2741" s="23"/>
      <c r="E2741" s="23"/>
      <c r="F2741" s="40" t="n">
        <f aca="false">F2705*F2735</f>
        <v>4.8</v>
      </c>
      <c r="G2741" s="40" t="n">
        <f aca="false">G2705*G2735</f>
        <v>5.136</v>
      </c>
      <c r="H2741" s="40" t="n">
        <f aca="false">H2705*H2735</f>
        <v>5.49552</v>
      </c>
      <c r="I2741" s="40" t="n">
        <f aca="false">I2705*I2735</f>
        <v>5.8802064</v>
      </c>
      <c r="J2741" s="40" t="n">
        <f aca="false">J2705*J2735</f>
        <v>6.291820848</v>
      </c>
      <c r="K2741" s="51" t="n">
        <f aca="false">SUM(F2741:J2741)</f>
        <v>27.603547248</v>
      </c>
      <c r="L2741" s="49" t="s">
        <v>642</v>
      </c>
    </row>
    <row r="2742" customFormat="false" ht="15" hidden="true" customHeight="false" outlineLevel="1" collapsed="false">
      <c r="A2742" s="20" t="n">
        <v>77</v>
      </c>
      <c r="B2742" s="6" t="s">
        <v>643</v>
      </c>
      <c r="C2742" s="20" t="s">
        <v>71</v>
      </c>
      <c r="D2742" s="23"/>
      <c r="E2742" s="23"/>
      <c r="F2742" s="40" t="n">
        <f aca="false">F2706*F2736</f>
        <v>3.36</v>
      </c>
      <c r="G2742" s="40" t="n">
        <f aca="false">G2706*G2736</f>
        <v>3.5952</v>
      </c>
      <c r="H2742" s="40" t="n">
        <f aca="false">H2706*H2736</f>
        <v>3.846864</v>
      </c>
      <c r="I2742" s="40" t="n">
        <f aca="false">I2706*I2736</f>
        <v>8.23228896</v>
      </c>
      <c r="J2742" s="40" t="n">
        <f aca="false">J2706*J2736</f>
        <v>8.8085491872</v>
      </c>
      <c r="K2742" s="51" t="n">
        <f aca="false">SUM(F2742:J2742)</f>
        <v>27.8429021472</v>
      </c>
      <c r="L2742" s="49" t="s">
        <v>642</v>
      </c>
    </row>
    <row r="2743" customFormat="false" ht="15" hidden="true" customHeight="false" outlineLevel="1" collapsed="false">
      <c r="A2743" s="20" t="n">
        <v>78</v>
      </c>
      <c r="B2743" s="6" t="s">
        <v>644</v>
      </c>
      <c r="C2743" s="20" t="s">
        <v>71</v>
      </c>
      <c r="D2743" s="23"/>
      <c r="E2743" s="23"/>
      <c r="F2743" s="40" t="n">
        <f aca="false">F2707*F2737</f>
        <v>2.76</v>
      </c>
      <c r="G2743" s="40" t="n">
        <f aca="false">G2707*G2737</f>
        <v>2.9532</v>
      </c>
      <c r="H2743" s="40" t="n">
        <f aca="false">H2707*H2737</f>
        <v>3.159924</v>
      </c>
      <c r="I2743" s="40" t="n">
        <f aca="false">I2707*I2737</f>
        <v>3.38111868</v>
      </c>
      <c r="J2743" s="40" t="n">
        <f aca="false">J2707*J2737</f>
        <v>3.6177969876</v>
      </c>
      <c r="K2743" s="51" t="n">
        <f aca="false">SUM(F2743:J2743)</f>
        <v>15.8720396676</v>
      </c>
      <c r="L2743" s="49" t="s">
        <v>642</v>
      </c>
    </row>
    <row r="2744" customFormat="false" ht="15" hidden="true" customHeight="false" outlineLevel="1" collapsed="false">
      <c r="A2744" s="20" t="n">
        <v>79</v>
      </c>
      <c r="B2744" s="6" t="s">
        <v>645</v>
      </c>
      <c r="C2744" s="20" t="s">
        <v>71</v>
      </c>
      <c r="D2744" s="23"/>
      <c r="E2744" s="23"/>
      <c r="F2744" s="40" t="n">
        <f aca="false">F2708*F2738</f>
        <v>0</v>
      </c>
      <c r="G2744" s="40" t="n">
        <f aca="false">G2708*G2738</f>
        <v>2.8248</v>
      </c>
      <c r="H2744" s="40" t="n">
        <f aca="false">H2708*H2738</f>
        <v>3.022536</v>
      </c>
      <c r="I2744" s="40" t="n">
        <f aca="false">I2708*I2738</f>
        <v>3.23411352</v>
      </c>
      <c r="J2744" s="40" t="n">
        <f aca="false">J2708*J2738</f>
        <v>3.4605014664</v>
      </c>
      <c r="K2744" s="51" t="n">
        <f aca="false">SUM(F2744:J2744)</f>
        <v>12.5419509864</v>
      </c>
      <c r="L2744" s="49" t="s">
        <v>642</v>
      </c>
    </row>
    <row r="2745" customFormat="false" ht="15" hidden="true" customHeight="false" outlineLevel="1" collapsed="false">
      <c r="A2745" s="20" t="n">
        <v>80</v>
      </c>
      <c r="B2745" s="6" t="s">
        <v>646</v>
      </c>
      <c r="C2745" s="20" t="s">
        <v>71</v>
      </c>
      <c r="D2745" s="23"/>
      <c r="E2745" s="23"/>
      <c r="F2745" s="40" t="n">
        <f aca="false">F2709*F2739</f>
        <v>0</v>
      </c>
      <c r="G2745" s="40" t="n">
        <f aca="false">G2709*G2739</f>
        <v>0</v>
      </c>
      <c r="H2745" s="40" t="n">
        <f aca="false">H2709*H2739</f>
        <v>3.4347</v>
      </c>
      <c r="I2745" s="40" t="n">
        <f aca="false">I2709*I2739</f>
        <v>3.675129</v>
      </c>
      <c r="J2745" s="40" t="n">
        <f aca="false">J2709*J2739</f>
        <v>3.93238803</v>
      </c>
      <c r="K2745" s="51" t="n">
        <f aca="false">SUM(F2745:J2745)</f>
        <v>11.04221703</v>
      </c>
      <c r="L2745" s="49" t="s">
        <v>642</v>
      </c>
    </row>
    <row r="2746" customFormat="false" ht="15" hidden="true" customHeight="false" outlineLevel="1" collapsed="false">
      <c r="A2746" s="20" t="n">
        <v>81</v>
      </c>
      <c r="B2746" s="6" t="s">
        <v>647</v>
      </c>
      <c r="C2746" s="20" t="s">
        <v>71</v>
      </c>
      <c r="D2746" s="23"/>
      <c r="E2746" s="23"/>
      <c r="F2746" s="40" t="n">
        <f aca="false">F2710*F2740</f>
        <v>0</v>
      </c>
      <c r="G2746" s="40" t="n">
        <f aca="false">G2710*G2740</f>
        <v>0</v>
      </c>
      <c r="H2746" s="40" t="n">
        <f aca="false">H2710*H2740</f>
        <v>0</v>
      </c>
      <c r="I2746" s="40" t="n">
        <f aca="false">I2710*I2740</f>
        <v>0</v>
      </c>
      <c r="J2746" s="40" t="n">
        <f aca="false">J2710*J2740</f>
        <v>3.4605014664</v>
      </c>
      <c r="K2746" s="51" t="n">
        <f aca="false">SUM(F2746:J2746)</f>
        <v>3.4605014664</v>
      </c>
      <c r="L2746" s="49" t="s">
        <v>642</v>
      </c>
    </row>
    <row r="2747" customFormat="false" ht="15" hidden="true" customHeight="false" outlineLevel="1" collapsed="false">
      <c r="A2747" s="20" t="n">
        <v>82</v>
      </c>
      <c r="B2747" s="6" t="s">
        <v>648</v>
      </c>
      <c r="C2747" s="20" t="s">
        <v>71</v>
      </c>
      <c r="D2747" s="23"/>
      <c r="E2747" s="23"/>
      <c r="F2747" s="40" t="n">
        <f aca="false">F2741+F2742+F2743+F2744+F2745+F2746</f>
        <v>10.92</v>
      </c>
      <c r="G2747" s="40" t="n">
        <f aca="false">G2741+G2742+G2743+G2744+G2745+G2746</f>
        <v>14.5092</v>
      </c>
      <c r="H2747" s="40" t="n">
        <f aca="false">H2741+H2742+H2743+H2744+H2745+H2746</f>
        <v>18.959544</v>
      </c>
      <c r="I2747" s="40" t="n">
        <f aca="false">I2741+I2742+I2743+I2744+I2745+I2746</f>
        <v>24.40285656</v>
      </c>
      <c r="J2747" s="40" t="n">
        <f aca="false">J2741+J2742+J2743+J2744+J2745+J2746</f>
        <v>29.5715579856</v>
      </c>
      <c r="K2747" s="51" t="n">
        <f aca="false">SUM(F2747:J2747)</f>
        <v>98.3631585456</v>
      </c>
      <c r="L2747" s="49"/>
    </row>
    <row r="2748" customFormat="false" ht="15" hidden="true" customHeight="false" outlineLevel="1" collapsed="false">
      <c r="A2748" s="20" t="n">
        <v>83</v>
      </c>
      <c r="B2748" s="6" t="s">
        <v>649</v>
      </c>
      <c r="C2748" s="20" t="s">
        <v>71</v>
      </c>
      <c r="D2748" s="23"/>
      <c r="E2748" s="23"/>
      <c r="F2748" s="40" t="n">
        <f aca="false">F2705*(MIN(F2735,F2716)*$D$2672+MAX(0,F2735-F2716)*$D$2673+F2735*$D$2674)+F2706*(MIN(F2736,F2716)*$D$2672+MAX(0,F2736-F2716)*$D$2673+F2736*$D$2674)+F2707*(MIN(F2737,F2716)*$D$2672+MAX(0,F2737-F2716)*$D$2673+F2737*$D$2674)+F2708*(MIN(F2738,F2716)*$D$2672+MAX(0,F2738-F2716)*$D$2673+F2738*$D$2674)+F2709*(MIN(F2739,F2716)*$D$2672+MAX(0,F2739-F2716)*$D$2673+F2739*$D$2674)+F2710*(MIN(F2740,F2716)*$D$2672+MAX(0,F2740-F2716)*$D$2673+F2740*$D$2674)</f>
        <v>1.64928168</v>
      </c>
      <c r="G2748" s="40" t="n">
        <f aca="false">G2705*(MIN(G2735,G2716)*$D$2672+MAX(0,G2735-G2716)*$D$2673+G2735*$D$2674)+G2706*(MIN(G2736,G2716)*$D$2672+MAX(0,G2736-G2716)*$D$2673+G2736*$D$2674)+G2707*(MIN(G2737,G2716)*$D$2672+MAX(0,G2737-G2716)*$D$2673+G2737*$D$2674)+G2708*(MIN(G2738,G2716)*$D$2672+MAX(0,G2738-G2716)*$D$2673+G2738*$D$2674)+G2709*(MIN(G2739,G2716)*$D$2672+MAX(0,G2739-G2716)*$D$2673+G2739*$D$2674)+G2710*(MIN(G2740,G2716)*$D$2672+MAX(0,G2740-G2716)*$D$2673+G2740*$D$2674)</f>
        <v>2.1964818144</v>
      </c>
      <c r="H2748" s="40" t="n">
        <f aca="false">H2705*(MIN(H2735,H2716)*$D$2672+MAX(0,H2735-H2716)*$D$2673+H2735*$D$2674)+H2706*(MIN(H2736,H2716)*$D$2672+MAX(0,H2736-H2716)*$D$2673+H2736*$D$2674)+H2707*(MIN(H2737,H2716)*$D$2672+MAX(0,H2737-H2716)*$D$2673+H2737*$D$2674)+H2708*(MIN(H2738,H2716)*$D$2672+MAX(0,H2738-H2716)*$D$2673+H2738*$D$2674)+H2709*(MIN(H2739,H2716)*$D$2672+MAX(0,H2739-H2716)*$D$2673+H2739*$D$2674)+H2710*(MIN(H2740,H2716)*$D$2672+MAX(0,H2740-H2716)*$D$2673+H2740*$D$2674)</f>
        <v>2.874881223552</v>
      </c>
      <c r="I2748" s="40" t="n">
        <f aca="false">I2705*(MIN(I2735,I2716)*$D$2672+MAX(0,I2735-I2716)*$D$2673+I2735*$D$2674)+I2706*(MIN(I2736,I2716)*$D$2672+MAX(0,I2736-I2716)*$D$2673+I2736*$D$2674)+I2707*(MIN(I2737,I2716)*$D$2672+MAX(0,I2737-I2716)*$D$2673+I2737*$D$2674)+I2708*(MIN(I2738,I2716)*$D$2672+MAX(0,I2738-I2716)*$D$2673+I2738*$D$2674)+I2709*(MIN(I2739,I2716)*$D$2672+MAX(0,I2739-I2716)*$D$2673+I2739*$D$2674)+I2710*(MIN(I2740,I2716)*$D$2672+MAX(0,I2740-I2716)*$D$2673+I2740*$D$2674)</f>
        <v>3.69987351263232</v>
      </c>
      <c r="J2748" s="40" t="n">
        <f aca="false">J2705*(MIN(J2735,J2716)*$D$2672+MAX(0,J2735-J2716)*$D$2673+J2735*$D$2674)+J2706*(MIN(J2736,J2716)*$D$2672+MAX(0,J2736-J2716)*$D$2673+J2736*$D$2674)+J2707*(MIN(J2737,J2716)*$D$2672+MAX(0,J2737-J2716)*$D$2673+J2737*$D$2674)+J2708*(MIN(J2738,J2716)*$D$2672+MAX(0,J2738-J2716)*$D$2673+J2738*$D$2674)+J2709*(MIN(J2739,J2716)*$D$2672+MAX(0,J2739-J2716)*$D$2673+J2739*$D$2674)+J2710*(MIN(J2740,J2716)*$D$2672+MAX(0,J2740-J2716)*$D$2673+J2740*$D$2674)</f>
        <v>4.49085916839491</v>
      </c>
      <c r="K2748" s="51" t="n">
        <f aca="false">SUM(F2748:J2748)</f>
        <v>14.9113773989792</v>
      </c>
      <c r="L2748" s="49" t="s">
        <v>650</v>
      </c>
    </row>
    <row r="2749" customFormat="false" ht="15" hidden="true" customHeight="false" outlineLevel="1" collapsed="false">
      <c r="A2749" s="20" t="n">
        <v>84</v>
      </c>
      <c r="B2749" s="6" t="s">
        <v>651</v>
      </c>
      <c r="C2749" s="20"/>
      <c r="D2749" s="23"/>
      <c r="E2749" s="23"/>
      <c r="F2749" s="38" t="n">
        <f aca="false">IF(AND(F2722&gt;0,E2722=0),1,0)</f>
        <v>0</v>
      </c>
      <c r="G2749" s="38" t="n">
        <f aca="false">IF(AND(G2722&gt;0,F2722=0),1,0)</f>
        <v>1</v>
      </c>
      <c r="H2749" s="38" t="n">
        <f aca="false">IF(AND(H2722&gt;0,G2722=0),1,0)</f>
        <v>0</v>
      </c>
      <c r="I2749" s="38" t="n">
        <f aca="false">IF(AND(I2722&gt;0,H2722=0),1,0)</f>
        <v>0</v>
      </c>
      <c r="J2749" s="38" t="n">
        <f aca="false">IF(AND(J2722&gt;0,I2722=0),1,0)</f>
        <v>0</v>
      </c>
      <c r="K2749" s="23"/>
      <c r="L2749" s="49"/>
    </row>
    <row r="2750" customFormat="false" ht="15" hidden="true" customHeight="false" outlineLevel="1" collapsed="false">
      <c r="A2750" s="20" t="n">
        <v>85</v>
      </c>
      <c r="B2750" s="6" t="s">
        <v>652</v>
      </c>
      <c r="C2750" s="20" t="s">
        <v>71</v>
      </c>
      <c r="D2750" s="23"/>
      <c r="E2750" s="23"/>
      <c r="F2750" s="40" t="n">
        <f aca="false">(F2749*$D$2677+IF(E2722&gt;0,1,0)*$D$2678)*F2714</f>
        <v>0</v>
      </c>
      <c r="G2750" s="40" t="n">
        <f aca="false">(G2749*$D$2677+IF(F2722&gt;0,1,0)*$D$2678)*G2714</f>
        <v>2.625</v>
      </c>
      <c r="H2750" s="40" t="n">
        <f aca="false">(H2749*$D$2677+IF(G2722&gt;0,1,0)*$D$2678)*H2714</f>
        <v>1.1025</v>
      </c>
      <c r="I2750" s="40" t="n">
        <f aca="false">(I2749*$D$2677+IF(H2722&gt;0,1,0)*$D$2678)*I2714</f>
        <v>1.157625</v>
      </c>
      <c r="J2750" s="40" t="n">
        <f aca="false">(J2749*$D$2677+IF(I2722&gt;0,1,0)*$D$2678)*J2714</f>
        <v>1.21550625</v>
      </c>
      <c r="K2750" s="51" t="n">
        <f aca="false">SUM(F2750:J2750)</f>
        <v>6.10063125</v>
      </c>
      <c r="L2750" s="49" t="s">
        <v>653</v>
      </c>
    </row>
    <row r="2751" customFormat="false" ht="15" hidden="true" customHeight="false" outlineLevel="1" collapsed="false">
      <c r="A2751" s="20" t="n">
        <v>86</v>
      </c>
      <c r="B2751" s="6" t="s">
        <v>302</v>
      </c>
      <c r="C2751" s="20" t="s">
        <v>71</v>
      </c>
      <c r="D2751" s="23"/>
      <c r="E2751" s="23"/>
      <c r="F2751" s="40" t="n">
        <f aca="false">$D$2679*F2714</f>
        <v>0.6</v>
      </c>
      <c r="G2751" s="40" t="n">
        <f aca="false">$D$2679*G2714</f>
        <v>0.63</v>
      </c>
      <c r="H2751" s="40" t="n">
        <f aca="false">$D$2679*H2714</f>
        <v>0.6615</v>
      </c>
      <c r="I2751" s="40" t="n">
        <f aca="false">$D$2679*I2714</f>
        <v>0.694575</v>
      </c>
      <c r="J2751" s="40" t="n">
        <f aca="false">$D$2679*J2714</f>
        <v>0.72930375</v>
      </c>
      <c r="K2751" s="51" t="n">
        <f aca="false">SUM(F2751:J2751)</f>
        <v>3.31537875</v>
      </c>
      <c r="L2751" s="49"/>
    </row>
    <row r="2752" customFormat="false" ht="15" hidden="true" customHeight="false" outlineLevel="1" collapsed="false">
      <c r="A2752" s="20" t="n">
        <v>87</v>
      </c>
      <c r="B2752" s="6" t="s">
        <v>654</v>
      </c>
      <c r="C2752" s="20" t="s">
        <v>71</v>
      </c>
      <c r="D2752" s="23"/>
      <c r="E2752" s="23"/>
      <c r="F2752" s="40" t="n">
        <f aca="false">$D$2680*F2733*F2714</f>
        <v>0.6</v>
      </c>
      <c r="G2752" s="40" t="n">
        <f aca="false">$D$2680*G2733*G2714</f>
        <v>0.7875</v>
      </c>
      <c r="H2752" s="40" t="n">
        <f aca="false">$D$2680*H2733*H2714</f>
        <v>0.99225</v>
      </c>
      <c r="I2752" s="40" t="n">
        <f aca="false">$D$2680*I2733*I2714</f>
        <v>1.21550625</v>
      </c>
      <c r="J2752" s="40" t="n">
        <f aca="false">$D$2680*J2733*J2714</f>
        <v>1.4586075</v>
      </c>
      <c r="K2752" s="51" t="n">
        <f aca="false">SUM(F2752:J2752)</f>
        <v>5.05386375</v>
      </c>
      <c r="L2752" s="49" t="s">
        <v>655</v>
      </c>
    </row>
    <row r="2753" customFormat="false" ht="15" hidden="true" customHeight="false" outlineLevel="1" collapsed="false">
      <c r="A2753" s="20" t="n">
        <v>88</v>
      </c>
      <c r="B2753" s="6" t="s">
        <v>656</v>
      </c>
      <c r="C2753" s="20" t="s">
        <v>71</v>
      </c>
      <c r="D2753" s="23"/>
      <c r="E2753" s="23"/>
      <c r="F2753" s="40" t="n">
        <f aca="false">($D$2681+$D$2682*F2723)*F2714</f>
        <v>1</v>
      </c>
      <c r="G2753" s="40" t="n">
        <f aca="false">($D$2681+$D$2682*G2723)*G2714</f>
        <v>1.89</v>
      </c>
      <c r="H2753" s="40" t="n">
        <f aca="false">($D$2681+$D$2682*H2723)*H2714</f>
        <v>2.4255</v>
      </c>
      <c r="I2753" s="40" t="n">
        <f aca="false">($D$2681+$D$2682*I2723)*I2714</f>
        <v>2.083725</v>
      </c>
      <c r="J2753" s="40" t="n">
        <f aca="false">($D$2681+$D$2682*J2723)*J2714</f>
        <v>3.16031625</v>
      </c>
      <c r="K2753" s="51" t="n">
        <f aca="false">SUM(F2753:J2753)</f>
        <v>10.55954125</v>
      </c>
      <c r="L2753" s="49" t="s">
        <v>657</v>
      </c>
    </row>
    <row r="2754" customFormat="false" ht="15" hidden="true" customHeight="false" outlineLevel="1" collapsed="false">
      <c r="A2754" s="20" t="n">
        <v>89</v>
      </c>
      <c r="B2754" s="6" t="s">
        <v>658</v>
      </c>
      <c r="C2754" s="20" t="s">
        <v>71</v>
      </c>
      <c r="D2754" s="23"/>
      <c r="E2754" s="23"/>
      <c r="F2754" s="40" t="n">
        <f aca="false">($D$2683+$D$2684*F2733)*F2714</f>
        <v>1.6</v>
      </c>
      <c r="G2754" s="40" t="n">
        <f aca="false">($D$2683+$D$2684*G2733)*G2714</f>
        <v>1.785</v>
      </c>
      <c r="H2754" s="40" t="n">
        <f aca="false">($D$2683+$D$2684*H2733)*H2714</f>
        <v>1.9845</v>
      </c>
      <c r="I2754" s="40" t="n">
        <f aca="false">($D$2683+$D$2684*I2733)*I2714</f>
        <v>2.1994875</v>
      </c>
      <c r="J2754" s="40" t="n">
        <f aca="false">($D$2683+$D$2684*J2733)*J2714</f>
        <v>2.4310125</v>
      </c>
      <c r="K2754" s="51" t="n">
        <f aca="false">SUM(F2754:J2754)</f>
        <v>10</v>
      </c>
      <c r="L2754" s="49" t="s">
        <v>659</v>
      </c>
    </row>
    <row r="2755" customFormat="false" ht="15" hidden="true" customHeight="false" outlineLevel="1" collapsed="false">
      <c r="A2755" s="20" t="n">
        <v>90</v>
      </c>
      <c r="B2755" s="6" t="s">
        <v>660</v>
      </c>
      <c r="C2755" s="20" t="s">
        <v>71</v>
      </c>
      <c r="D2755" s="23"/>
      <c r="E2755" s="23"/>
      <c r="F2755" s="40" t="n">
        <f aca="false">$D$2685*F2734*F2714</f>
        <v>0.5</v>
      </c>
      <c r="G2755" s="40" t="n">
        <f aca="false">$D$2685*G2734*G2714</f>
        <v>0.2625</v>
      </c>
      <c r="H2755" s="40" t="n">
        <f aca="false">$D$2685*H2734*H2714</f>
        <v>0.275625</v>
      </c>
      <c r="I2755" s="40" t="n">
        <f aca="false">$D$2685*I2734*I2714</f>
        <v>0.28940625</v>
      </c>
      <c r="J2755" s="40" t="n">
        <f aca="false">$D$2685*J2734*J2714</f>
        <v>0.3038765625</v>
      </c>
      <c r="K2755" s="51" t="n">
        <f aca="false">SUM(F2755:J2755)</f>
        <v>1.6314078125</v>
      </c>
      <c r="L2755" s="49" t="s">
        <v>661</v>
      </c>
    </row>
    <row r="2756" customFormat="false" ht="15" hidden="true" customHeight="false" outlineLevel="1" collapsed="false">
      <c r="A2756" s="20" t="n">
        <v>91</v>
      </c>
      <c r="B2756" s="6" t="s">
        <v>570</v>
      </c>
      <c r="C2756" s="20" t="s">
        <v>71</v>
      </c>
      <c r="D2756" s="23"/>
      <c r="E2756" s="23"/>
      <c r="F2756" s="40" t="n">
        <f aca="false">IF(F$2712=$F$2712,$D$2686,0)</f>
        <v>0.3</v>
      </c>
      <c r="G2756" s="40" t="n">
        <f aca="false">IF(G$2712=$F$2712,$D$2686,0)</f>
        <v>0</v>
      </c>
      <c r="H2756" s="40" t="n">
        <f aca="false">IF(H$2712=$F$2712,$D$2686,0)</f>
        <v>0</v>
      </c>
      <c r="I2756" s="40" t="n">
        <f aca="false">IF(I$2712=$F$2712,$D$2686,0)</f>
        <v>0</v>
      </c>
      <c r="J2756" s="40" t="n">
        <f aca="false">IF(J$2712=$F$2712,$D$2686,0)</f>
        <v>0</v>
      </c>
      <c r="K2756" s="51" t="n">
        <f aca="false">SUM(F2756:J2756)</f>
        <v>0.3</v>
      </c>
      <c r="L2756" s="49" t="s">
        <v>662</v>
      </c>
    </row>
    <row r="2757" customFormat="false" ht="15" hidden="true" customHeight="false" outlineLevel="1" collapsed="false">
      <c r="A2757" s="20" t="n">
        <v>92</v>
      </c>
      <c r="B2757" s="6" t="s">
        <v>663</v>
      </c>
      <c r="C2757" s="20" t="s">
        <v>71</v>
      </c>
      <c r="D2757" s="23"/>
      <c r="E2757" s="23"/>
      <c r="F2757" s="40" t="n">
        <f aca="false">F2747+F2748+F2750+F2751+F2752+F2753+F2754+F2755+F2756</f>
        <v>17.16928168</v>
      </c>
      <c r="G2757" s="40" t="n">
        <f aca="false">G2747+G2748+G2750+G2751+G2752+G2753+G2754+G2755+G2756</f>
        <v>24.6856818144</v>
      </c>
      <c r="H2757" s="40" t="n">
        <f aca="false">H2747+H2748+H2750+H2751+H2752+H2753+H2754+H2755+H2756</f>
        <v>29.276300223552</v>
      </c>
      <c r="I2757" s="40" t="n">
        <f aca="false">I2747+I2748+I2750+I2751+I2752+I2753+I2754+I2755+I2756</f>
        <v>35.7430550726323</v>
      </c>
      <c r="J2757" s="40" t="n">
        <f aca="false">J2747+J2748+J2750+J2751+J2752+J2753+J2754+J2755+J2756</f>
        <v>43.3610399664949</v>
      </c>
      <c r="K2757" s="51" t="n">
        <f aca="false">SUM(F2757:J2757)</f>
        <v>150.235358757079</v>
      </c>
      <c r="L2757" s="49"/>
    </row>
    <row r="2758" customFormat="false" ht="15" hidden="true" customHeight="false" outlineLevel="1" collapsed="false">
      <c r="A2758" s="20" t="n">
        <v>93</v>
      </c>
      <c r="B2758" s="6" t="s">
        <v>329</v>
      </c>
      <c r="C2758" s="20" t="s">
        <v>71</v>
      </c>
      <c r="D2758" s="23"/>
      <c r="E2758" s="23"/>
      <c r="F2758" s="40" t="n">
        <f aca="false">F2757*$D$2688</f>
        <v>1.716928168</v>
      </c>
      <c r="G2758" s="40" t="n">
        <f aca="false">G2757*$D$2688</f>
        <v>2.46856818144</v>
      </c>
      <c r="H2758" s="40" t="n">
        <f aca="false">H2757*$D$2688</f>
        <v>2.9276300223552</v>
      </c>
      <c r="I2758" s="40" t="n">
        <f aca="false">I2757*$D$2688</f>
        <v>3.57430550726323</v>
      </c>
      <c r="J2758" s="40" t="n">
        <f aca="false">J2757*$D$2688</f>
        <v>4.33610399664949</v>
      </c>
      <c r="K2758" s="51" t="n">
        <f aca="false">SUM(F2758:J2758)</f>
        <v>15.0235358757079</v>
      </c>
      <c r="L2758" s="49"/>
    </row>
    <row r="2759" customFormat="false" ht="15" hidden="true" customHeight="false" outlineLevel="1" collapsed="false">
      <c r="A2759" s="20" t="n">
        <v>94</v>
      </c>
      <c r="B2759" s="6" t="s">
        <v>664</v>
      </c>
      <c r="C2759" s="20" t="s">
        <v>71</v>
      </c>
      <c r="D2759" s="23"/>
      <c r="E2759" s="23"/>
      <c r="F2759" s="40" t="n">
        <f aca="false">F2757+F2758</f>
        <v>18.886209848</v>
      </c>
      <c r="G2759" s="40" t="n">
        <f aca="false">G2757+G2758</f>
        <v>27.15424999584</v>
      </c>
      <c r="H2759" s="40" t="n">
        <f aca="false">H2757+H2758</f>
        <v>32.2039302459072</v>
      </c>
      <c r="I2759" s="40" t="n">
        <f aca="false">I2757+I2758</f>
        <v>39.3173605798956</v>
      </c>
      <c r="J2759" s="40" t="n">
        <f aca="false">J2757+J2758</f>
        <v>47.6971439631444</v>
      </c>
      <c r="K2759" s="51" t="n">
        <f aca="false">SUM(F2759:J2759)</f>
        <v>165.258894632787</v>
      </c>
      <c r="L2759" s="49"/>
    </row>
    <row r="2760" customFormat="false" ht="15" hidden="true" customHeight="false" outlineLevel="1" collapsed="false">
      <c r="A2760" s="19" t="s">
        <v>665</v>
      </c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</row>
    <row r="2761" customFormat="false" ht="15" hidden="true" customHeight="false" outlineLevel="1" collapsed="false">
      <c r="A2761" s="20" t="n">
        <v>95</v>
      </c>
      <c r="B2761" s="6" t="s">
        <v>666</v>
      </c>
      <c r="C2761" s="20" t="s">
        <v>71</v>
      </c>
      <c r="D2761" s="23"/>
      <c r="E2761" s="23"/>
      <c r="F2761" s="40" t="n">
        <f aca="false">F2730-F2759</f>
        <v>-18.886209848</v>
      </c>
      <c r="G2761" s="40" t="n">
        <f aca="false">G2730-G2759</f>
        <v>-16.65424999584</v>
      </c>
      <c r="H2761" s="40" t="n">
        <f aca="false">H2730-H2759</f>
        <v>-0.627641183407199</v>
      </c>
      <c r="I2761" s="40" t="n">
        <f aca="false">I2730-I2759</f>
        <v>1.05193367614138</v>
      </c>
      <c r="J2761" s="40" t="n">
        <f aca="false">J2730-J2759</f>
        <v>16.4629174838327</v>
      </c>
      <c r="K2761" s="51" t="n">
        <f aca="false">SUM(F2761:J2761)</f>
        <v>-18.6532498672731</v>
      </c>
      <c r="L2761" s="49" t="s">
        <v>667</v>
      </c>
    </row>
    <row r="2762" customFormat="false" ht="15" hidden="true" customHeight="false" outlineLevel="1" collapsed="false">
      <c r="A2762" s="20" t="n">
        <v>96</v>
      </c>
      <c r="B2762" s="6" t="s">
        <v>668</v>
      </c>
      <c r="C2762" s="20" t="s">
        <v>68</v>
      </c>
      <c r="D2762" s="23"/>
      <c r="E2762" s="23"/>
      <c r="F2762" s="44" t="n">
        <f aca="false">IF(F2730&gt;0,F2761/F2730,0)</f>
        <v>0</v>
      </c>
      <c r="G2762" s="44" t="n">
        <f aca="false">IF(G2730&gt;0,G2761/G2730,0)</f>
        <v>-1.58611904722286</v>
      </c>
      <c r="H2762" s="44" t="n">
        <f aca="false">IF(H2730&gt;0,H2761/H2730,0)</f>
        <v>-0.0198769773789722</v>
      </c>
      <c r="I2762" s="44" t="n">
        <f aca="false">IF(I2730&gt;0,I2761/I2730,0)</f>
        <v>0.026057767308728</v>
      </c>
      <c r="J2762" s="44" t="n">
        <f aca="false">IF(J2730&gt;0,J2761/J2730,0)</f>
        <v>0.256591360926889</v>
      </c>
      <c r="K2762" s="23"/>
      <c r="L2762" s="49"/>
    </row>
    <row r="2763" customFormat="false" ht="15" hidden="true" customHeight="false" outlineLevel="1" collapsed="false">
      <c r="A2763" s="20" t="n">
        <v>97</v>
      </c>
      <c r="B2763" s="6" t="s">
        <v>669</v>
      </c>
      <c r="C2763" s="20" t="s">
        <v>71</v>
      </c>
      <c r="D2763" s="23"/>
      <c r="E2763" s="23"/>
      <c r="F2763" s="40" t="n">
        <f aca="false">E2767</f>
        <v>0</v>
      </c>
      <c r="G2763" s="40" t="n">
        <f aca="false">F2767</f>
        <v>18.886209848</v>
      </c>
      <c r="H2763" s="40" t="n">
        <f aca="false">G2767</f>
        <v>35.54045984384</v>
      </c>
      <c r="I2763" s="40" t="n">
        <f aca="false">H2767</f>
        <v>36.1681010272472</v>
      </c>
      <c r="J2763" s="40" t="n">
        <f aca="false">I2767</f>
        <v>35.6421341891765</v>
      </c>
      <c r="K2763" s="23"/>
      <c r="L2763" s="49"/>
    </row>
    <row r="2764" customFormat="false" ht="15" hidden="true" customHeight="false" outlineLevel="1" collapsed="false">
      <c r="A2764" s="20" t="n">
        <v>98</v>
      </c>
      <c r="B2764" s="6" t="s">
        <v>670</v>
      </c>
      <c r="C2764" s="20" t="s">
        <v>71</v>
      </c>
      <c r="D2764" s="23"/>
      <c r="E2764" s="23"/>
      <c r="F2764" s="40" t="n">
        <f aca="false">MIN(F2763,MAX(0,F2761)*$D$2690)</f>
        <v>0</v>
      </c>
      <c r="G2764" s="40" t="n">
        <f aca="false">MIN(G2763,MAX(0,G2761)*$D$2690)</f>
        <v>0</v>
      </c>
      <c r="H2764" s="40" t="n">
        <f aca="false">MIN(H2763,MAX(0,H2761)*$D$2690)</f>
        <v>0</v>
      </c>
      <c r="I2764" s="40" t="n">
        <f aca="false">MIN(I2763,MAX(0,I2761)*$D$2690)</f>
        <v>0.525966838070691</v>
      </c>
      <c r="J2764" s="40" t="n">
        <f aca="false">MIN(J2763,MAX(0,J2761)*$D$2690)</f>
        <v>8.23145874191635</v>
      </c>
      <c r="K2764" s="23"/>
      <c r="L2764" s="49" t="s">
        <v>671</v>
      </c>
    </row>
    <row r="2765" customFormat="false" ht="15" hidden="true" customHeight="false" outlineLevel="1" collapsed="false">
      <c r="A2765" s="20" t="n">
        <v>99</v>
      </c>
      <c r="B2765" s="6" t="s">
        <v>672</v>
      </c>
      <c r="C2765" s="20" t="s">
        <v>71</v>
      </c>
      <c r="D2765" s="23"/>
      <c r="E2765" s="23"/>
      <c r="F2765" s="40" t="n">
        <f aca="false">MAX(0,F2761)-F2764</f>
        <v>0</v>
      </c>
      <c r="G2765" s="40" t="n">
        <f aca="false">MAX(0,G2761)-G2764</f>
        <v>0</v>
      </c>
      <c r="H2765" s="40" t="n">
        <f aca="false">MAX(0,H2761)-H2764</f>
        <v>0</v>
      </c>
      <c r="I2765" s="40" t="n">
        <f aca="false">MAX(0,I2761)-I2764</f>
        <v>0.525966838070691</v>
      </c>
      <c r="J2765" s="40" t="n">
        <f aca="false">MAX(0,J2761)-J2764</f>
        <v>8.23145874191635</v>
      </c>
      <c r="K2765" s="23"/>
      <c r="L2765" s="49"/>
    </row>
    <row r="2766" customFormat="false" ht="15" hidden="true" customHeight="false" outlineLevel="1" collapsed="false">
      <c r="A2766" s="20" t="n">
        <v>100</v>
      </c>
      <c r="B2766" s="6" t="s">
        <v>572</v>
      </c>
      <c r="C2766" s="20" t="s">
        <v>71</v>
      </c>
      <c r="D2766" s="23"/>
      <c r="E2766" s="23"/>
      <c r="F2766" s="40" t="n">
        <f aca="false">F2765*$D$2689</f>
        <v>0</v>
      </c>
      <c r="G2766" s="40" t="n">
        <f aca="false">G2765*$D$2689</f>
        <v>0</v>
      </c>
      <c r="H2766" s="40" t="n">
        <f aca="false">H2765*$D$2689</f>
        <v>0</v>
      </c>
      <c r="I2766" s="40" t="n">
        <f aca="false">I2765*$D$2689</f>
        <v>0.0262983419035345</v>
      </c>
      <c r="J2766" s="40" t="n">
        <f aca="false">J2765*$D$2689</f>
        <v>0.411572937095817</v>
      </c>
      <c r="K2766" s="51" t="n">
        <f aca="false">SUM(F2766:J2766)</f>
        <v>0.437871278999352</v>
      </c>
      <c r="L2766" s="49"/>
    </row>
    <row r="2767" customFormat="false" ht="15" hidden="true" customHeight="false" outlineLevel="1" collapsed="false">
      <c r="A2767" s="20" t="n">
        <v>101</v>
      </c>
      <c r="B2767" s="6" t="s">
        <v>673</v>
      </c>
      <c r="C2767" s="20" t="s">
        <v>71</v>
      </c>
      <c r="D2767" s="23"/>
      <c r="E2767" s="40" t="n">
        <f aca="false">0</f>
        <v>0</v>
      </c>
      <c r="F2767" s="40" t="n">
        <f aca="false">F2763-F2764+MAX(0,-F2761)</f>
        <v>18.886209848</v>
      </c>
      <c r="G2767" s="40" t="n">
        <f aca="false">G2763-G2764+MAX(0,-G2761)</f>
        <v>35.54045984384</v>
      </c>
      <c r="H2767" s="40" t="n">
        <f aca="false">H2763-H2764+MAX(0,-H2761)</f>
        <v>36.1681010272472</v>
      </c>
      <c r="I2767" s="40" t="n">
        <f aca="false">I2763-I2764+MAX(0,-I2761)</f>
        <v>35.6421341891765</v>
      </c>
      <c r="J2767" s="40" t="n">
        <f aca="false">J2763-J2764+MAX(0,-J2761)</f>
        <v>27.4106754472602</v>
      </c>
      <c r="K2767" s="23"/>
      <c r="L2767" s="49"/>
    </row>
    <row r="2768" customFormat="false" ht="15" hidden="true" customHeight="false" outlineLevel="1" collapsed="false">
      <c r="A2768" s="20" t="n">
        <v>102</v>
      </c>
      <c r="B2768" s="6" t="s">
        <v>674</v>
      </c>
      <c r="C2768" s="20" t="s">
        <v>71</v>
      </c>
      <c r="D2768" s="23"/>
      <c r="E2768" s="23"/>
      <c r="F2768" s="40" t="n">
        <f aca="false">F2761-F2766</f>
        <v>-18.886209848</v>
      </c>
      <c r="G2768" s="40" t="n">
        <f aca="false">G2761-G2766</f>
        <v>-16.65424999584</v>
      </c>
      <c r="H2768" s="40" t="n">
        <f aca="false">H2761-H2766</f>
        <v>-0.627641183407199</v>
      </c>
      <c r="I2768" s="40" t="n">
        <f aca="false">I2761-I2766</f>
        <v>1.02563533423785</v>
      </c>
      <c r="J2768" s="40" t="n">
        <f aca="false">J2761-J2766</f>
        <v>16.0513445467369</v>
      </c>
      <c r="K2768" s="51" t="n">
        <f aca="false">SUM(F2768:J2768)</f>
        <v>-19.0911211462725</v>
      </c>
      <c r="L2768" s="49"/>
    </row>
    <row r="2769" customFormat="false" ht="15" hidden="true" customHeight="false" outlineLevel="1" collapsed="false">
      <c r="A2769" s="19" t="s">
        <v>675</v>
      </c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</row>
    <row r="2770" customFormat="false" ht="15" hidden="true" customHeight="false" outlineLevel="1" collapsed="false">
      <c r="A2770" s="20" t="n">
        <v>103</v>
      </c>
      <c r="B2770" s="6" t="s">
        <v>676</v>
      </c>
      <c r="C2770" s="20" t="s">
        <v>71</v>
      </c>
      <c r="D2770" s="23"/>
      <c r="E2770" s="40" t="n">
        <f aca="false">0</f>
        <v>0</v>
      </c>
      <c r="F2770" s="40" t="n">
        <f aca="false">F2730*$D$2691/365</f>
        <v>0</v>
      </c>
      <c r="G2770" s="40" t="n">
        <f aca="false">G2730*$D$2691/365</f>
        <v>2.58904109589041</v>
      </c>
      <c r="H2770" s="40" t="n">
        <f aca="false">H2730*$D$2691/365</f>
        <v>7.78593428938356</v>
      </c>
      <c r="I2770" s="40" t="n">
        <f aca="false">I2730*$D$2691/365</f>
        <v>9.95407255628308</v>
      </c>
      <c r="J2770" s="40" t="n">
        <f aca="false">J2730*$D$2691/365</f>
        <v>15.8202891239122</v>
      </c>
      <c r="K2770" s="23"/>
      <c r="L2770" s="49" t="s">
        <v>677</v>
      </c>
    </row>
    <row r="2771" customFormat="false" ht="15" hidden="true" customHeight="false" outlineLevel="1" collapsed="false">
      <c r="A2771" s="20" t="n">
        <v>104</v>
      </c>
      <c r="B2771" s="6" t="s">
        <v>678</v>
      </c>
      <c r="C2771" s="20" t="s">
        <v>71</v>
      </c>
      <c r="D2771" s="23"/>
      <c r="E2771" s="23"/>
      <c r="F2771" s="40" t="n">
        <f aca="false">F2770-E2770</f>
        <v>0</v>
      </c>
      <c r="G2771" s="40" t="n">
        <f aca="false">G2770-F2770</f>
        <v>2.58904109589041</v>
      </c>
      <c r="H2771" s="40" t="n">
        <f aca="false">H2770-G2770</f>
        <v>5.19689319349315</v>
      </c>
      <c r="I2771" s="40" t="n">
        <f aca="false">I2770-H2770</f>
        <v>2.16813826689952</v>
      </c>
      <c r="J2771" s="40" t="n">
        <f aca="false">J2770-I2770</f>
        <v>5.86621656762908</v>
      </c>
      <c r="K2771" s="51" t="n">
        <f aca="false">SUM(F2771:J2771)</f>
        <v>15.8202891239122</v>
      </c>
      <c r="L2771" s="49"/>
    </row>
    <row r="2772" customFormat="false" ht="15" hidden="true" customHeight="false" outlineLevel="1" collapsed="false">
      <c r="A2772" s="20" t="n">
        <v>105</v>
      </c>
      <c r="B2772" s="6" t="s">
        <v>679</v>
      </c>
      <c r="C2772" s="20" t="s">
        <v>71</v>
      </c>
      <c r="D2772" s="23"/>
      <c r="E2772" s="23"/>
      <c r="F2772" s="40" t="n">
        <f aca="false">F2768-F2771</f>
        <v>-18.886209848</v>
      </c>
      <c r="G2772" s="40" t="n">
        <f aca="false">G2768-G2771</f>
        <v>-19.2432910917304</v>
      </c>
      <c r="H2772" s="40" t="n">
        <f aca="false">H2768-H2771</f>
        <v>-5.82453437690035</v>
      </c>
      <c r="I2772" s="40" t="n">
        <f aca="false">I2768-I2771</f>
        <v>-1.14250293266167</v>
      </c>
      <c r="J2772" s="40" t="n">
        <f aca="false">J2768-J2771</f>
        <v>10.1851279791078</v>
      </c>
      <c r="K2772" s="51" t="n">
        <f aca="false">SUM(F2772:J2772)</f>
        <v>-34.9114102701846</v>
      </c>
      <c r="L2772" s="49" t="s">
        <v>680</v>
      </c>
    </row>
    <row r="2773" customFormat="false" ht="15" hidden="true" customHeight="false" outlineLevel="1" collapsed="false">
      <c r="A2773" s="20" t="n">
        <v>106</v>
      </c>
      <c r="B2773" s="6" t="s">
        <v>93</v>
      </c>
      <c r="C2773" s="20" t="s">
        <v>71</v>
      </c>
      <c r="D2773" s="23"/>
      <c r="E2773" s="40" t="n">
        <f aca="false">0</f>
        <v>0</v>
      </c>
      <c r="F2773" s="40" t="n">
        <f aca="false">E2773+F2772</f>
        <v>-18.886209848</v>
      </c>
      <c r="G2773" s="40" t="n">
        <f aca="false">F2773+G2772</f>
        <v>-38.1295009397304</v>
      </c>
      <c r="H2773" s="40" t="n">
        <f aca="false">G2773+H2772</f>
        <v>-43.9540353166308</v>
      </c>
      <c r="I2773" s="40" t="n">
        <f aca="false">H2773+I2772</f>
        <v>-45.0965382492924</v>
      </c>
      <c r="J2773" s="40" t="n">
        <f aca="false">I2773+J2772</f>
        <v>-34.9114102701846</v>
      </c>
      <c r="K2773" s="23"/>
      <c r="L2773" s="49" t="s">
        <v>681</v>
      </c>
    </row>
    <row r="2774" customFormat="false" ht="15" hidden="true" customHeight="false" outlineLevel="1" collapsed="false">
      <c r="A2774" s="20" t="n">
        <v>107</v>
      </c>
      <c r="B2774" s="6" t="s">
        <v>682</v>
      </c>
      <c r="C2774" s="20"/>
      <c r="D2774" s="23"/>
      <c r="E2774" s="23"/>
      <c r="F2774" s="53" t="n">
        <f aca="false">1/(1+$D$2692)^(F$2712-$E$2712)</f>
        <v>0.769230769230769</v>
      </c>
      <c r="G2774" s="53" t="n">
        <f aca="false">1/(1+$D$2692)^(G$2712-$E$2712)</f>
        <v>0.591715976331361</v>
      </c>
      <c r="H2774" s="53" t="n">
        <f aca="false">1/(1+$D$2692)^(H$2712-$E$2712)</f>
        <v>0.455166135639508</v>
      </c>
      <c r="I2774" s="53" t="n">
        <f aca="false">1/(1+$D$2692)^(I$2712-$E$2712)</f>
        <v>0.350127796645776</v>
      </c>
      <c r="J2774" s="53" t="n">
        <f aca="false">1/(1+$D$2692)^(J$2712-$E$2712)</f>
        <v>0.269329074342904</v>
      </c>
      <c r="K2774" s="23"/>
      <c r="L2774" s="49" t="s">
        <v>683</v>
      </c>
    </row>
    <row r="2775" customFormat="false" ht="15" hidden="true" customHeight="false" outlineLevel="1" collapsed="false">
      <c r="A2775" s="20" t="n">
        <v>108</v>
      </c>
      <c r="B2775" s="6" t="s">
        <v>684</v>
      </c>
      <c r="C2775" s="20" t="s">
        <v>71</v>
      </c>
      <c r="D2775" s="23"/>
      <c r="E2775" s="23"/>
      <c r="F2775" s="40" t="n">
        <f aca="false">F2772*F2774</f>
        <v>-14.5278537292308</v>
      </c>
      <c r="G2775" s="40" t="n">
        <f aca="false">G2772*G2774</f>
        <v>-11.3865627761718</v>
      </c>
      <c r="H2775" s="40" t="n">
        <f aca="false">H2772*H2774</f>
        <v>-2.6511308042332</v>
      </c>
      <c r="I2775" s="40" t="n">
        <f aca="false">I2772*I2774</f>
        <v>-0.400022034474168</v>
      </c>
      <c r="J2775" s="40" t="n">
        <f aca="false">J2772*J2774</f>
        <v>2.74315109067712</v>
      </c>
      <c r="K2775" s="51" t="n">
        <f aca="false">SUM(F2775:J2775)</f>
        <v>-26.2224182534329</v>
      </c>
      <c r="L2775" s="49"/>
    </row>
    <row r="2776" customFormat="false" ht="15" hidden="true" customHeight="false" outlineLevel="1" collapsed="false">
      <c r="A2776" s="20" t="n">
        <v>109</v>
      </c>
      <c r="B2776" s="6" t="s">
        <v>685</v>
      </c>
      <c r="C2776" s="20" t="s">
        <v>71</v>
      </c>
      <c r="D2776" s="23"/>
      <c r="E2776" s="23"/>
      <c r="F2776" s="40" t="n">
        <f aca="false">IF(F$2712=$J$2712,MAX(0,F2772)*(1+$D$2693)/($D$2692-$D$2693),0)</f>
        <v>0</v>
      </c>
      <c r="G2776" s="40" t="n">
        <f aca="false">IF(G$2712=$J$2712,MAX(0,G2772)*(1+$D$2693)/($D$2692-$D$2693),0)</f>
        <v>0</v>
      </c>
      <c r="H2776" s="40" t="n">
        <f aca="false">IF(H$2712=$J$2712,MAX(0,H2772)*(1+$D$2693)/($D$2692-$D$2693),0)</f>
        <v>0</v>
      </c>
      <c r="I2776" s="40" t="n">
        <f aca="false">IF(I$2712=$J$2712,MAX(0,I2772)*(1+$D$2693)/($D$2692-$D$2693),0)</f>
        <v>0</v>
      </c>
      <c r="J2776" s="40" t="n">
        <f aca="false">IF(J$2712=$J$2712,MAX(0,J2772)*(1+$D$2693)/($D$2692-$D$2693),0)</f>
        <v>40.7405119164312</v>
      </c>
      <c r="K2776" s="23"/>
      <c r="L2776" s="49" t="s">
        <v>686</v>
      </c>
    </row>
    <row r="2777" customFormat="false" ht="15" hidden="true" customHeight="false" outlineLevel="1" collapsed="false">
      <c r="A2777" s="20" t="n">
        <v>110</v>
      </c>
      <c r="B2777" s="6" t="s">
        <v>687</v>
      </c>
      <c r="C2777" s="20" t="s">
        <v>71</v>
      </c>
      <c r="D2777" s="23"/>
      <c r="E2777" s="23"/>
      <c r="F2777" s="40" t="n">
        <f aca="false">F2776*F2774</f>
        <v>0</v>
      </c>
      <c r="G2777" s="40" t="n">
        <f aca="false">G2776*G2774</f>
        <v>0</v>
      </c>
      <c r="H2777" s="40" t="n">
        <f aca="false">H2776*H2774</f>
        <v>0</v>
      </c>
      <c r="I2777" s="40" t="n">
        <f aca="false">I2776*I2774</f>
        <v>0</v>
      </c>
      <c r="J2777" s="40" t="n">
        <f aca="false">J2776*J2774</f>
        <v>10.9726043627085</v>
      </c>
      <c r="K2777" s="51" t="n">
        <f aca="false">SUM(F2777:J2777)</f>
        <v>10.9726043627085</v>
      </c>
      <c r="L2777" s="49"/>
    </row>
    <row r="2778" customFormat="false" ht="15" hidden="true" customHeight="false" outlineLevel="1" collapsed="false">
      <c r="A2778" s="20" t="n">
        <v>111</v>
      </c>
      <c r="B2778" s="6" t="s">
        <v>688</v>
      </c>
      <c r="C2778" s="20" t="s">
        <v>71</v>
      </c>
      <c r="D2778" s="23"/>
      <c r="E2778" s="23"/>
      <c r="F2778" s="40" t="n">
        <f aca="false">F2772+F2776</f>
        <v>-18.886209848</v>
      </c>
      <c r="G2778" s="40" t="n">
        <f aca="false">G2772+G2776</f>
        <v>-19.2432910917304</v>
      </c>
      <c r="H2778" s="40" t="n">
        <f aca="false">H2772+H2776</f>
        <v>-5.82453437690035</v>
      </c>
      <c r="I2778" s="40" t="n">
        <f aca="false">I2772+I2776</f>
        <v>-1.14250293266167</v>
      </c>
      <c r="J2778" s="40" t="n">
        <f aca="false">J2772+J2776</f>
        <v>50.925639895539</v>
      </c>
      <c r="K2778" s="23"/>
      <c r="L2778" s="49" t="s">
        <v>689</v>
      </c>
    </row>
    <row r="2779" customFormat="false" ht="15" hidden="true" customHeight="false" outlineLevel="1" collapsed="false">
      <c r="A2779" s="20" t="n">
        <v>112</v>
      </c>
      <c r="B2779" s="6" t="s">
        <v>690</v>
      </c>
      <c r="C2779" s="20"/>
      <c r="D2779" s="23"/>
      <c r="E2779" s="23"/>
      <c r="F2779" s="52" t="str">
        <f aca="false">IF(AND(F2761&gt;0,COUNTIF($F$2761:F$2761,"&gt;0")=1),F$2712,"")</f>
        <v/>
      </c>
      <c r="G2779" s="52" t="str">
        <f aca="false">IF(AND(G2761&gt;0,COUNTIF($F$2761:G$2761,"&gt;0")=1),G$2712,"")</f>
        <v/>
      </c>
      <c r="H2779" s="52" t="str">
        <f aca="false">IF(AND(H2761&gt;0,COUNTIF($F$2761:H$2761,"&gt;0")=1),H$2712,"")</f>
        <v/>
      </c>
      <c r="I2779" s="52" t="n">
        <f aca="false">IF(AND(I2761&gt;0,COUNTIF($F$2761:I$2761,"&gt;0")=1),I$2712,"")</f>
        <v>2030</v>
      </c>
      <c r="J2779" s="52" t="str">
        <f aca="false">IF(AND(J2761&gt;0,COUNTIF($F$2761:J$2761,"&gt;0")=1),J$2712,"")</f>
        <v/>
      </c>
      <c r="K2779" s="23"/>
      <c r="L2779" s="49" t="s">
        <v>691</v>
      </c>
    </row>
    <row r="2780" customFormat="false" ht="15" hidden="true" customHeight="false" outlineLevel="1" collapsed="false">
      <c r="A2780" s="20" t="n">
        <v>113</v>
      </c>
      <c r="B2780" s="6" t="s">
        <v>692</v>
      </c>
      <c r="C2780" s="20"/>
      <c r="D2780" s="23"/>
      <c r="E2780" s="23"/>
      <c r="F2780" s="52" t="str">
        <f aca="false">IF(AND(F2773&gt;0,COUNTIF($F$2773:F$2773,"&gt;0")=1),F$2712,"")</f>
        <v/>
      </c>
      <c r="G2780" s="52" t="str">
        <f aca="false">IF(AND(G2773&gt;0,COUNTIF($F$2773:G$2773,"&gt;0")=1),G$2712,"")</f>
        <v/>
      </c>
      <c r="H2780" s="52" t="str">
        <f aca="false">IF(AND(H2773&gt;0,COUNTIF($F$2773:H$2773,"&gt;0")=1),H$2712,"")</f>
        <v/>
      </c>
      <c r="I2780" s="52" t="str">
        <f aca="false">IF(AND(I2773&gt;0,COUNTIF($F$2773:I$2773,"&gt;0")=1),I$2712,"")</f>
        <v/>
      </c>
      <c r="J2780" s="52" t="str">
        <f aca="false">IF(AND(J2773&gt;0,COUNTIF($F$2773:J$2773,"&gt;0")=1),J$2712,"")</f>
        <v/>
      </c>
      <c r="K2780" s="23"/>
      <c r="L2780" s="49" t="s">
        <v>691</v>
      </c>
    </row>
    <row r="2781" customFormat="false" ht="15" hidden="true" customHeight="false" outlineLevel="1" collapsed="false">
      <c r="A2781" s="19" t="s">
        <v>693</v>
      </c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</row>
    <row r="2782" customFormat="false" ht="15" hidden="true" customHeight="false" outlineLevel="1" collapsed="false">
      <c r="A2782" s="20" t="n">
        <v>114</v>
      </c>
      <c r="B2782" s="6" t="s">
        <v>70</v>
      </c>
      <c r="C2782" s="20" t="s">
        <v>71</v>
      </c>
      <c r="D2782" s="51" t="n">
        <f aca="false">SUM(F2730:J2730)</f>
        <v>146.605644765514</v>
      </c>
      <c r="E2782" s="23"/>
      <c r="F2782" s="23"/>
      <c r="G2782" s="23"/>
      <c r="H2782" s="23"/>
      <c r="I2782" s="23"/>
      <c r="J2782" s="23"/>
      <c r="K2782" s="23"/>
      <c r="L2782" s="49"/>
    </row>
    <row r="2783" customFormat="false" ht="15" hidden="true" customHeight="false" outlineLevel="1" collapsed="false">
      <c r="A2783" s="20" t="n">
        <v>115</v>
      </c>
      <c r="B2783" s="6" t="s">
        <v>694</v>
      </c>
      <c r="C2783" s="20" t="s">
        <v>71</v>
      </c>
      <c r="D2783" s="51" t="n">
        <f aca="false">J2730</f>
        <v>64.1600614469771</v>
      </c>
      <c r="E2783" s="23"/>
      <c r="F2783" s="23"/>
      <c r="G2783" s="23"/>
      <c r="H2783" s="23"/>
      <c r="I2783" s="23"/>
      <c r="J2783" s="23"/>
      <c r="K2783" s="23"/>
      <c r="L2783" s="49"/>
    </row>
    <row r="2784" customFormat="false" ht="15" hidden="true" customHeight="false" outlineLevel="1" collapsed="false">
      <c r="A2784" s="20" t="n">
        <v>116</v>
      </c>
      <c r="B2784" s="6" t="s">
        <v>695</v>
      </c>
      <c r="C2784" s="20" t="s">
        <v>71</v>
      </c>
      <c r="D2784" s="51" t="n">
        <f aca="false">J2731</f>
        <v>70.4735427041515</v>
      </c>
      <c r="E2784" s="23"/>
      <c r="F2784" s="23"/>
      <c r="G2784" s="23"/>
      <c r="H2784" s="23"/>
      <c r="I2784" s="23"/>
      <c r="J2784" s="23"/>
      <c r="K2784" s="23"/>
      <c r="L2784" s="49"/>
    </row>
    <row r="2785" customFormat="false" ht="15" hidden="true" customHeight="false" outlineLevel="1" collapsed="false">
      <c r="A2785" s="20" t="n">
        <v>117</v>
      </c>
      <c r="B2785" s="6" t="s">
        <v>696</v>
      </c>
      <c r="C2785" s="20" t="s">
        <v>71</v>
      </c>
      <c r="D2785" s="51" t="n">
        <f aca="false">J2761</f>
        <v>16.4629174838327</v>
      </c>
      <c r="E2785" s="23"/>
      <c r="F2785" s="23"/>
      <c r="G2785" s="23"/>
      <c r="H2785" s="23"/>
      <c r="I2785" s="23"/>
      <c r="J2785" s="23"/>
      <c r="K2785" s="23"/>
      <c r="L2785" s="49"/>
    </row>
    <row r="2786" customFormat="false" ht="15" hidden="true" customHeight="false" outlineLevel="1" collapsed="false">
      <c r="A2786" s="20" t="n">
        <v>118</v>
      </c>
      <c r="B2786" s="6" t="s">
        <v>697</v>
      </c>
      <c r="C2786" s="20" t="s">
        <v>76</v>
      </c>
      <c r="D2786" s="54" t="n">
        <f aca="false">J2722</f>
        <v>11</v>
      </c>
      <c r="E2786" s="23"/>
      <c r="F2786" s="23"/>
      <c r="G2786" s="23"/>
      <c r="H2786" s="23"/>
      <c r="I2786" s="23"/>
      <c r="J2786" s="23"/>
      <c r="K2786" s="23"/>
      <c r="L2786" s="49"/>
    </row>
    <row r="2787" customFormat="false" ht="15" hidden="true" customHeight="false" outlineLevel="1" collapsed="false">
      <c r="A2787" s="20" t="n">
        <v>119</v>
      </c>
      <c r="B2787" s="6" t="s">
        <v>698</v>
      </c>
      <c r="C2787" s="20" t="s">
        <v>53</v>
      </c>
      <c r="D2787" s="51" t="n">
        <f aca="false">J2733</f>
        <v>8</v>
      </c>
      <c r="E2787" s="23"/>
      <c r="F2787" s="23"/>
      <c r="G2787" s="23"/>
      <c r="H2787" s="23"/>
      <c r="I2787" s="23"/>
      <c r="J2787" s="23"/>
      <c r="K2787" s="23"/>
      <c r="L2787" s="49"/>
    </row>
    <row r="2788" customFormat="false" ht="15" hidden="true" customHeight="false" outlineLevel="1" collapsed="false">
      <c r="A2788" s="20" t="n">
        <v>120</v>
      </c>
      <c r="B2788" s="6" t="s">
        <v>699</v>
      </c>
      <c r="C2788" s="20" t="s">
        <v>71</v>
      </c>
      <c r="D2788" s="51" t="n">
        <f aca="false">MIN(0,MIN(F2773:J2773))</f>
        <v>-45.0965382492924</v>
      </c>
      <c r="E2788" s="23"/>
      <c r="F2788" s="23"/>
      <c r="G2788" s="23"/>
      <c r="H2788" s="23"/>
      <c r="I2788" s="23"/>
      <c r="J2788" s="23"/>
      <c r="K2788" s="23"/>
      <c r="L2788" s="49"/>
    </row>
    <row r="2789" customFormat="false" ht="15" hidden="true" customHeight="false" outlineLevel="1" collapsed="false">
      <c r="A2789" s="20" t="n">
        <v>121</v>
      </c>
      <c r="B2789" s="6" t="s">
        <v>700</v>
      </c>
      <c r="C2789" s="20" t="s">
        <v>71</v>
      </c>
      <c r="D2789" s="51" t="n">
        <f aca="false">-$D$2788*(1+$D$2694)</f>
        <v>54.1158458991509</v>
      </c>
      <c r="E2789" s="23"/>
      <c r="F2789" s="23"/>
      <c r="G2789" s="23"/>
      <c r="H2789" s="23"/>
      <c r="I2789" s="23"/>
      <c r="J2789" s="23"/>
      <c r="K2789" s="23"/>
      <c r="L2789" s="49"/>
    </row>
    <row r="2790" customFormat="false" ht="15" hidden="true" customHeight="false" outlineLevel="1" collapsed="false">
      <c r="A2790" s="20" t="n">
        <v>122</v>
      </c>
      <c r="B2790" s="6" t="s">
        <v>701</v>
      </c>
      <c r="C2790" s="20" t="s">
        <v>71</v>
      </c>
      <c r="D2790" s="51" t="n">
        <f aca="false">J2773</f>
        <v>-34.9114102701846</v>
      </c>
      <c r="E2790" s="23"/>
      <c r="F2790" s="23"/>
      <c r="G2790" s="23"/>
      <c r="H2790" s="23"/>
      <c r="I2790" s="23"/>
      <c r="J2790" s="23"/>
      <c r="K2790" s="23"/>
      <c r="L2790" s="49"/>
    </row>
    <row r="2791" customFormat="false" ht="15" hidden="true" customHeight="false" outlineLevel="1" collapsed="false">
      <c r="A2791" s="20" t="n">
        <v>123</v>
      </c>
      <c r="B2791" s="6" t="s">
        <v>702</v>
      </c>
      <c r="C2791" s="20" t="s">
        <v>71</v>
      </c>
      <c r="D2791" s="51" t="n">
        <f aca="false">SUM(F2775:J2775)</f>
        <v>-26.2224182534329</v>
      </c>
      <c r="E2791" s="23"/>
      <c r="F2791" s="23"/>
      <c r="G2791" s="23"/>
      <c r="H2791" s="23"/>
      <c r="I2791" s="23"/>
      <c r="J2791" s="23"/>
      <c r="K2791" s="23"/>
      <c r="L2791" s="49"/>
    </row>
    <row r="2792" customFormat="false" ht="15" hidden="true" customHeight="false" outlineLevel="1" collapsed="false">
      <c r="A2792" s="20" t="n">
        <v>124</v>
      </c>
      <c r="B2792" s="6" t="s">
        <v>82</v>
      </c>
      <c r="C2792" s="20" t="s">
        <v>71</v>
      </c>
      <c r="D2792" s="51" t="n">
        <f aca="false">SUM(F2775:J2775)+SUM(F2777:J2777)</f>
        <v>-15.2498138907244</v>
      </c>
      <c r="E2792" s="23"/>
      <c r="F2792" s="23"/>
      <c r="G2792" s="23"/>
      <c r="H2792" s="23"/>
      <c r="I2792" s="23"/>
      <c r="J2792" s="23"/>
      <c r="K2792" s="23"/>
      <c r="L2792" s="49"/>
    </row>
    <row r="2793" customFormat="false" ht="15" hidden="true" customHeight="false" outlineLevel="1" collapsed="false">
      <c r="A2793" s="20" t="n">
        <v>125</v>
      </c>
      <c r="B2793" s="6" t="s">
        <v>83</v>
      </c>
      <c r="C2793" s="20" t="s">
        <v>68</v>
      </c>
      <c r="D2793" s="55" t="n">
        <f aca="false">IFERROR(IRR(F2778:J2778),"н/д")</f>
        <v>0.0381121612446987</v>
      </c>
      <c r="E2793" s="23"/>
      <c r="F2793" s="23"/>
      <c r="G2793" s="23"/>
      <c r="H2793" s="23"/>
      <c r="I2793" s="23"/>
      <c r="J2793" s="23"/>
      <c r="K2793" s="23"/>
      <c r="L2793" s="49"/>
    </row>
    <row r="2794" customFormat="false" ht="15" hidden="true" customHeight="false" outlineLevel="1" collapsed="false">
      <c r="A2794" s="20" t="n">
        <v>126</v>
      </c>
      <c r="B2794" s="6" t="s">
        <v>13</v>
      </c>
      <c r="C2794" s="20" t="s">
        <v>79</v>
      </c>
      <c r="D2794" s="56" t="n">
        <f aca="false">IF(COUNT(F2779:J2779)=0,"после 2031",MIN(F2779:J2779))</f>
        <v>2030</v>
      </c>
      <c r="E2794" s="23"/>
      <c r="F2794" s="23"/>
      <c r="G2794" s="23"/>
      <c r="H2794" s="23"/>
      <c r="I2794" s="23"/>
      <c r="J2794" s="23"/>
      <c r="K2794" s="23"/>
      <c r="L2794" s="49"/>
    </row>
    <row r="2795" customFormat="false" ht="15" hidden="true" customHeight="false" outlineLevel="1" collapsed="false">
      <c r="A2795" s="20" t="n">
        <v>127</v>
      </c>
      <c r="B2795" s="6" t="s">
        <v>703</v>
      </c>
      <c r="C2795" s="20" t="s">
        <v>79</v>
      </c>
      <c r="D2795" s="56" t="str">
        <f aca="false">IF(COUNT(F2780:J2780)=0,"после 2031",MIN(F2780:J2780))</f>
        <v>после 2031</v>
      </c>
      <c r="E2795" s="23"/>
      <c r="F2795" s="23"/>
      <c r="G2795" s="23"/>
      <c r="H2795" s="23"/>
      <c r="I2795" s="23"/>
      <c r="J2795" s="23"/>
      <c r="K2795" s="23"/>
      <c r="L2795" s="49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9F68"/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7" t="s">
        <v>31</v>
      </c>
    </row>
    <row r="2" customFormat="false" ht="15" hidden="false" customHeight="false" outlineLevel="0" collapsed="false">
      <c r="A2" s="18" t="s">
        <v>742</v>
      </c>
    </row>
    <row r="4" customFormat="false" ht="30" hidden="false" customHeight="true" outlineLevel="0" collapsed="false">
      <c r="A4" s="4" t="s">
        <v>49</v>
      </c>
      <c r="B4" s="4" t="s">
        <v>743</v>
      </c>
      <c r="C4" s="5" t="s">
        <v>85</v>
      </c>
      <c r="D4" s="5" t="s">
        <v>744</v>
      </c>
      <c r="E4" s="5" t="s">
        <v>745</v>
      </c>
      <c r="F4" s="5" t="s">
        <v>746</v>
      </c>
      <c r="G4" s="5" t="s">
        <v>747</v>
      </c>
    </row>
    <row r="5" customFormat="false" ht="15" hidden="false" customHeight="false" outlineLevel="0" collapsed="false">
      <c r="A5" s="19" t="s">
        <v>748</v>
      </c>
      <c r="B5" s="19"/>
      <c r="C5" s="19"/>
      <c r="D5" s="19"/>
      <c r="E5" s="19"/>
      <c r="F5" s="19"/>
      <c r="G5" s="19"/>
    </row>
    <row r="6" customFormat="false" ht="15" hidden="false" customHeight="false" outlineLevel="0" collapsed="false">
      <c r="A6" s="23" t="n">
        <v>1</v>
      </c>
      <c r="B6" s="6" t="s">
        <v>749</v>
      </c>
      <c r="C6" s="23" t="s">
        <v>4</v>
      </c>
      <c r="D6" s="30" t="n">
        <v>33</v>
      </c>
      <c r="E6" s="38" t="n">
        <f aca="false">'Эффект для банка'!$D$36</f>
        <v>33</v>
      </c>
      <c r="F6" s="58" t="str">
        <f aca="false">IF(E6=D6,"ОК","ОШИБКА")</f>
        <v>ОК</v>
      </c>
      <c r="G6" s="49" t="s">
        <v>750</v>
      </c>
    </row>
    <row r="7" customFormat="false" ht="15" hidden="false" customHeight="false" outlineLevel="0" collapsed="false">
      <c r="A7" s="23" t="n">
        <v>2</v>
      </c>
      <c r="B7" s="6" t="s">
        <v>751</v>
      </c>
      <c r="C7" s="23" t="s">
        <v>4</v>
      </c>
      <c r="D7" s="30" t="n">
        <v>34</v>
      </c>
      <c r="E7" s="38" t="n">
        <f aca="false">'Эффект для банка'!$D$44</f>
        <v>34</v>
      </c>
      <c r="F7" s="58" t="str">
        <f aca="false">IF(E7=D7,"ОК","ОШИБКА")</f>
        <v>ОК</v>
      </c>
      <c r="G7" s="49" t="s">
        <v>750</v>
      </c>
    </row>
    <row r="8" customFormat="false" ht="15" hidden="false" customHeight="false" outlineLevel="0" collapsed="false">
      <c r="A8" s="23" t="n">
        <v>3</v>
      </c>
      <c r="B8" s="6" t="s">
        <v>749</v>
      </c>
      <c r="C8" s="23" t="s">
        <v>5</v>
      </c>
      <c r="D8" s="30" t="n">
        <v>75</v>
      </c>
      <c r="E8" s="38" t="n">
        <f aca="false">'Эффект для банка'!$E$36</f>
        <v>75</v>
      </c>
      <c r="F8" s="58" t="str">
        <f aca="false">IF(E8=D8,"ОК","ОШИБКА")</f>
        <v>ОК</v>
      </c>
      <c r="G8" s="49" t="s">
        <v>750</v>
      </c>
    </row>
    <row r="9" customFormat="false" ht="15" hidden="false" customHeight="false" outlineLevel="0" collapsed="false">
      <c r="A9" s="23" t="n">
        <v>4</v>
      </c>
      <c r="B9" s="6" t="s">
        <v>751</v>
      </c>
      <c r="C9" s="23" t="s">
        <v>5</v>
      </c>
      <c r="D9" s="30" t="n">
        <v>115</v>
      </c>
      <c r="E9" s="38" t="n">
        <f aca="false">'Эффект для банка'!$E$44</f>
        <v>115</v>
      </c>
      <c r="F9" s="58" t="str">
        <f aca="false">IF(E9=D9,"ОК","ОШИБКА")</f>
        <v>ОК</v>
      </c>
      <c r="G9" s="49" t="s">
        <v>750</v>
      </c>
    </row>
    <row r="10" customFormat="false" ht="15" hidden="false" customHeight="false" outlineLevel="0" collapsed="false">
      <c r="A10" s="23" t="n">
        <v>5</v>
      </c>
      <c r="B10" s="6" t="s">
        <v>749</v>
      </c>
      <c r="C10" s="23" t="s">
        <v>6</v>
      </c>
      <c r="D10" s="30" t="n">
        <v>167</v>
      </c>
      <c r="E10" s="38" t="n">
        <f aca="false">'Эффект для банка'!$F$36</f>
        <v>167</v>
      </c>
      <c r="F10" s="58" t="str">
        <f aca="false">IF(E10=D10,"ОК","ОШИБКА")</f>
        <v>ОК</v>
      </c>
      <c r="G10" s="49" t="s">
        <v>750</v>
      </c>
    </row>
    <row r="11" customFormat="false" ht="15" hidden="false" customHeight="false" outlineLevel="0" collapsed="false">
      <c r="A11" s="23" t="n">
        <v>6</v>
      </c>
      <c r="B11" s="6" t="s">
        <v>751</v>
      </c>
      <c r="C11" s="23" t="s">
        <v>6</v>
      </c>
      <c r="D11" s="30" t="n">
        <v>229</v>
      </c>
      <c r="E11" s="38" t="n">
        <f aca="false">'Эффект для банка'!$F$44</f>
        <v>229</v>
      </c>
      <c r="F11" s="58" t="str">
        <f aca="false">IF(E11=D11,"ОК","ОШИБКА")</f>
        <v>ОК</v>
      </c>
      <c r="G11" s="49" t="s">
        <v>750</v>
      </c>
    </row>
    <row r="12" customFormat="false" ht="15" hidden="false" customHeight="false" outlineLevel="0" collapsed="false">
      <c r="A12" s="23" t="n">
        <v>7</v>
      </c>
      <c r="B12" s="6" t="s">
        <v>752</v>
      </c>
      <c r="C12" s="23" t="s">
        <v>4</v>
      </c>
      <c r="D12" s="40" t="n">
        <f aca="false">Консервативный!K73+Консервативный!K72</f>
        <v>37.247676544</v>
      </c>
      <c r="E12" s="40" t="n">
        <f aca="false">Консервативный!K74</f>
        <v>37.247676544</v>
      </c>
      <c r="F12" s="58" t="str">
        <f aca="false">IF(ABS(E12-D12)&lt;0.000001,"ОК","ОШИБКА")</f>
        <v>ОК</v>
      </c>
      <c r="G12" s="49" t="s">
        <v>753</v>
      </c>
    </row>
    <row r="13" customFormat="false" ht="15" hidden="false" customHeight="false" outlineLevel="0" collapsed="false">
      <c r="A13" s="23" t="n">
        <v>8</v>
      </c>
      <c r="B13" s="6" t="s">
        <v>754</v>
      </c>
      <c r="C13" s="23" t="s">
        <v>4</v>
      </c>
      <c r="D13" s="40" t="n">
        <f aca="false">Консервативный!K69+Консервативный!K70+Консервативный!K71</f>
        <v>25.943192704</v>
      </c>
      <c r="E13" s="40" t="n">
        <f aca="false">Консервативный!K73</f>
        <v>25.943192704</v>
      </c>
      <c r="F13" s="58" t="str">
        <f aca="false">IF(ABS(E13-D13)&lt;0.000001,"ОК","ОШИБКА")</f>
        <v>ОК</v>
      </c>
      <c r="G13" s="49"/>
    </row>
    <row r="14" customFormat="false" ht="15" hidden="false" customHeight="false" outlineLevel="0" collapsed="false">
      <c r="A14" s="23" t="n">
        <v>9</v>
      </c>
      <c r="B14" s="6" t="s">
        <v>755</v>
      </c>
      <c r="C14" s="23" t="s">
        <v>4</v>
      </c>
      <c r="D14" s="40" t="n">
        <f aca="false">Консервативный!K116</f>
        <v>-65.1030952827553</v>
      </c>
      <c r="E14" s="40" t="n">
        <f aca="false">Консервативный!J117</f>
        <v>-65.1030952827553</v>
      </c>
      <c r="F14" s="58" t="str">
        <f aca="false">IF(ABS(E14-D14)&lt;0.000001,"ОК","ОШИБКА")</f>
        <v>ОК</v>
      </c>
      <c r="G14" s="49"/>
    </row>
    <row r="15" customFormat="false" ht="15" hidden="false" customHeight="false" outlineLevel="0" collapsed="false">
      <c r="A15" s="23" t="n">
        <v>10</v>
      </c>
      <c r="B15" s="6" t="s">
        <v>756</v>
      </c>
      <c r="C15" s="23" t="s">
        <v>4</v>
      </c>
      <c r="D15" s="40" t="n">
        <f aca="false">Консервативный!K105-Консервативный!K110</f>
        <v>-61.1752551039059</v>
      </c>
      <c r="E15" s="40" t="n">
        <f aca="false">Консервативный!K112</f>
        <v>-61.1752551039059</v>
      </c>
      <c r="F15" s="58" t="str">
        <f aca="false">IF(ABS(E15-D15)&lt;0.000001,"ОК","ОШИБКА")</f>
        <v>ОК</v>
      </c>
      <c r="G15" s="49"/>
    </row>
    <row r="16" customFormat="false" ht="15" hidden="false" customHeight="false" outlineLevel="0" collapsed="false">
      <c r="A16" s="23" t="n">
        <v>11</v>
      </c>
      <c r="B16" s="6" t="s">
        <v>757</v>
      </c>
      <c r="C16" s="23" t="s">
        <v>4</v>
      </c>
      <c r="D16" s="34" t="n">
        <v>0</v>
      </c>
      <c r="E16" s="40" t="n">
        <f aca="false">MIN(Консервативный!E77:J77,Консервативный!F66:J66)</f>
        <v>0</v>
      </c>
      <c r="F16" s="58" t="str">
        <f aca="false">IF(E16&gt;=D16,"ОК","ОШИБКА")</f>
        <v>ОК</v>
      </c>
      <c r="G16" s="49"/>
    </row>
    <row r="17" customFormat="false" ht="15" hidden="false" customHeight="false" outlineLevel="0" collapsed="false">
      <c r="A17" s="23" t="n">
        <v>12</v>
      </c>
      <c r="B17" s="6" t="s">
        <v>758</v>
      </c>
      <c r="C17" s="23" t="s">
        <v>4</v>
      </c>
      <c r="D17" s="38" t="n">
        <f aca="false">Рынок!$D$7+Рынок!$D$8</f>
        <v>60</v>
      </c>
      <c r="E17" s="38" t="n">
        <f aca="false">Консервативный!J66</f>
        <v>4</v>
      </c>
      <c r="F17" s="58" t="str">
        <f aca="false">IF(E17&lt;=D17,"ОК","ОШИБКА")</f>
        <v>ОК</v>
      </c>
      <c r="G17" s="49"/>
    </row>
    <row r="18" customFormat="false" ht="15" hidden="false" customHeight="false" outlineLevel="0" collapsed="false">
      <c r="A18" s="23" t="n">
        <v>13</v>
      </c>
      <c r="B18" s="6" t="s">
        <v>752</v>
      </c>
      <c r="C18" s="23" t="s">
        <v>5</v>
      </c>
      <c r="D18" s="40" t="n">
        <f aca="false">Базовый!K73+Базовый!K72</f>
        <v>171.04851523817</v>
      </c>
      <c r="E18" s="40" t="n">
        <f aca="false">Базовый!K74</f>
        <v>171.04851523817</v>
      </c>
      <c r="F18" s="58" t="str">
        <f aca="false">IF(ABS(E18-D18)&lt;0.000001,"ОК","ОШИБКА")</f>
        <v>ОК</v>
      </c>
      <c r="G18" s="49" t="s">
        <v>753</v>
      </c>
    </row>
    <row r="19" customFormat="false" ht="15" hidden="false" customHeight="false" outlineLevel="0" collapsed="false">
      <c r="A19" s="23" t="n">
        <v>14</v>
      </c>
      <c r="B19" s="6" t="s">
        <v>754</v>
      </c>
      <c r="C19" s="23" t="s">
        <v>5</v>
      </c>
      <c r="D19" s="40" t="n">
        <f aca="false">Базовый!K69+Базовый!K70+Базовый!K71</f>
        <v>126.07092773817</v>
      </c>
      <c r="E19" s="40" t="n">
        <f aca="false">Базовый!K73</f>
        <v>126.07092773817</v>
      </c>
      <c r="F19" s="58" t="str">
        <f aca="false">IF(ABS(E19-D19)&lt;0.000001,"ОК","ОШИБКА")</f>
        <v>ОК</v>
      </c>
      <c r="G19" s="49"/>
    </row>
    <row r="20" customFormat="false" ht="15" hidden="false" customHeight="false" outlineLevel="0" collapsed="false">
      <c r="A20" s="23" t="n">
        <v>15</v>
      </c>
      <c r="B20" s="6" t="s">
        <v>755</v>
      </c>
      <c r="C20" s="23" t="s">
        <v>5</v>
      </c>
      <c r="D20" s="40" t="n">
        <f aca="false">Базовый!K116</f>
        <v>-12.5675066137707</v>
      </c>
      <c r="E20" s="40" t="n">
        <f aca="false">Базовый!J117</f>
        <v>-12.5675066137707</v>
      </c>
      <c r="F20" s="58" t="str">
        <f aca="false">IF(ABS(E20-D20)&lt;0.000001,"ОК","ОШИБКА")</f>
        <v>ОК</v>
      </c>
      <c r="G20" s="49"/>
    </row>
    <row r="21" customFormat="false" ht="15" hidden="false" customHeight="false" outlineLevel="0" collapsed="false">
      <c r="A21" s="23" t="n">
        <v>16</v>
      </c>
      <c r="B21" s="6" t="s">
        <v>756</v>
      </c>
      <c r="C21" s="23" t="s">
        <v>5</v>
      </c>
      <c r="D21" s="40" t="n">
        <f aca="false">Базовый!K105-Базовый!K110</f>
        <v>4.14461859415254</v>
      </c>
      <c r="E21" s="40" t="n">
        <f aca="false">Базовый!K112</f>
        <v>4.14461859415254</v>
      </c>
      <c r="F21" s="58" t="str">
        <f aca="false">IF(ABS(E21-D21)&lt;0.000001,"ОК","ОШИБКА")</f>
        <v>ОК</v>
      </c>
      <c r="G21" s="49"/>
    </row>
    <row r="22" customFormat="false" ht="15" hidden="false" customHeight="false" outlineLevel="0" collapsed="false">
      <c r="A22" s="23" t="n">
        <v>17</v>
      </c>
      <c r="B22" s="6" t="s">
        <v>757</v>
      </c>
      <c r="C22" s="23" t="s">
        <v>5</v>
      </c>
      <c r="D22" s="34" t="n">
        <v>0</v>
      </c>
      <c r="E22" s="40" t="n">
        <f aca="false">MIN(Базовый!E77:J77,Базовый!F66:J66)</f>
        <v>1</v>
      </c>
      <c r="F22" s="58" t="str">
        <f aca="false">IF(E22&gt;=D22,"ОК","ОШИБКА")</f>
        <v>ОК</v>
      </c>
      <c r="G22" s="49"/>
    </row>
    <row r="23" customFormat="false" ht="15" hidden="false" customHeight="false" outlineLevel="0" collapsed="false">
      <c r="A23" s="23" t="n">
        <v>18</v>
      </c>
      <c r="B23" s="6" t="s">
        <v>758</v>
      </c>
      <c r="C23" s="23" t="s">
        <v>5</v>
      </c>
      <c r="D23" s="38" t="n">
        <f aca="false">Рынок!$E$7+Рынок!$E$8</f>
        <v>60</v>
      </c>
      <c r="E23" s="38" t="n">
        <f aca="false">Базовый!J66</f>
        <v>11</v>
      </c>
      <c r="F23" s="58" t="str">
        <f aca="false">IF(E23&lt;=D23,"ОК","ОШИБКА")</f>
        <v>ОК</v>
      </c>
      <c r="G23" s="49"/>
    </row>
    <row r="24" customFormat="false" ht="15" hidden="false" customHeight="false" outlineLevel="0" collapsed="false">
      <c r="A24" s="23" t="n">
        <v>19</v>
      </c>
      <c r="B24" s="6" t="s">
        <v>752</v>
      </c>
      <c r="C24" s="23" t="s">
        <v>6</v>
      </c>
      <c r="D24" s="40" t="n">
        <f aca="false">Оптимистичный!K73+Оптимистичный!K72</f>
        <v>322.684767493744</v>
      </c>
      <c r="E24" s="40" t="n">
        <f aca="false">Оптимистичный!K74</f>
        <v>322.684767493744</v>
      </c>
      <c r="F24" s="58" t="str">
        <f aca="false">IF(ABS(E24-D24)&lt;0.000001,"ОК","ОШИБКА")</f>
        <v>ОК</v>
      </c>
      <c r="G24" s="49" t="s">
        <v>753</v>
      </c>
    </row>
    <row r="25" customFormat="false" ht="15" hidden="false" customHeight="false" outlineLevel="0" collapsed="false">
      <c r="A25" s="23" t="n">
        <v>20</v>
      </c>
      <c r="B25" s="6" t="s">
        <v>754</v>
      </c>
      <c r="C25" s="23" t="s">
        <v>6</v>
      </c>
      <c r="D25" s="40" t="n">
        <f aca="false">Оптимистичный!K69+Оптимистичный!K70+Оптимистичный!K71</f>
        <v>235.495715893744</v>
      </c>
      <c r="E25" s="40" t="n">
        <f aca="false">Оптимистичный!K73</f>
        <v>235.495715893744</v>
      </c>
      <c r="F25" s="58" t="str">
        <f aca="false">IF(ABS(E25-D25)&lt;0.000001,"ОК","ОШИБКА")</f>
        <v>ОК</v>
      </c>
      <c r="G25" s="49"/>
    </row>
    <row r="26" customFormat="false" ht="15" hidden="false" customHeight="false" outlineLevel="0" collapsed="false">
      <c r="A26" s="23" t="n">
        <v>21</v>
      </c>
      <c r="B26" s="6" t="s">
        <v>755</v>
      </c>
      <c r="C26" s="23" t="s">
        <v>6</v>
      </c>
      <c r="D26" s="40" t="n">
        <f aca="false">Оптимистичный!K116</f>
        <v>26.0568919799417</v>
      </c>
      <c r="E26" s="40" t="n">
        <f aca="false">Оптимистичный!J117</f>
        <v>26.0568919799417</v>
      </c>
      <c r="F26" s="58" t="str">
        <f aca="false">IF(ABS(E26-D26)&lt;0.000001,"ОК","ОШИБКА")</f>
        <v>ОК</v>
      </c>
      <c r="G26" s="49"/>
    </row>
    <row r="27" customFormat="false" ht="15" hidden="false" customHeight="false" outlineLevel="0" collapsed="false">
      <c r="A27" s="23" t="n">
        <v>22</v>
      </c>
      <c r="B27" s="6" t="s">
        <v>756</v>
      </c>
      <c r="C27" s="23" t="s">
        <v>6</v>
      </c>
      <c r="D27" s="40" t="n">
        <f aca="false">Оптимистичный!K105-Оптимистичный!K110</f>
        <v>49.3744351155883</v>
      </c>
      <c r="E27" s="40" t="n">
        <f aca="false">Оптимистичный!K112</f>
        <v>49.3744351155883</v>
      </c>
      <c r="F27" s="58" t="str">
        <f aca="false">IF(ABS(E27-D27)&lt;0.000001,"ОК","ОШИБКА")</f>
        <v>ОК</v>
      </c>
      <c r="G27" s="49"/>
    </row>
    <row r="28" customFormat="false" ht="15" hidden="false" customHeight="false" outlineLevel="0" collapsed="false">
      <c r="A28" s="23" t="n">
        <v>23</v>
      </c>
      <c r="B28" s="6" t="s">
        <v>757</v>
      </c>
      <c r="C28" s="23" t="s">
        <v>6</v>
      </c>
      <c r="D28" s="34" t="n">
        <v>0</v>
      </c>
      <c r="E28" s="40" t="n">
        <f aca="false">MIN(Оптимистичный!E77:J77,Оптимистичный!F66:J66)</f>
        <v>1</v>
      </c>
      <c r="F28" s="58" t="str">
        <f aca="false">IF(E28&gt;=D28,"ОК","ОШИБКА")</f>
        <v>ОК</v>
      </c>
      <c r="G28" s="49"/>
    </row>
    <row r="29" customFormat="false" ht="15" hidden="false" customHeight="false" outlineLevel="0" collapsed="false">
      <c r="A29" s="23" t="n">
        <v>24</v>
      </c>
      <c r="B29" s="6" t="s">
        <v>758</v>
      </c>
      <c r="C29" s="23" t="s">
        <v>6</v>
      </c>
      <c r="D29" s="38" t="n">
        <f aca="false">Рынок!$F$7+Рынок!$F$8</f>
        <v>60</v>
      </c>
      <c r="E29" s="38" t="n">
        <f aca="false">Оптимистичный!J66</f>
        <v>18</v>
      </c>
      <c r="F29" s="58" t="str">
        <f aca="false">IF(E29&lt;=D29,"ОК","ОШИБКА")</f>
        <v>ОК</v>
      </c>
      <c r="G29" s="49"/>
    </row>
    <row r="30" customFormat="false" ht="15" hidden="false" customHeight="false" outlineLevel="0" collapsed="false">
      <c r="A30" s="23" t="n">
        <v>25</v>
      </c>
      <c r="B30" s="6" t="s">
        <v>759</v>
      </c>
      <c r="C30" s="23" t="s">
        <v>4</v>
      </c>
      <c r="D30" s="32" t="n">
        <v>1</v>
      </c>
      <c r="E30" s="44" t="n">
        <f aca="false">Рынок!$D$10+Рынок!$D$11+Рынок!$D$29/Рынок!$D$26</f>
        <v>1</v>
      </c>
      <c r="F30" s="58" t="str">
        <f aca="false">IF(ABS(E30-D30)&lt;0.000001,"ОК","ОШИБКА")</f>
        <v>ОК</v>
      </c>
      <c r="G30" s="49"/>
    </row>
    <row r="31" customFormat="false" ht="15" hidden="false" customHeight="false" outlineLevel="0" collapsed="false">
      <c r="A31" s="23" t="n">
        <v>26</v>
      </c>
      <c r="B31" s="6" t="s">
        <v>760</v>
      </c>
      <c r="C31" s="23" t="s">
        <v>4</v>
      </c>
      <c r="D31" s="30" t="n">
        <v>0</v>
      </c>
      <c r="E31" s="38" t="n">
        <f aca="false">Рынок!$D$25</f>
        <v>241</v>
      </c>
      <c r="F31" s="58" t="str">
        <f aca="false">IF(E31&gt;=D31,"ОК","ОШИБКА")</f>
        <v>ОК</v>
      </c>
      <c r="G31" s="49"/>
    </row>
    <row r="32" customFormat="false" ht="15" hidden="false" customHeight="false" outlineLevel="0" collapsed="false">
      <c r="A32" s="23" t="n">
        <v>27</v>
      </c>
      <c r="B32" s="6" t="s">
        <v>759</v>
      </c>
      <c r="C32" s="23" t="s">
        <v>5</v>
      </c>
      <c r="D32" s="32" t="n">
        <v>1</v>
      </c>
      <c r="E32" s="44" t="n">
        <f aca="false">Рынок!$E$10+Рынок!$E$11+Рынок!$E$29/Рынок!$E$26</f>
        <v>1</v>
      </c>
      <c r="F32" s="58" t="str">
        <f aca="false">IF(ABS(E32-D32)&lt;0.000001,"ОК","ОШИБКА")</f>
        <v>ОК</v>
      </c>
      <c r="G32" s="49"/>
    </row>
    <row r="33" customFormat="false" ht="15" hidden="false" customHeight="false" outlineLevel="0" collapsed="false">
      <c r="A33" s="23" t="n">
        <v>28</v>
      </c>
      <c r="B33" s="6" t="s">
        <v>760</v>
      </c>
      <c r="C33" s="23" t="s">
        <v>5</v>
      </c>
      <c r="D33" s="30" t="n">
        <v>0</v>
      </c>
      <c r="E33" s="38" t="n">
        <f aca="false">Рынок!$E$25</f>
        <v>241</v>
      </c>
      <c r="F33" s="58" t="str">
        <f aca="false">IF(E33&gt;=D33,"ОК","ОШИБКА")</f>
        <v>ОК</v>
      </c>
      <c r="G33" s="49"/>
    </row>
    <row r="34" customFormat="false" ht="15" hidden="false" customHeight="false" outlineLevel="0" collapsed="false">
      <c r="A34" s="23" t="n">
        <v>29</v>
      </c>
      <c r="B34" s="6" t="s">
        <v>759</v>
      </c>
      <c r="C34" s="23" t="s">
        <v>6</v>
      </c>
      <c r="D34" s="32" t="n">
        <v>1</v>
      </c>
      <c r="E34" s="44" t="n">
        <f aca="false">Рынок!$F$10+Рынок!$F$11+Рынок!$F$29/Рынок!$F$26</f>
        <v>1</v>
      </c>
      <c r="F34" s="58" t="str">
        <f aca="false">IF(ABS(E34-D34)&lt;0.000001,"ОК","ОШИБКА")</f>
        <v>ОК</v>
      </c>
      <c r="G34" s="49"/>
    </row>
    <row r="35" customFormat="false" ht="15" hidden="false" customHeight="false" outlineLevel="0" collapsed="false">
      <c r="A35" s="23" t="n">
        <v>30</v>
      </c>
      <c r="B35" s="6" t="s">
        <v>760</v>
      </c>
      <c r="C35" s="23" t="s">
        <v>6</v>
      </c>
      <c r="D35" s="30" t="n">
        <v>0</v>
      </c>
      <c r="E35" s="38" t="n">
        <f aca="false">Рынок!$F$25</f>
        <v>241</v>
      </c>
      <c r="F35" s="58" t="str">
        <f aca="false">IF(E35&gt;=D35,"ОК","ОШИБКА")</f>
        <v>ОК</v>
      </c>
      <c r="G35" s="49"/>
    </row>
    <row r="36" customFormat="false" ht="15" hidden="false" customHeight="false" outlineLevel="0" collapsed="false">
      <c r="A36" s="23" t="n">
        <v>31</v>
      </c>
      <c r="B36" s="6" t="s">
        <v>761</v>
      </c>
      <c r="C36" s="23" t="s">
        <v>5</v>
      </c>
      <c r="D36" s="40" t="n">
        <f aca="false">Базовый!$D$136</f>
        <v>-0.149594728978126</v>
      </c>
      <c r="E36" s="40" t="n">
        <f aca="false">Чувствительность!$D$151</f>
        <v>-0.149594728978126</v>
      </c>
      <c r="F36" s="58" t="str">
        <f aca="false">IF(ABS(E36-D36)&lt;0.000001,"ОК","ОШИБКА")</f>
        <v>ОК</v>
      </c>
      <c r="G36" s="49" t="s">
        <v>762</v>
      </c>
    </row>
    <row r="37" customFormat="false" ht="15" hidden="false" customHeight="false" outlineLevel="0" collapsed="false">
      <c r="A37" s="19" t="s">
        <v>763</v>
      </c>
      <c r="B37" s="19"/>
      <c r="C37" s="19"/>
      <c r="D37" s="19"/>
      <c r="E37" s="19"/>
      <c r="F37" s="19"/>
      <c r="G37" s="19"/>
    </row>
    <row r="38" customFormat="false" ht="15" hidden="false" customHeight="false" outlineLevel="0" collapsed="false">
      <c r="A38" s="23" t="n">
        <v>32</v>
      </c>
      <c r="B38" s="6" t="s">
        <v>764</v>
      </c>
      <c r="C38" s="23" t="s">
        <v>4</v>
      </c>
      <c r="D38" s="32" t="n">
        <v>0.15</v>
      </c>
      <c r="E38" s="44" t="n">
        <f aca="false">'Эффект для банка'!$D$67</f>
        <v>0.116691065707678</v>
      </c>
      <c r="F38" s="58" t="str">
        <f aca="false">IF(E38&lt;=D38,"ОК","ВНИМАНИЕ")</f>
        <v>ОК</v>
      </c>
      <c r="G38" s="49" t="s">
        <v>765</v>
      </c>
    </row>
    <row r="39" customFormat="false" ht="15" hidden="false" customHeight="false" outlineLevel="0" collapsed="false">
      <c r="A39" s="23" t="n">
        <v>33</v>
      </c>
      <c r="B39" s="6" t="s">
        <v>766</v>
      </c>
      <c r="C39" s="23" t="s">
        <v>4</v>
      </c>
      <c r="D39" s="32" t="n">
        <v>1</v>
      </c>
      <c r="E39" s="44" t="n">
        <f aca="false">'Эффект для банка'!$D$71</f>
        <v>0.464014598540146</v>
      </c>
      <c r="F39" s="58" t="str">
        <f aca="false">IF(E39&lt;D39,"ОК","ВНИМАНИЕ")</f>
        <v>ОК</v>
      </c>
      <c r="G39" s="49" t="s">
        <v>767</v>
      </c>
    </row>
    <row r="40" customFormat="false" ht="15" hidden="false" customHeight="false" outlineLevel="0" collapsed="false">
      <c r="A40" s="23" t="n">
        <v>34</v>
      </c>
      <c r="B40" s="6" t="s">
        <v>768</v>
      </c>
      <c r="C40" s="23" t="s">
        <v>4</v>
      </c>
      <c r="D40" s="32" t="n">
        <v>0.4</v>
      </c>
      <c r="E40" s="44" t="n">
        <f aca="false">Рынок!$D$45</f>
        <v>0.0966246290801187</v>
      </c>
      <c r="F40" s="58" t="str">
        <f aca="false">IF(E40&lt;=D40,"ОК","ВНИМАНИЕ")</f>
        <v>ОК</v>
      </c>
      <c r="G40" s="49" t="s">
        <v>769</v>
      </c>
    </row>
    <row r="41" customFormat="false" ht="15" hidden="false" customHeight="false" outlineLevel="0" collapsed="false">
      <c r="A41" s="23" t="n">
        <v>35</v>
      </c>
      <c r="B41" s="6" t="s">
        <v>764</v>
      </c>
      <c r="C41" s="23" t="s">
        <v>5</v>
      </c>
      <c r="D41" s="32" t="n">
        <v>0.15</v>
      </c>
      <c r="E41" s="44" t="n">
        <f aca="false">'Эффект для банка'!$E$67</f>
        <v>0.0910766719855443</v>
      </c>
      <c r="F41" s="58" t="str">
        <f aca="false">IF(E41&lt;=D41,"ОК","ВНИМАНИЕ")</f>
        <v>ОК</v>
      </c>
      <c r="G41" s="49" t="s">
        <v>765</v>
      </c>
    </row>
    <row r="42" customFormat="false" ht="15" hidden="false" customHeight="false" outlineLevel="0" collapsed="false">
      <c r="A42" s="23" t="n">
        <v>36</v>
      </c>
      <c r="B42" s="6" t="s">
        <v>766</v>
      </c>
      <c r="C42" s="23" t="s">
        <v>5</v>
      </c>
      <c r="D42" s="32" t="n">
        <v>1</v>
      </c>
      <c r="E42" s="44" t="n">
        <f aca="false">'Эффект для банка'!$E$71</f>
        <v>0.771135531135531</v>
      </c>
      <c r="F42" s="58" t="str">
        <f aca="false">IF(E42&lt;D42,"ОК","ВНИМАНИЕ")</f>
        <v>ОК</v>
      </c>
      <c r="G42" s="49" t="s">
        <v>767</v>
      </c>
    </row>
    <row r="43" customFormat="false" ht="15" hidden="false" customHeight="false" outlineLevel="0" collapsed="false">
      <c r="A43" s="23" t="n">
        <v>37</v>
      </c>
      <c r="B43" s="6" t="s">
        <v>768</v>
      </c>
      <c r="C43" s="23" t="s">
        <v>5</v>
      </c>
      <c r="D43" s="32" t="n">
        <v>0.4</v>
      </c>
      <c r="E43" s="44" t="n">
        <f aca="false">Рынок!$E$45</f>
        <v>0.187984282706283</v>
      </c>
      <c r="F43" s="58" t="str">
        <f aca="false">IF(E43&lt;=D43,"ОК","ВНИМАНИЕ")</f>
        <v>ОК</v>
      </c>
      <c r="G43" s="49" t="s">
        <v>769</v>
      </c>
    </row>
    <row r="44" customFormat="false" ht="15" hidden="false" customHeight="false" outlineLevel="0" collapsed="false">
      <c r="A44" s="23" t="n">
        <v>38</v>
      </c>
      <c r="B44" s="6" t="s">
        <v>764</v>
      </c>
      <c r="C44" s="23" t="s">
        <v>6</v>
      </c>
      <c r="D44" s="32" t="n">
        <v>0.15</v>
      </c>
      <c r="E44" s="44" t="n">
        <f aca="false">'Эффект для банка'!$F$67</f>
        <v>0.0444421432331444</v>
      </c>
      <c r="F44" s="58" t="str">
        <f aca="false">IF(E44&lt;=D44,"ОК","ВНИМАНИЕ")</f>
        <v>ОК</v>
      </c>
      <c r="G44" s="49" t="s">
        <v>765</v>
      </c>
    </row>
    <row r="45" customFormat="false" ht="15" hidden="false" customHeight="false" outlineLevel="0" collapsed="false">
      <c r="A45" s="23" t="n">
        <v>39</v>
      </c>
      <c r="B45" s="6" t="s">
        <v>766</v>
      </c>
      <c r="C45" s="23" t="s">
        <v>6</v>
      </c>
      <c r="D45" s="32" t="n">
        <v>1</v>
      </c>
      <c r="E45" s="44" t="n">
        <f aca="false">'Эффект для банка'!$F$71</f>
        <v>0.944485294117647</v>
      </c>
      <c r="F45" s="58" t="str">
        <f aca="false">IF(E45&lt;D45,"ОК","ВНИМАНИЕ")</f>
        <v>ОК</v>
      </c>
      <c r="G45" s="49" t="s">
        <v>767</v>
      </c>
    </row>
    <row r="46" customFormat="false" ht="15" hidden="false" customHeight="false" outlineLevel="0" collapsed="false">
      <c r="A46" s="23" t="n">
        <v>40</v>
      </c>
      <c r="B46" s="6" t="s">
        <v>768</v>
      </c>
      <c r="C46" s="23" t="s">
        <v>6</v>
      </c>
      <c r="D46" s="32" t="n">
        <v>0.4</v>
      </c>
      <c r="E46" s="44" t="n">
        <f aca="false">Рынок!$F$45</f>
        <v>0.219140065334705</v>
      </c>
      <c r="F46" s="58" t="str">
        <f aca="false">IF(E46&lt;=D46,"ОК","ВНИМАНИЕ")</f>
        <v>ОК</v>
      </c>
      <c r="G46" s="49" t="s">
        <v>769</v>
      </c>
    </row>
    <row r="48" customFormat="false" ht="15" hidden="false" customHeight="false" outlineLevel="0" collapsed="false">
      <c r="B48" s="57" t="s">
        <v>770</v>
      </c>
      <c r="E48" s="59" t="n">
        <f aca="false">IF(F6="ОК",0,1)+IF(F7="ОК",0,1)+IF(F8="ОК",0,1)+IF(F9="ОК",0,1)+IF(F10="ОК",0,1)+IF(F11="ОК",0,1)+IF(F12="ОК",0,1)+IF(F13="ОК",0,1)+IF(F14="ОК",0,1)+IF(F15="ОК",0,1)+IF(F16="ОК",0,1)+IF(F17="ОК",0,1)+IF(F18="ОК",0,1)+IF(F19="ОК",0,1)+IF(F20="ОК",0,1)+IF(F21="ОК",0,1)+IF(F22="ОК",0,1)+IF(F23="ОК",0,1)+IF(F24="ОК",0,1)+IF(F25="ОК",0,1)+IF(F26="ОК",0,1)+IF(F27="ОК",0,1)+IF(F28="ОК",0,1)+IF(F29="ОК",0,1)+IF(F30="ОК",0,1)+IF(F31="ОК",0,1)+IF(F32="ОК",0,1)+IF(F33="ОК",0,1)+IF(F34="ОК",0,1)+IF(F35="ОК",0,1)+IF(F36="ОК",0,1)</f>
        <v>0</v>
      </c>
    </row>
    <row r="49" customFormat="false" ht="15" hidden="false" customHeight="false" outlineLevel="0" collapsed="false">
      <c r="B49" s="57" t="s">
        <v>771</v>
      </c>
      <c r="E49" s="59" t="n">
        <f aca="false">IF(F38="ОК",0,1)+IF(F39="ОК",0,1)+IF(F40="ОК",0,1)+IF(F41="ОК",0,1)+IF(F42="ОК",0,1)+IF(F43="ОК",0,1)+IF(F44="ОК",0,1)+IF(F45="ОК",0,1)+IF(F46="ОК",0,1)</f>
        <v>0</v>
      </c>
    </row>
    <row r="50" customFormat="false" ht="15" hidden="false" customHeight="false" outlineLevel="0" collapsed="false">
      <c r="B50" s="57" t="s">
        <v>772</v>
      </c>
      <c r="E50" s="59"/>
      <c r="F50" s="57" t="str">
        <f aca="false">IF(E48=0,"ОК","ОШИБКА")</f>
        <v>ОК</v>
      </c>
    </row>
  </sheetData>
  <conditionalFormatting sqref="F5:F50">
    <cfRule type="cellIs" priority="2" operator="equal" aboveAverage="0" equalAverage="0" bottom="0" percent="0" rank="0" text="" dxfId="0">
      <formula>"ОК"</formula>
    </cfRule>
    <cfRule type="cellIs" priority="3" operator="equal" aboveAverage="0" equalAverage="0" bottom="0" percent="0" rank="0" text="" dxfId="1">
      <formula>"ОШИБКА"</formula>
    </cfRule>
    <cfRule type="cellIs" priority="4" operator="equal" aboveAverage="0" equalAverage="0" bottom="0" percent="0" rank="0" text="" dxfId="2">
      <formula>"ВНИМАНИЕ"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D8C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7" t="s">
        <v>33</v>
      </c>
    </row>
    <row r="2" customFormat="false" ht="15" hidden="false" customHeight="false" outlineLevel="0" collapsed="false">
      <c r="A2" s="18" t="s">
        <v>773</v>
      </c>
    </row>
    <row r="4" customFormat="false" ht="30" hidden="false" customHeight="true" outlineLevel="0" collapsed="false">
      <c r="A4" s="4" t="s">
        <v>774</v>
      </c>
      <c r="B4" s="4" t="s">
        <v>775</v>
      </c>
      <c r="C4" s="5" t="s">
        <v>776</v>
      </c>
      <c r="D4" s="5" t="s">
        <v>777</v>
      </c>
      <c r="E4" s="5" t="s">
        <v>746</v>
      </c>
      <c r="F4" s="5" t="s">
        <v>778</v>
      </c>
    </row>
    <row r="5" customFormat="false" ht="22.35" hidden="false" customHeight="false" outlineLevel="0" collapsed="false">
      <c r="A5" s="25" t="s">
        <v>779</v>
      </c>
      <c r="B5" s="25" t="s">
        <v>780</v>
      </c>
      <c r="C5" s="26" t="s">
        <v>781</v>
      </c>
      <c r="D5" s="26" t="s">
        <v>782</v>
      </c>
      <c r="E5" s="26" t="s">
        <v>783</v>
      </c>
      <c r="F5" s="60" t="s">
        <v>784</v>
      </c>
    </row>
    <row r="6" customFormat="false" ht="22.35" hidden="false" customHeight="false" outlineLevel="0" collapsed="false">
      <c r="A6" s="25" t="s">
        <v>785</v>
      </c>
      <c r="B6" s="25" t="s">
        <v>786</v>
      </c>
      <c r="C6" s="26" t="s">
        <v>787</v>
      </c>
      <c r="D6" s="26" t="s">
        <v>782</v>
      </c>
      <c r="E6" s="26" t="s">
        <v>783</v>
      </c>
      <c r="F6" s="60" t="s">
        <v>788</v>
      </c>
    </row>
    <row r="7" customFormat="false" ht="23.85" hidden="false" customHeight="false" outlineLevel="0" collapsed="false">
      <c r="A7" s="25" t="s">
        <v>789</v>
      </c>
      <c r="B7" s="25" t="s">
        <v>790</v>
      </c>
      <c r="C7" s="26" t="s">
        <v>791</v>
      </c>
      <c r="D7" s="26" t="s">
        <v>792</v>
      </c>
      <c r="E7" s="26" t="s">
        <v>793</v>
      </c>
      <c r="F7" s="60" t="s">
        <v>794</v>
      </c>
    </row>
    <row r="8" customFormat="false" ht="23.85" hidden="false" customHeight="false" outlineLevel="0" collapsed="false">
      <c r="A8" s="25" t="s">
        <v>795</v>
      </c>
      <c r="B8" s="25" t="s">
        <v>796</v>
      </c>
      <c r="C8" s="26" t="s">
        <v>797</v>
      </c>
      <c r="D8" s="26" t="s">
        <v>798</v>
      </c>
      <c r="E8" s="26" t="s">
        <v>106</v>
      </c>
      <c r="F8" s="60" t="s">
        <v>794</v>
      </c>
    </row>
    <row r="9" customFormat="false" ht="22.35" hidden="false" customHeight="false" outlineLevel="0" collapsed="false">
      <c r="A9" s="25" t="s">
        <v>799</v>
      </c>
      <c r="B9" s="25" t="s">
        <v>800</v>
      </c>
      <c r="C9" s="26" t="s">
        <v>801</v>
      </c>
      <c r="D9" s="26" t="s">
        <v>802</v>
      </c>
      <c r="E9" s="26" t="s">
        <v>106</v>
      </c>
      <c r="F9" s="60" t="s">
        <v>803</v>
      </c>
    </row>
    <row r="10" customFormat="false" ht="15" hidden="false" customHeight="false" outlineLevel="0" collapsed="false">
      <c r="A10" s="25" t="s">
        <v>804</v>
      </c>
      <c r="B10" s="25" t="s">
        <v>805</v>
      </c>
      <c r="C10" s="26" t="s">
        <v>806</v>
      </c>
      <c r="D10" s="26" t="s">
        <v>807</v>
      </c>
      <c r="E10" s="26" t="s">
        <v>793</v>
      </c>
      <c r="F10" s="60" t="s">
        <v>808</v>
      </c>
    </row>
    <row r="11" customFormat="false" ht="15" hidden="false" customHeight="false" outlineLevel="0" collapsed="false">
      <c r="A11" s="25" t="s">
        <v>809</v>
      </c>
      <c r="B11" s="25" t="s">
        <v>810</v>
      </c>
      <c r="C11" s="26" t="s">
        <v>811</v>
      </c>
      <c r="D11" s="26" t="s">
        <v>812</v>
      </c>
      <c r="E11" s="26" t="s">
        <v>106</v>
      </c>
      <c r="F11" s="60" t="s">
        <v>813</v>
      </c>
    </row>
    <row r="12" customFormat="false" ht="23.85" hidden="false" customHeight="false" outlineLevel="0" collapsed="false">
      <c r="A12" s="25" t="s">
        <v>814</v>
      </c>
      <c r="B12" s="25" t="s">
        <v>815</v>
      </c>
      <c r="C12" s="26" t="s">
        <v>816</v>
      </c>
      <c r="D12" s="26" t="s">
        <v>817</v>
      </c>
      <c r="E12" s="26" t="s">
        <v>106</v>
      </c>
      <c r="F12" s="60" t="s">
        <v>818</v>
      </c>
    </row>
    <row r="13" customFormat="false" ht="15" hidden="false" customHeight="false" outlineLevel="0" collapsed="false">
      <c r="A13" s="25" t="s">
        <v>819</v>
      </c>
      <c r="B13" s="25" t="s">
        <v>820</v>
      </c>
      <c r="C13" s="26" t="s">
        <v>821</v>
      </c>
      <c r="D13" s="26" t="s">
        <v>822</v>
      </c>
      <c r="E13" s="26" t="s">
        <v>106</v>
      </c>
      <c r="F13" s="60" t="s">
        <v>823</v>
      </c>
    </row>
    <row r="14" customFormat="false" ht="15" hidden="false" customHeight="false" outlineLevel="0" collapsed="false">
      <c r="A14" s="25" t="s">
        <v>824</v>
      </c>
      <c r="B14" s="25" t="s">
        <v>825</v>
      </c>
      <c r="C14" s="26" t="s">
        <v>826</v>
      </c>
      <c r="D14" s="26" t="s">
        <v>802</v>
      </c>
      <c r="E14" s="26" t="s">
        <v>106</v>
      </c>
      <c r="F14" s="60" t="s">
        <v>827</v>
      </c>
    </row>
    <row r="15" customFormat="false" ht="15" hidden="false" customHeight="false" outlineLevel="0" collapsed="false">
      <c r="A15" s="25" t="s">
        <v>828</v>
      </c>
      <c r="B15" s="25" t="s">
        <v>829</v>
      </c>
      <c r="C15" s="26" t="s">
        <v>830</v>
      </c>
      <c r="D15" s="26" t="s">
        <v>831</v>
      </c>
      <c r="E15" s="26" t="s">
        <v>106</v>
      </c>
      <c r="F15" s="60" t="s">
        <v>832</v>
      </c>
    </row>
    <row r="16" customFormat="false" ht="35.05" hidden="false" customHeight="false" outlineLevel="0" collapsed="false">
      <c r="A16" s="25" t="s">
        <v>833</v>
      </c>
      <c r="B16" s="25" t="s">
        <v>834</v>
      </c>
      <c r="C16" s="26" t="s">
        <v>835</v>
      </c>
      <c r="D16" s="26" t="s">
        <v>356</v>
      </c>
      <c r="E16" s="26" t="s">
        <v>106</v>
      </c>
      <c r="F16" s="60" t="s">
        <v>836</v>
      </c>
    </row>
    <row r="17" customFormat="false" ht="23.85" hidden="false" customHeight="false" outlineLevel="0" collapsed="false">
      <c r="A17" s="25" t="s">
        <v>837</v>
      </c>
      <c r="B17" s="25" t="s">
        <v>838</v>
      </c>
      <c r="C17" s="26" t="s">
        <v>839</v>
      </c>
      <c r="D17" s="26" t="s">
        <v>356</v>
      </c>
      <c r="E17" s="26" t="s">
        <v>106</v>
      </c>
      <c r="F17" s="60" t="s">
        <v>840</v>
      </c>
    </row>
    <row r="18" customFormat="false" ht="23.85" hidden="false" customHeight="false" outlineLevel="0" collapsed="false">
      <c r="A18" s="25" t="s">
        <v>841</v>
      </c>
      <c r="B18" s="25" t="s">
        <v>842</v>
      </c>
      <c r="C18" s="26" t="s">
        <v>843</v>
      </c>
      <c r="D18" s="26" t="s">
        <v>844</v>
      </c>
      <c r="E18" s="26" t="s">
        <v>106</v>
      </c>
      <c r="F18" s="60" t="s">
        <v>845</v>
      </c>
    </row>
    <row r="19" customFormat="false" ht="15" hidden="false" customHeight="false" outlineLevel="0" collapsed="false">
      <c r="A19" s="25" t="s">
        <v>846</v>
      </c>
      <c r="B19" s="25" t="s">
        <v>847</v>
      </c>
      <c r="C19" s="26" t="s">
        <v>848</v>
      </c>
      <c r="D19" s="26" t="s">
        <v>849</v>
      </c>
      <c r="E19" s="26" t="s">
        <v>106</v>
      </c>
      <c r="F19" s="60" t="s">
        <v>850</v>
      </c>
    </row>
    <row r="20" customFormat="false" ht="23.85" hidden="false" customHeight="false" outlineLevel="0" collapsed="false">
      <c r="A20" s="25" t="s">
        <v>851</v>
      </c>
      <c r="B20" s="25" t="s">
        <v>852</v>
      </c>
      <c r="C20" s="26" t="s">
        <v>853</v>
      </c>
      <c r="D20" s="26" t="s">
        <v>854</v>
      </c>
      <c r="E20" s="26" t="s">
        <v>106</v>
      </c>
      <c r="F20" s="60" t="s">
        <v>855</v>
      </c>
    </row>
    <row r="21" customFormat="false" ht="15" hidden="false" customHeight="false" outlineLevel="0" collapsed="false">
      <c r="A21" s="25" t="s">
        <v>856</v>
      </c>
      <c r="B21" s="25" t="s">
        <v>857</v>
      </c>
      <c r="C21" s="26" t="s">
        <v>858</v>
      </c>
      <c r="D21" s="26" t="s">
        <v>859</v>
      </c>
      <c r="E21" s="26" t="s">
        <v>106</v>
      </c>
      <c r="F21" s="60" t="s">
        <v>860</v>
      </c>
    </row>
    <row r="22" customFormat="false" ht="15" hidden="false" customHeight="false" outlineLevel="0" collapsed="false">
      <c r="A22" s="25" t="s">
        <v>861</v>
      </c>
      <c r="B22" s="25" t="s">
        <v>862</v>
      </c>
      <c r="C22" s="26" t="s">
        <v>863</v>
      </c>
      <c r="D22" s="26" t="s">
        <v>356</v>
      </c>
      <c r="E22" s="26" t="s">
        <v>106</v>
      </c>
      <c r="F22" s="60" t="s">
        <v>864</v>
      </c>
    </row>
    <row r="23" customFormat="false" ht="23.85" hidden="false" customHeight="false" outlineLevel="0" collapsed="false">
      <c r="A23" s="25" t="s">
        <v>865</v>
      </c>
      <c r="B23" s="25" t="s">
        <v>866</v>
      </c>
      <c r="C23" s="26" t="s">
        <v>867</v>
      </c>
      <c r="D23" s="26" t="s">
        <v>868</v>
      </c>
      <c r="E23" s="26" t="s">
        <v>106</v>
      </c>
      <c r="F23" s="60" t="s">
        <v>869</v>
      </c>
    </row>
    <row r="24" customFormat="false" ht="23.85" hidden="false" customHeight="false" outlineLevel="0" collapsed="false">
      <c r="A24" s="25" t="s">
        <v>870</v>
      </c>
      <c r="B24" s="25" t="s">
        <v>871</v>
      </c>
      <c r="C24" s="26" t="s">
        <v>872</v>
      </c>
      <c r="D24" s="26" t="s">
        <v>873</v>
      </c>
      <c r="E24" s="26" t="s">
        <v>793</v>
      </c>
      <c r="F24" s="60" t="s">
        <v>874</v>
      </c>
    </row>
    <row r="25" customFormat="false" ht="23.85" hidden="false" customHeight="false" outlineLevel="0" collapsed="false">
      <c r="A25" s="25" t="s">
        <v>875</v>
      </c>
      <c r="B25" s="25" t="s">
        <v>876</v>
      </c>
      <c r="C25" s="26" t="s">
        <v>877</v>
      </c>
      <c r="D25" s="26" t="s">
        <v>873</v>
      </c>
      <c r="E25" s="26" t="s">
        <v>793</v>
      </c>
      <c r="F25" s="60" t="s">
        <v>878</v>
      </c>
    </row>
    <row r="26" customFormat="false" ht="23.85" hidden="false" customHeight="false" outlineLevel="0" collapsed="false">
      <c r="A26" s="25" t="s">
        <v>879</v>
      </c>
      <c r="B26" s="25" t="s">
        <v>880</v>
      </c>
      <c r="C26" s="26" t="s">
        <v>881</v>
      </c>
      <c r="D26" s="26" t="s">
        <v>882</v>
      </c>
      <c r="E26" s="26" t="s">
        <v>106</v>
      </c>
      <c r="F26" s="60" t="s">
        <v>883</v>
      </c>
    </row>
    <row r="27" customFormat="false" ht="23.85" hidden="false" customHeight="false" outlineLevel="0" collapsed="false">
      <c r="A27" s="25" t="s">
        <v>884</v>
      </c>
      <c r="B27" s="25" t="s">
        <v>885</v>
      </c>
      <c r="C27" s="26" t="s">
        <v>886</v>
      </c>
      <c r="D27" s="26" t="s">
        <v>887</v>
      </c>
      <c r="E27" s="26" t="s">
        <v>106</v>
      </c>
      <c r="F27" s="60" t="s">
        <v>888</v>
      </c>
    </row>
    <row r="28" customFormat="false" ht="23.85" hidden="false" customHeight="false" outlineLevel="0" collapsed="false">
      <c r="A28" s="25" t="s">
        <v>889</v>
      </c>
      <c r="B28" s="25" t="s">
        <v>890</v>
      </c>
      <c r="C28" s="26" t="s">
        <v>891</v>
      </c>
      <c r="D28" s="26" t="s">
        <v>873</v>
      </c>
      <c r="E28" s="26" t="s">
        <v>106</v>
      </c>
      <c r="F28" s="60" t="s">
        <v>892</v>
      </c>
    </row>
    <row r="29" customFormat="false" ht="23.85" hidden="false" customHeight="false" outlineLevel="0" collapsed="false">
      <c r="A29" s="25" t="s">
        <v>893</v>
      </c>
      <c r="B29" s="25" t="s">
        <v>894</v>
      </c>
      <c r="C29" s="26" t="s">
        <v>895</v>
      </c>
      <c r="D29" s="26" t="s">
        <v>896</v>
      </c>
      <c r="E29" s="26" t="s">
        <v>106</v>
      </c>
      <c r="F29" s="60" t="s">
        <v>897</v>
      </c>
    </row>
    <row r="30" customFormat="false" ht="15" hidden="false" customHeight="false" outlineLevel="0" collapsed="false">
      <c r="A30" s="25" t="s">
        <v>898</v>
      </c>
      <c r="B30" s="25" t="s">
        <v>899</v>
      </c>
      <c r="C30" s="26" t="s">
        <v>900</v>
      </c>
      <c r="D30" s="26" t="s">
        <v>356</v>
      </c>
      <c r="E30" s="26" t="s">
        <v>106</v>
      </c>
      <c r="F30" s="60" t="s">
        <v>901</v>
      </c>
    </row>
    <row r="31" customFormat="false" ht="15" hidden="false" customHeight="false" outlineLevel="0" collapsed="false">
      <c r="A31" s="25" t="s">
        <v>902</v>
      </c>
      <c r="B31" s="25" t="s">
        <v>903</v>
      </c>
      <c r="C31" s="26" t="s">
        <v>904</v>
      </c>
      <c r="D31" s="26" t="s">
        <v>905</v>
      </c>
      <c r="E31" s="26" t="s">
        <v>793</v>
      </c>
      <c r="F31" s="60" t="s">
        <v>906</v>
      </c>
    </row>
    <row r="32" customFormat="false" ht="23.85" hidden="false" customHeight="false" outlineLevel="0" collapsed="false">
      <c r="A32" s="25" t="s">
        <v>907</v>
      </c>
      <c r="B32" s="25" t="s">
        <v>908</v>
      </c>
      <c r="C32" s="26" t="s">
        <v>909</v>
      </c>
      <c r="D32" s="26" t="s">
        <v>356</v>
      </c>
      <c r="E32" s="26" t="s">
        <v>106</v>
      </c>
      <c r="F32" s="60" t="s">
        <v>910</v>
      </c>
    </row>
    <row r="33" customFormat="false" ht="22.35" hidden="false" customHeight="false" outlineLevel="0" collapsed="false">
      <c r="A33" s="25" t="s">
        <v>911</v>
      </c>
      <c r="B33" s="25" t="s">
        <v>912</v>
      </c>
      <c r="C33" s="26" t="s">
        <v>913</v>
      </c>
      <c r="D33" s="26" t="s">
        <v>914</v>
      </c>
      <c r="E33" s="26" t="s">
        <v>793</v>
      </c>
      <c r="F33" s="60" t="s">
        <v>915</v>
      </c>
    </row>
    <row r="34" customFormat="false" ht="15" hidden="false" customHeight="false" outlineLevel="0" collapsed="false">
      <c r="A34" s="25" t="s">
        <v>916</v>
      </c>
      <c r="B34" s="25" t="s">
        <v>917</v>
      </c>
      <c r="C34" s="26" t="s">
        <v>918</v>
      </c>
      <c r="D34" s="26" t="s">
        <v>905</v>
      </c>
      <c r="E34" s="26" t="s">
        <v>783</v>
      </c>
      <c r="F34" s="60" t="s">
        <v>919</v>
      </c>
    </row>
  </sheetData>
  <hyperlinks>
    <hyperlink ref="F5" r:id="rId1" display="https://github.com/KonkovDV/Mandat/blob/main/evidence.json"/>
    <hyperlink ref="F6" r:id="rId2" display="https://github.com/KonkovDV/Mandat/blob/main/docs/ECONOMICS.md"/>
    <hyperlink ref="F7" r:id="rId3" display="https://cbr.ru"/>
    <hyperlink ref="F8" r:id="rId4" display="https://cbr.ru"/>
    <hyperlink ref="F9" r:id="rId5" display="https://altapress.ru"/>
    <hyperlink ref="F10" r:id="rId6" display="https://www.nalog.gov.ru"/>
    <hyperlink ref="F11" r:id="rId7" display="https://emchd.ru"/>
    <hyperlink ref="F12" r:id="rId8" display="https://www.v2b.ru/2026/07/13/reestr-msp-obnovilsya-kolichestvo-predprinimateley-dostiglo-6-6-mln/"/>
    <hyperlink ref="F13" r:id="rId9" display="https://www.vbr.ru/novosti/banki/2026/10/08/bank-rossii-ytverdil-perecen-sistemno-znacimih-bankov/"/>
    <hyperlink ref="F14" r:id="rId10" display="https://brobank.ru/skolko-bankov-na-segodnya/"/>
    <hyperlink ref="F15" r:id="rId11" display="https://bankiros.ru"/>
    <hyperlink ref="F16" r:id="rId12" display="https://companies.rbc.ru/news/FcdBWXkf2B/kak-rabotayut-it-lgotyi-v-2026-nalog-5-vznosyi-15-vyichet-150/"/>
    <hyperlink ref="F17" r:id="rId13" display="https://finance.mail.ru/article/v-rosstate-nazvali-otrasli-gde-bolshe-vsego-za-god-vyrosla-srednyaya-zarplata-69212496/"/>
    <hyperlink ref="F18" r:id="rId14" display="https://career.habr.com"/>
    <hyperlink ref="F19" r:id="rId15" display="https://lenta.ru/news/2024/02/28/klientsk/"/>
    <hyperlink ref="F20" r:id="rId16" display="https://www.mordorintelligence.com/industry-reports/business-identity-verification-market"/>
    <hyperlink ref="F21" r:id="rId17" display="https://marketing.rbc.ru"/>
    <hyperlink ref="F22" r:id="rId18" display="https://www.cbr.ru/insurance/"/>
    <hyperlink ref="F23" r:id="rId19" display="https://www.fenergo.com"/>
    <hyperlink ref="F24" r:id="rId20" display="https://eur-lex.europa.eu"/>
    <hyperlink ref="F25" r:id="rId21" display="https://github.com/KonkovDV/Mandat/blob/main/docs/REGULATORY.md"/>
    <hyperlink ref="F26" r:id="rId22" display="https://www.forbes.ru"/>
    <hyperlink ref="F27" r:id="rId23" display="https://www.vtb.ru/malyj-biznes/ukep/mchd/"/>
    <hyperlink ref="F28" r:id="rId24" display="https://fasie.ru"/>
    <hyperlink ref="F29" r:id="rId25" display="https://www.securitylab.ru/blog/personal/Business_without_danger/346387.php"/>
    <hyperlink ref="F30" r:id="rId26" display="https://toolfox.ru/services/s/kontur-focus-api"/>
    <hyperlink ref="F31" r:id="rId27" display="https://fintechacademy.ru"/>
    <hyperlink ref="F32" r:id="rId28" display="https://quasa.io/ru/media/akseleratory-mkb-vtb-i-tinkoff-kak-podat-zayavku-v-iyule-2026-goda"/>
    <hyperlink ref="F33" r:id="rId29" display="https://docs.cntd.ru"/>
    <hyperlink ref="F34" r:id="rId30" display="https://github.com/KonkovDV/Mandat/blob/main/docs/COMPETITORS.md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2026-10-28T02:18:56Z</dcterms:created>
  <dc:creator>Команда «Мандата»</dc:creator>
  <dc:description/>
  <cp:keywords>Мандат МЧД полномочия ВТБ финансовая модель</cp:keywords>
  <dc:language>ru-RU</dc:language>
  <cp:lastModifiedBy/>
  <dcterms:modified xsi:type="dcterms:W3CDTF">2026-10-28T02:18:58Z</dcterms:modified>
  <cp:revision>0</cp:revision>
  <dc:subject>Эффект для ВТБ, рынок, экономика проекта</dc:subject>
  <dc:title>Мандат — финансовая модель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